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son\Downloads\portfolio-risk-analysis\excel\"/>
    </mc:Choice>
  </mc:AlternateContent>
  <xr:revisionPtr revIDLastSave="0" documentId="13_ncr:1_{1464D9D4-1077-46D5-8D88-F6EA6BC930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Charts" sheetId="2" r:id="rId2"/>
    <sheet name="Holdings" sheetId="3" r:id="rId3"/>
    <sheet name="Tech Portfolio" sheetId="4" r:id="rId4"/>
    <sheet name="S&amp;P 500" sheetId="5" r:id="rId5"/>
    <sheet name="Monthly Returns" sheetId="6" r:id="rId6"/>
  </sheets>
  <definedNames>
    <definedName name="_xlnm._FilterDatabase" localSheetId="4" hidden="1">'S&amp;P 500'!$A$1:$G$1130</definedName>
    <definedName name="_xlnm._FilterDatabase" localSheetId="3" hidden="1">'Tech Portfolio'!$A$1:$G$1130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0" i="5" l="1"/>
  <c r="F1130" i="5"/>
  <c r="D1130" i="5"/>
  <c r="E1130" i="5" s="1"/>
  <c r="C1130" i="5"/>
  <c r="G1129" i="5"/>
  <c r="F1129" i="5"/>
  <c r="D1129" i="5"/>
  <c r="E1129" i="5" s="1"/>
  <c r="C1129" i="5"/>
  <c r="G1128" i="5"/>
  <c r="F1128" i="5"/>
  <c r="E1128" i="5"/>
  <c r="D1128" i="5"/>
  <c r="C1128" i="5"/>
  <c r="G1127" i="5"/>
  <c r="F1127" i="5"/>
  <c r="E1127" i="5"/>
  <c r="D1127" i="5"/>
  <c r="C1127" i="5"/>
  <c r="G1126" i="5"/>
  <c r="F1126" i="5"/>
  <c r="D1126" i="5"/>
  <c r="E1126" i="5" s="1"/>
  <c r="C1126" i="5"/>
  <c r="G1125" i="5"/>
  <c r="F1125" i="5"/>
  <c r="D1125" i="5"/>
  <c r="E1125" i="5" s="1"/>
  <c r="C1125" i="5"/>
  <c r="G1124" i="5"/>
  <c r="F1124" i="5"/>
  <c r="E1124" i="5"/>
  <c r="D1124" i="5"/>
  <c r="C1124" i="5"/>
  <c r="G1123" i="5"/>
  <c r="F1123" i="5"/>
  <c r="E1123" i="5"/>
  <c r="D1123" i="5"/>
  <c r="C1123" i="5"/>
  <c r="G1122" i="5"/>
  <c r="F1122" i="5"/>
  <c r="E1122" i="5"/>
  <c r="D1122" i="5"/>
  <c r="C1122" i="5"/>
  <c r="G1121" i="5"/>
  <c r="F1121" i="5"/>
  <c r="D1121" i="5"/>
  <c r="E1121" i="5" s="1"/>
  <c r="C1121" i="5"/>
  <c r="G1120" i="5"/>
  <c r="F1120" i="5"/>
  <c r="E1120" i="5"/>
  <c r="D1120" i="5"/>
  <c r="C1120" i="5"/>
  <c r="G1119" i="5"/>
  <c r="F1119" i="5"/>
  <c r="E1119" i="5"/>
  <c r="D1119" i="5"/>
  <c r="C1119" i="5"/>
  <c r="G1118" i="5"/>
  <c r="F1118" i="5"/>
  <c r="D1118" i="5"/>
  <c r="E1118" i="5" s="1"/>
  <c r="C1118" i="5"/>
  <c r="G1117" i="5"/>
  <c r="F1117" i="5"/>
  <c r="D1117" i="5"/>
  <c r="E1117" i="5" s="1"/>
  <c r="C1117" i="5"/>
  <c r="G1116" i="5"/>
  <c r="F1116" i="5"/>
  <c r="E1116" i="5"/>
  <c r="D1116" i="5"/>
  <c r="C1116" i="5"/>
  <c r="G1115" i="5"/>
  <c r="F1115" i="5"/>
  <c r="E1115" i="5"/>
  <c r="D1115" i="5"/>
  <c r="C1115" i="5"/>
  <c r="G1114" i="5"/>
  <c r="F1114" i="5"/>
  <c r="D1114" i="5"/>
  <c r="E1114" i="5" s="1"/>
  <c r="C1114" i="5"/>
  <c r="G1113" i="5"/>
  <c r="F1113" i="5"/>
  <c r="D1113" i="5"/>
  <c r="E1113" i="5" s="1"/>
  <c r="C1113" i="5"/>
  <c r="G1112" i="5"/>
  <c r="F1112" i="5"/>
  <c r="E1112" i="5"/>
  <c r="D1112" i="5"/>
  <c r="C1112" i="5"/>
  <c r="G1111" i="5"/>
  <c r="F1111" i="5"/>
  <c r="E1111" i="5"/>
  <c r="D1111" i="5"/>
  <c r="C1111" i="5"/>
  <c r="G1110" i="5"/>
  <c r="F1110" i="5"/>
  <c r="E1110" i="5"/>
  <c r="D1110" i="5"/>
  <c r="C1110" i="5"/>
  <c r="G1109" i="5"/>
  <c r="F1109" i="5"/>
  <c r="D1109" i="5"/>
  <c r="E1109" i="5" s="1"/>
  <c r="C1109" i="5"/>
  <c r="G1108" i="5"/>
  <c r="F1108" i="5"/>
  <c r="E1108" i="5"/>
  <c r="D1108" i="5"/>
  <c r="C1108" i="5"/>
  <c r="G1107" i="5"/>
  <c r="F1107" i="5"/>
  <c r="E1107" i="5"/>
  <c r="D1107" i="5"/>
  <c r="C1107" i="5"/>
  <c r="G1106" i="5"/>
  <c r="F1106" i="5"/>
  <c r="E1106" i="5"/>
  <c r="D1106" i="5"/>
  <c r="C1106" i="5"/>
  <c r="G1105" i="5"/>
  <c r="F1105" i="5"/>
  <c r="D1105" i="5"/>
  <c r="E1105" i="5" s="1"/>
  <c r="C1105" i="5"/>
  <c r="G1104" i="5"/>
  <c r="F1104" i="5"/>
  <c r="E1104" i="5"/>
  <c r="D1104" i="5"/>
  <c r="C1104" i="5"/>
  <c r="G1103" i="5"/>
  <c r="F1103" i="5"/>
  <c r="E1103" i="5"/>
  <c r="D1103" i="5"/>
  <c r="C1103" i="5"/>
  <c r="G1102" i="5"/>
  <c r="F1102" i="5"/>
  <c r="D1102" i="5"/>
  <c r="E1102" i="5" s="1"/>
  <c r="C1102" i="5"/>
  <c r="G1101" i="5"/>
  <c r="F1101" i="5"/>
  <c r="D1101" i="5"/>
  <c r="E1101" i="5" s="1"/>
  <c r="C1101" i="5"/>
  <c r="G1100" i="5"/>
  <c r="F1100" i="5"/>
  <c r="E1100" i="5"/>
  <c r="D1100" i="5"/>
  <c r="C1100" i="5"/>
  <c r="G1099" i="5"/>
  <c r="F1099" i="5"/>
  <c r="E1099" i="5"/>
  <c r="D1099" i="5"/>
  <c r="C1099" i="5"/>
  <c r="G1098" i="5"/>
  <c r="F1098" i="5"/>
  <c r="D1098" i="5"/>
  <c r="E1098" i="5" s="1"/>
  <c r="C1098" i="5"/>
  <c r="G1097" i="5"/>
  <c r="F1097" i="5"/>
  <c r="D1097" i="5"/>
  <c r="E1097" i="5" s="1"/>
  <c r="C1097" i="5"/>
  <c r="G1096" i="5"/>
  <c r="F1096" i="5"/>
  <c r="E1096" i="5"/>
  <c r="D1096" i="5"/>
  <c r="C1096" i="5"/>
  <c r="G1095" i="5"/>
  <c r="F1095" i="5"/>
  <c r="E1095" i="5"/>
  <c r="D1095" i="5"/>
  <c r="C1095" i="5"/>
  <c r="G1094" i="5"/>
  <c r="F1094" i="5"/>
  <c r="E1094" i="5"/>
  <c r="D1094" i="5"/>
  <c r="C1094" i="5"/>
  <c r="G1093" i="5"/>
  <c r="F1093" i="5"/>
  <c r="D1093" i="5"/>
  <c r="E1093" i="5" s="1"/>
  <c r="C1093" i="5"/>
  <c r="G1092" i="5"/>
  <c r="F1092" i="5"/>
  <c r="E1092" i="5"/>
  <c r="D1092" i="5"/>
  <c r="C1092" i="5"/>
  <c r="G1091" i="5"/>
  <c r="F1091" i="5"/>
  <c r="E1091" i="5"/>
  <c r="D1091" i="5"/>
  <c r="C1091" i="5"/>
  <c r="G1090" i="5"/>
  <c r="F1090" i="5"/>
  <c r="E1090" i="5"/>
  <c r="D1090" i="5"/>
  <c r="C1090" i="5"/>
  <c r="G1089" i="5"/>
  <c r="F1089" i="5"/>
  <c r="D1089" i="5"/>
  <c r="E1089" i="5" s="1"/>
  <c r="C1089" i="5"/>
  <c r="G1088" i="5"/>
  <c r="F1088" i="5"/>
  <c r="E1088" i="5"/>
  <c r="D1088" i="5"/>
  <c r="C1088" i="5"/>
  <c r="G1087" i="5"/>
  <c r="F1087" i="5"/>
  <c r="E1087" i="5"/>
  <c r="D1087" i="5"/>
  <c r="C1087" i="5"/>
  <c r="G1086" i="5"/>
  <c r="F1086" i="5"/>
  <c r="D1086" i="5"/>
  <c r="E1086" i="5" s="1"/>
  <c r="C1086" i="5"/>
  <c r="G1085" i="5"/>
  <c r="F1085" i="5"/>
  <c r="D1085" i="5"/>
  <c r="E1085" i="5" s="1"/>
  <c r="C1085" i="5"/>
  <c r="G1084" i="5"/>
  <c r="F1084" i="5"/>
  <c r="E1084" i="5"/>
  <c r="D1084" i="5"/>
  <c r="C1084" i="5"/>
  <c r="G1083" i="5"/>
  <c r="F1083" i="5"/>
  <c r="E1083" i="5"/>
  <c r="D1083" i="5"/>
  <c r="C1083" i="5"/>
  <c r="G1082" i="5"/>
  <c r="F1082" i="5"/>
  <c r="D1082" i="5"/>
  <c r="E1082" i="5" s="1"/>
  <c r="C1082" i="5"/>
  <c r="G1081" i="5"/>
  <c r="F1081" i="5"/>
  <c r="D1081" i="5"/>
  <c r="E1081" i="5" s="1"/>
  <c r="C1081" i="5"/>
  <c r="G1080" i="5"/>
  <c r="F1080" i="5"/>
  <c r="E1080" i="5"/>
  <c r="D1080" i="5"/>
  <c r="C1080" i="5"/>
  <c r="G1079" i="5"/>
  <c r="F1079" i="5"/>
  <c r="E1079" i="5"/>
  <c r="D1079" i="5"/>
  <c r="C1079" i="5"/>
  <c r="G1078" i="5"/>
  <c r="F1078" i="5"/>
  <c r="E1078" i="5"/>
  <c r="D1078" i="5"/>
  <c r="C1078" i="5"/>
  <c r="G1077" i="5"/>
  <c r="F1077" i="5"/>
  <c r="D1077" i="5"/>
  <c r="E1077" i="5" s="1"/>
  <c r="C1077" i="5"/>
  <c r="G1076" i="5"/>
  <c r="F1076" i="5"/>
  <c r="E1076" i="5"/>
  <c r="D1076" i="5"/>
  <c r="C1076" i="5"/>
  <c r="G1075" i="5"/>
  <c r="F1075" i="5"/>
  <c r="E1075" i="5"/>
  <c r="D1075" i="5"/>
  <c r="C1075" i="5"/>
  <c r="G1074" i="5"/>
  <c r="F1074" i="5"/>
  <c r="E1074" i="5"/>
  <c r="D1074" i="5"/>
  <c r="C1074" i="5"/>
  <c r="G1073" i="5"/>
  <c r="F1073" i="5"/>
  <c r="D1073" i="5"/>
  <c r="E1073" i="5" s="1"/>
  <c r="C1073" i="5"/>
  <c r="G1072" i="5"/>
  <c r="F1072" i="5"/>
  <c r="E1072" i="5"/>
  <c r="D1072" i="5"/>
  <c r="C1072" i="5"/>
  <c r="G1071" i="5"/>
  <c r="F1071" i="5"/>
  <c r="E1071" i="5"/>
  <c r="D1071" i="5"/>
  <c r="C1071" i="5"/>
  <c r="G1070" i="5"/>
  <c r="F1070" i="5"/>
  <c r="D1070" i="5"/>
  <c r="E1070" i="5" s="1"/>
  <c r="C1070" i="5"/>
  <c r="G1069" i="5"/>
  <c r="F1069" i="5"/>
  <c r="D1069" i="5"/>
  <c r="E1069" i="5" s="1"/>
  <c r="C1069" i="5"/>
  <c r="G1068" i="5"/>
  <c r="F1068" i="5"/>
  <c r="E1068" i="5"/>
  <c r="D1068" i="5"/>
  <c r="C1068" i="5"/>
  <c r="G1067" i="5"/>
  <c r="F1067" i="5"/>
  <c r="E1067" i="5"/>
  <c r="D1067" i="5"/>
  <c r="C1067" i="5"/>
  <c r="G1066" i="5"/>
  <c r="F1066" i="5"/>
  <c r="D1066" i="5"/>
  <c r="E1066" i="5" s="1"/>
  <c r="C1066" i="5"/>
  <c r="G1065" i="5"/>
  <c r="F1065" i="5"/>
  <c r="D1065" i="5"/>
  <c r="E1065" i="5" s="1"/>
  <c r="C1065" i="5"/>
  <c r="G1064" i="5"/>
  <c r="F1064" i="5"/>
  <c r="E1064" i="5"/>
  <c r="D1064" i="5"/>
  <c r="C1064" i="5"/>
  <c r="G1063" i="5"/>
  <c r="F1063" i="5"/>
  <c r="E1063" i="5"/>
  <c r="D1063" i="5"/>
  <c r="C1063" i="5"/>
  <c r="G1062" i="5"/>
  <c r="F1062" i="5"/>
  <c r="E1062" i="5"/>
  <c r="D1062" i="5"/>
  <c r="C1062" i="5"/>
  <c r="G1061" i="5"/>
  <c r="F1061" i="5"/>
  <c r="D1061" i="5"/>
  <c r="E1061" i="5" s="1"/>
  <c r="C1061" i="5"/>
  <c r="G1060" i="5"/>
  <c r="F1060" i="5"/>
  <c r="E1060" i="5"/>
  <c r="D1060" i="5"/>
  <c r="C1060" i="5"/>
  <c r="G1059" i="5"/>
  <c r="F1059" i="5"/>
  <c r="E1059" i="5"/>
  <c r="D1059" i="5"/>
  <c r="C1059" i="5"/>
  <c r="G1058" i="5"/>
  <c r="F1058" i="5"/>
  <c r="E1058" i="5"/>
  <c r="D1058" i="5"/>
  <c r="C1058" i="5"/>
  <c r="G1057" i="5"/>
  <c r="F1057" i="5"/>
  <c r="D1057" i="5"/>
  <c r="E1057" i="5" s="1"/>
  <c r="C1057" i="5"/>
  <c r="G1056" i="5"/>
  <c r="F1056" i="5"/>
  <c r="E1056" i="5"/>
  <c r="D1056" i="5"/>
  <c r="C1056" i="5"/>
  <c r="G1055" i="5"/>
  <c r="F1055" i="5"/>
  <c r="E1055" i="5"/>
  <c r="D1055" i="5"/>
  <c r="C1055" i="5"/>
  <c r="G1054" i="5"/>
  <c r="F1054" i="5"/>
  <c r="D1054" i="5"/>
  <c r="E1054" i="5" s="1"/>
  <c r="C1054" i="5"/>
  <c r="G1053" i="5"/>
  <c r="F1053" i="5"/>
  <c r="D1053" i="5"/>
  <c r="E1053" i="5" s="1"/>
  <c r="C1053" i="5"/>
  <c r="G1052" i="5"/>
  <c r="F1052" i="5"/>
  <c r="E1052" i="5"/>
  <c r="D1052" i="5"/>
  <c r="C1052" i="5"/>
  <c r="G1051" i="5"/>
  <c r="F1051" i="5"/>
  <c r="E1051" i="5"/>
  <c r="D1051" i="5"/>
  <c r="C1051" i="5"/>
  <c r="G1050" i="5"/>
  <c r="F1050" i="5"/>
  <c r="D1050" i="5"/>
  <c r="E1050" i="5" s="1"/>
  <c r="C1050" i="5"/>
  <c r="G1049" i="5"/>
  <c r="F1049" i="5"/>
  <c r="D1049" i="5"/>
  <c r="E1049" i="5" s="1"/>
  <c r="C1049" i="5"/>
  <c r="G1048" i="5"/>
  <c r="F1048" i="5"/>
  <c r="E1048" i="5"/>
  <c r="D1048" i="5"/>
  <c r="C1048" i="5"/>
  <c r="G1047" i="5"/>
  <c r="F1047" i="5"/>
  <c r="E1047" i="5"/>
  <c r="D1047" i="5"/>
  <c r="C1047" i="5"/>
  <c r="G1046" i="5"/>
  <c r="F1046" i="5"/>
  <c r="E1046" i="5"/>
  <c r="D1046" i="5"/>
  <c r="C1046" i="5"/>
  <c r="G1045" i="5"/>
  <c r="F1045" i="5"/>
  <c r="D1045" i="5"/>
  <c r="E1045" i="5" s="1"/>
  <c r="C1045" i="5"/>
  <c r="G1044" i="5"/>
  <c r="F1044" i="5"/>
  <c r="E1044" i="5"/>
  <c r="D1044" i="5"/>
  <c r="C1044" i="5"/>
  <c r="G1043" i="5"/>
  <c r="F1043" i="5"/>
  <c r="E1043" i="5"/>
  <c r="D1043" i="5"/>
  <c r="C1043" i="5"/>
  <c r="G1042" i="5"/>
  <c r="F1042" i="5"/>
  <c r="E1042" i="5"/>
  <c r="D1042" i="5"/>
  <c r="C1042" i="5"/>
  <c r="G1041" i="5"/>
  <c r="F1041" i="5"/>
  <c r="D1041" i="5"/>
  <c r="E1041" i="5" s="1"/>
  <c r="C1041" i="5"/>
  <c r="G1040" i="5"/>
  <c r="F1040" i="5"/>
  <c r="E1040" i="5"/>
  <c r="D1040" i="5"/>
  <c r="C1040" i="5"/>
  <c r="G1039" i="5"/>
  <c r="F1039" i="5"/>
  <c r="E1039" i="5"/>
  <c r="D1039" i="5"/>
  <c r="C1039" i="5"/>
  <c r="G1038" i="5"/>
  <c r="F1038" i="5"/>
  <c r="D1038" i="5"/>
  <c r="E1038" i="5" s="1"/>
  <c r="C1038" i="5"/>
  <c r="G1037" i="5"/>
  <c r="F1037" i="5"/>
  <c r="D1037" i="5"/>
  <c r="E1037" i="5" s="1"/>
  <c r="C1037" i="5"/>
  <c r="G1036" i="5"/>
  <c r="F1036" i="5"/>
  <c r="E1036" i="5"/>
  <c r="D1036" i="5"/>
  <c r="C1036" i="5"/>
  <c r="G1035" i="5"/>
  <c r="F1035" i="5"/>
  <c r="E1035" i="5"/>
  <c r="D1035" i="5"/>
  <c r="C1035" i="5"/>
  <c r="G1034" i="5"/>
  <c r="F1034" i="5"/>
  <c r="D1034" i="5"/>
  <c r="E1034" i="5" s="1"/>
  <c r="C1034" i="5"/>
  <c r="G1033" i="5"/>
  <c r="F1033" i="5"/>
  <c r="D1033" i="5"/>
  <c r="E1033" i="5" s="1"/>
  <c r="C1033" i="5"/>
  <c r="G1032" i="5"/>
  <c r="F1032" i="5"/>
  <c r="E1032" i="5"/>
  <c r="D1032" i="5"/>
  <c r="C1032" i="5"/>
  <c r="G1031" i="5"/>
  <c r="F1031" i="5"/>
  <c r="E1031" i="5"/>
  <c r="D1031" i="5"/>
  <c r="C1031" i="5"/>
  <c r="G1030" i="5"/>
  <c r="F1030" i="5"/>
  <c r="E1030" i="5"/>
  <c r="D1030" i="5"/>
  <c r="C1030" i="5"/>
  <c r="G1029" i="5"/>
  <c r="F1029" i="5"/>
  <c r="D1029" i="5"/>
  <c r="E1029" i="5" s="1"/>
  <c r="C1029" i="5"/>
  <c r="G1028" i="5"/>
  <c r="F1028" i="5"/>
  <c r="E1028" i="5"/>
  <c r="D1028" i="5"/>
  <c r="C1028" i="5"/>
  <c r="G1027" i="5"/>
  <c r="F1027" i="5"/>
  <c r="E1027" i="5"/>
  <c r="D1027" i="5"/>
  <c r="C1027" i="5"/>
  <c r="G1026" i="5"/>
  <c r="F1026" i="5"/>
  <c r="E1026" i="5"/>
  <c r="D1026" i="5"/>
  <c r="C1026" i="5"/>
  <c r="G1025" i="5"/>
  <c r="F1025" i="5"/>
  <c r="D1025" i="5"/>
  <c r="E1025" i="5" s="1"/>
  <c r="C1025" i="5"/>
  <c r="G1024" i="5"/>
  <c r="F1024" i="5"/>
  <c r="E1024" i="5"/>
  <c r="D1024" i="5"/>
  <c r="C1024" i="5"/>
  <c r="G1023" i="5"/>
  <c r="F1023" i="5"/>
  <c r="E1023" i="5"/>
  <c r="D1023" i="5"/>
  <c r="C1023" i="5"/>
  <c r="G1022" i="5"/>
  <c r="F1022" i="5"/>
  <c r="D1022" i="5"/>
  <c r="E1022" i="5" s="1"/>
  <c r="C1022" i="5"/>
  <c r="G1021" i="5"/>
  <c r="F1021" i="5"/>
  <c r="D1021" i="5"/>
  <c r="E1021" i="5" s="1"/>
  <c r="C1021" i="5"/>
  <c r="G1020" i="5"/>
  <c r="F1020" i="5"/>
  <c r="E1020" i="5"/>
  <c r="D1020" i="5"/>
  <c r="C1020" i="5"/>
  <c r="G1019" i="5"/>
  <c r="F1019" i="5"/>
  <c r="E1019" i="5"/>
  <c r="D1019" i="5"/>
  <c r="C1019" i="5"/>
  <c r="G1018" i="5"/>
  <c r="F1018" i="5"/>
  <c r="D1018" i="5"/>
  <c r="E1018" i="5" s="1"/>
  <c r="C1018" i="5"/>
  <c r="G1017" i="5"/>
  <c r="F1017" i="5"/>
  <c r="D1017" i="5"/>
  <c r="E1017" i="5" s="1"/>
  <c r="C1017" i="5"/>
  <c r="G1016" i="5"/>
  <c r="F1016" i="5"/>
  <c r="E1016" i="5"/>
  <c r="D1016" i="5"/>
  <c r="C1016" i="5"/>
  <c r="G1015" i="5"/>
  <c r="F1015" i="5"/>
  <c r="E1015" i="5"/>
  <c r="D1015" i="5"/>
  <c r="C1015" i="5"/>
  <c r="G1014" i="5"/>
  <c r="F1014" i="5"/>
  <c r="E1014" i="5"/>
  <c r="D1014" i="5"/>
  <c r="C1014" i="5"/>
  <c r="G1013" i="5"/>
  <c r="F1013" i="5"/>
  <c r="D1013" i="5"/>
  <c r="E1013" i="5" s="1"/>
  <c r="C1013" i="5"/>
  <c r="G1012" i="5"/>
  <c r="F1012" i="5"/>
  <c r="E1012" i="5"/>
  <c r="D1012" i="5"/>
  <c r="C1012" i="5"/>
  <c r="G1011" i="5"/>
  <c r="F1011" i="5"/>
  <c r="E1011" i="5"/>
  <c r="D1011" i="5"/>
  <c r="C1011" i="5"/>
  <c r="G1010" i="5"/>
  <c r="F1010" i="5"/>
  <c r="E1010" i="5"/>
  <c r="D1010" i="5"/>
  <c r="C1010" i="5"/>
  <c r="G1009" i="5"/>
  <c r="F1009" i="5"/>
  <c r="D1009" i="5"/>
  <c r="E1009" i="5" s="1"/>
  <c r="C1009" i="5"/>
  <c r="G1008" i="5"/>
  <c r="F1008" i="5"/>
  <c r="E1008" i="5"/>
  <c r="D1008" i="5"/>
  <c r="C1008" i="5"/>
  <c r="G1007" i="5"/>
  <c r="F1007" i="5"/>
  <c r="E1007" i="5"/>
  <c r="D1007" i="5"/>
  <c r="C1007" i="5"/>
  <c r="G1006" i="5"/>
  <c r="F1006" i="5"/>
  <c r="D1006" i="5"/>
  <c r="E1006" i="5" s="1"/>
  <c r="C1006" i="5"/>
  <c r="G1005" i="5"/>
  <c r="F1005" i="5"/>
  <c r="D1005" i="5"/>
  <c r="E1005" i="5" s="1"/>
  <c r="C1005" i="5"/>
  <c r="G1004" i="5"/>
  <c r="F1004" i="5"/>
  <c r="E1004" i="5"/>
  <c r="D1004" i="5"/>
  <c r="C1004" i="5"/>
  <c r="G1003" i="5"/>
  <c r="F1003" i="5"/>
  <c r="E1003" i="5"/>
  <c r="D1003" i="5"/>
  <c r="C1003" i="5"/>
  <c r="G1002" i="5"/>
  <c r="F1002" i="5"/>
  <c r="E1002" i="5"/>
  <c r="D1002" i="5"/>
  <c r="C1002" i="5"/>
  <c r="G1001" i="5"/>
  <c r="F1001" i="5"/>
  <c r="D1001" i="5"/>
  <c r="E1001" i="5" s="1"/>
  <c r="C1001" i="5"/>
  <c r="G1000" i="5"/>
  <c r="F1000" i="5"/>
  <c r="E1000" i="5"/>
  <c r="D1000" i="5"/>
  <c r="C1000" i="5"/>
  <c r="G999" i="5"/>
  <c r="F999" i="5"/>
  <c r="E999" i="5"/>
  <c r="D999" i="5"/>
  <c r="C999" i="5"/>
  <c r="G998" i="5"/>
  <c r="F998" i="5"/>
  <c r="E998" i="5"/>
  <c r="D998" i="5"/>
  <c r="C998" i="5"/>
  <c r="G997" i="5"/>
  <c r="F997" i="5"/>
  <c r="D997" i="5"/>
  <c r="E997" i="5" s="1"/>
  <c r="C997" i="5"/>
  <c r="G996" i="5"/>
  <c r="F996" i="5"/>
  <c r="E996" i="5"/>
  <c r="D996" i="5"/>
  <c r="C996" i="5"/>
  <c r="G995" i="5"/>
  <c r="F995" i="5"/>
  <c r="E995" i="5"/>
  <c r="D995" i="5"/>
  <c r="C995" i="5"/>
  <c r="G994" i="5"/>
  <c r="F994" i="5"/>
  <c r="E994" i="5"/>
  <c r="D994" i="5"/>
  <c r="C994" i="5"/>
  <c r="G993" i="5"/>
  <c r="F993" i="5"/>
  <c r="D993" i="5"/>
  <c r="E993" i="5" s="1"/>
  <c r="C993" i="5"/>
  <c r="G992" i="5"/>
  <c r="F992" i="5"/>
  <c r="E992" i="5"/>
  <c r="D992" i="5"/>
  <c r="C992" i="5"/>
  <c r="G991" i="5"/>
  <c r="F991" i="5"/>
  <c r="E991" i="5"/>
  <c r="D991" i="5"/>
  <c r="C991" i="5"/>
  <c r="G990" i="5"/>
  <c r="F990" i="5"/>
  <c r="D990" i="5"/>
  <c r="E990" i="5" s="1"/>
  <c r="C990" i="5"/>
  <c r="G989" i="5"/>
  <c r="F989" i="5"/>
  <c r="D989" i="5"/>
  <c r="E989" i="5" s="1"/>
  <c r="C989" i="5"/>
  <c r="G988" i="5"/>
  <c r="F988" i="5"/>
  <c r="E988" i="5"/>
  <c r="D988" i="5"/>
  <c r="C988" i="5"/>
  <c r="G987" i="5"/>
  <c r="F987" i="5"/>
  <c r="E987" i="5"/>
  <c r="D987" i="5"/>
  <c r="C987" i="5"/>
  <c r="G986" i="5"/>
  <c r="F986" i="5"/>
  <c r="E986" i="5"/>
  <c r="D986" i="5"/>
  <c r="C986" i="5"/>
  <c r="G985" i="5"/>
  <c r="F985" i="5"/>
  <c r="D985" i="5"/>
  <c r="E985" i="5" s="1"/>
  <c r="C985" i="5"/>
  <c r="G984" i="5"/>
  <c r="F984" i="5"/>
  <c r="E984" i="5"/>
  <c r="D984" i="5"/>
  <c r="C984" i="5"/>
  <c r="G983" i="5"/>
  <c r="F983" i="5"/>
  <c r="E983" i="5"/>
  <c r="D983" i="5"/>
  <c r="C983" i="5"/>
  <c r="G982" i="5"/>
  <c r="F982" i="5"/>
  <c r="E982" i="5"/>
  <c r="D982" i="5"/>
  <c r="C982" i="5"/>
  <c r="G981" i="5"/>
  <c r="F981" i="5"/>
  <c r="D981" i="5"/>
  <c r="E981" i="5" s="1"/>
  <c r="C981" i="5"/>
  <c r="G980" i="5"/>
  <c r="F980" i="5"/>
  <c r="E980" i="5"/>
  <c r="D980" i="5"/>
  <c r="C980" i="5"/>
  <c r="G979" i="5"/>
  <c r="F979" i="5"/>
  <c r="E979" i="5"/>
  <c r="D979" i="5"/>
  <c r="C979" i="5"/>
  <c r="G978" i="5"/>
  <c r="F978" i="5"/>
  <c r="E978" i="5"/>
  <c r="D978" i="5"/>
  <c r="C978" i="5"/>
  <c r="G977" i="5"/>
  <c r="F977" i="5"/>
  <c r="D977" i="5"/>
  <c r="E977" i="5" s="1"/>
  <c r="C977" i="5"/>
  <c r="G976" i="5"/>
  <c r="F976" i="5"/>
  <c r="E976" i="5"/>
  <c r="D976" i="5"/>
  <c r="C976" i="5"/>
  <c r="G975" i="5"/>
  <c r="F975" i="5"/>
  <c r="E975" i="5"/>
  <c r="D975" i="5"/>
  <c r="C975" i="5"/>
  <c r="G974" i="5"/>
  <c r="F974" i="5"/>
  <c r="D974" i="5"/>
  <c r="E974" i="5" s="1"/>
  <c r="C974" i="5"/>
  <c r="G973" i="5"/>
  <c r="F973" i="5"/>
  <c r="D973" i="5"/>
  <c r="E973" i="5" s="1"/>
  <c r="C973" i="5"/>
  <c r="G972" i="5"/>
  <c r="F972" i="5"/>
  <c r="E972" i="5"/>
  <c r="D972" i="5"/>
  <c r="C972" i="5"/>
  <c r="G971" i="5"/>
  <c r="F971" i="5"/>
  <c r="E971" i="5"/>
  <c r="D971" i="5"/>
  <c r="C971" i="5"/>
  <c r="G970" i="5"/>
  <c r="F970" i="5"/>
  <c r="E970" i="5"/>
  <c r="D970" i="5"/>
  <c r="C970" i="5"/>
  <c r="G969" i="5"/>
  <c r="F969" i="5"/>
  <c r="D969" i="5"/>
  <c r="E969" i="5" s="1"/>
  <c r="C969" i="5"/>
  <c r="G968" i="5"/>
  <c r="F968" i="5"/>
  <c r="E968" i="5"/>
  <c r="D968" i="5"/>
  <c r="C968" i="5"/>
  <c r="G967" i="5"/>
  <c r="F967" i="5"/>
  <c r="E967" i="5"/>
  <c r="D967" i="5"/>
  <c r="C967" i="5"/>
  <c r="G966" i="5"/>
  <c r="F966" i="5"/>
  <c r="E966" i="5"/>
  <c r="D966" i="5"/>
  <c r="C966" i="5"/>
  <c r="G965" i="5"/>
  <c r="F965" i="5"/>
  <c r="D965" i="5"/>
  <c r="E965" i="5" s="1"/>
  <c r="C965" i="5"/>
  <c r="G964" i="5"/>
  <c r="F964" i="5"/>
  <c r="E964" i="5"/>
  <c r="D964" i="5"/>
  <c r="C964" i="5"/>
  <c r="G963" i="5"/>
  <c r="F963" i="5"/>
  <c r="E963" i="5"/>
  <c r="D963" i="5"/>
  <c r="C963" i="5"/>
  <c r="G962" i="5"/>
  <c r="F962" i="5"/>
  <c r="E962" i="5"/>
  <c r="D962" i="5"/>
  <c r="C962" i="5"/>
  <c r="G961" i="5"/>
  <c r="F961" i="5"/>
  <c r="D961" i="5"/>
  <c r="E961" i="5" s="1"/>
  <c r="C961" i="5"/>
  <c r="G960" i="5"/>
  <c r="F960" i="5"/>
  <c r="E960" i="5"/>
  <c r="D960" i="5"/>
  <c r="C960" i="5"/>
  <c r="G959" i="5"/>
  <c r="F959" i="5"/>
  <c r="E959" i="5"/>
  <c r="D959" i="5"/>
  <c r="C959" i="5"/>
  <c r="G958" i="5"/>
  <c r="F958" i="5"/>
  <c r="D958" i="5"/>
  <c r="E958" i="5" s="1"/>
  <c r="C958" i="5"/>
  <c r="G957" i="5"/>
  <c r="F957" i="5"/>
  <c r="D957" i="5"/>
  <c r="E957" i="5" s="1"/>
  <c r="C957" i="5"/>
  <c r="G956" i="5"/>
  <c r="F956" i="5"/>
  <c r="E956" i="5"/>
  <c r="D956" i="5"/>
  <c r="C956" i="5"/>
  <c r="G955" i="5"/>
  <c r="F955" i="5"/>
  <c r="E955" i="5"/>
  <c r="D955" i="5"/>
  <c r="C955" i="5"/>
  <c r="G954" i="5"/>
  <c r="F954" i="5"/>
  <c r="E954" i="5"/>
  <c r="D954" i="5"/>
  <c r="C954" i="5"/>
  <c r="G953" i="5"/>
  <c r="F953" i="5"/>
  <c r="D953" i="5"/>
  <c r="E953" i="5" s="1"/>
  <c r="C953" i="5"/>
  <c r="G952" i="5"/>
  <c r="F952" i="5"/>
  <c r="E952" i="5"/>
  <c r="D952" i="5"/>
  <c r="C952" i="5"/>
  <c r="G951" i="5"/>
  <c r="F951" i="5"/>
  <c r="E951" i="5"/>
  <c r="D951" i="5"/>
  <c r="C951" i="5"/>
  <c r="G950" i="5"/>
  <c r="F950" i="5"/>
  <c r="E950" i="5"/>
  <c r="D950" i="5"/>
  <c r="C950" i="5"/>
  <c r="G949" i="5"/>
  <c r="F949" i="5"/>
  <c r="D949" i="5"/>
  <c r="E949" i="5" s="1"/>
  <c r="C949" i="5"/>
  <c r="G948" i="5"/>
  <c r="F948" i="5"/>
  <c r="E948" i="5"/>
  <c r="D948" i="5"/>
  <c r="C948" i="5"/>
  <c r="G947" i="5"/>
  <c r="F947" i="5"/>
  <c r="E947" i="5"/>
  <c r="D947" i="5"/>
  <c r="C947" i="5"/>
  <c r="G946" i="5"/>
  <c r="F946" i="5"/>
  <c r="E946" i="5"/>
  <c r="D946" i="5"/>
  <c r="C946" i="5"/>
  <c r="G945" i="5"/>
  <c r="F945" i="5"/>
  <c r="D945" i="5"/>
  <c r="E945" i="5" s="1"/>
  <c r="C945" i="5"/>
  <c r="G944" i="5"/>
  <c r="F944" i="5"/>
  <c r="E944" i="5"/>
  <c r="D944" i="5"/>
  <c r="C944" i="5"/>
  <c r="G943" i="5"/>
  <c r="F943" i="5"/>
  <c r="E943" i="5"/>
  <c r="D943" i="5"/>
  <c r="C943" i="5"/>
  <c r="G942" i="5"/>
  <c r="F942" i="5"/>
  <c r="D942" i="5"/>
  <c r="E942" i="5" s="1"/>
  <c r="C942" i="5"/>
  <c r="G941" i="5"/>
  <c r="F941" i="5"/>
  <c r="D941" i="5"/>
  <c r="E941" i="5" s="1"/>
  <c r="C941" i="5"/>
  <c r="G940" i="5"/>
  <c r="F940" i="5"/>
  <c r="E940" i="5"/>
  <c r="D940" i="5"/>
  <c r="C940" i="5"/>
  <c r="G939" i="5"/>
  <c r="F939" i="5"/>
  <c r="E939" i="5"/>
  <c r="D939" i="5"/>
  <c r="C939" i="5"/>
  <c r="G938" i="5"/>
  <c r="F938" i="5"/>
  <c r="E938" i="5"/>
  <c r="D938" i="5"/>
  <c r="C938" i="5"/>
  <c r="G937" i="5"/>
  <c r="F937" i="5"/>
  <c r="D937" i="5"/>
  <c r="E937" i="5" s="1"/>
  <c r="C937" i="5"/>
  <c r="G936" i="5"/>
  <c r="F936" i="5"/>
  <c r="E936" i="5"/>
  <c r="D936" i="5"/>
  <c r="C936" i="5"/>
  <c r="G935" i="5"/>
  <c r="F935" i="5"/>
  <c r="E935" i="5"/>
  <c r="D935" i="5"/>
  <c r="C935" i="5"/>
  <c r="G934" i="5"/>
  <c r="F934" i="5"/>
  <c r="E934" i="5"/>
  <c r="D934" i="5"/>
  <c r="C934" i="5"/>
  <c r="G933" i="5"/>
  <c r="F933" i="5"/>
  <c r="D933" i="5"/>
  <c r="E933" i="5" s="1"/>
  <c r="C933" i="5"/>
  <c r="G932" i="5"/>
  <c r="F932" i="5"/>
  <c r="E932" i="5"/>
  <c r="D932" i="5"/>
  <c r="C932" i="5"/>
  <c r="G931" i="5"/>
  <c r="F931" i="5"/>
  <c r="E931" i="5"/>
  <c r="D931" i="5"/>
  <c r="C931" i="5"/>
  <c r="G930" i="5"/>
  <c r="F930" i="5"/>
  <c r="E930" i="5"/>
  <c r="D930" i="5"/>
  <c r="C930" i="5"/>
  <c r="G929" i="5"/>
  <c r="F929" i="5"/>
  <c r="D929" i="5"/>
  <c r="E929" i="5" s="1"/>
  <c r="C929" i="5"/>
  <c r="G928" i="5"/>
  <c r="F928" i="5"/>
  <c r="E928" i="5"/>
  <c r="D928" i="5"/>
  <c r="C928" i="5"/>
  <c r="G927" i="5"/>
  <c r="F927" i="5"/>
  <c r="E927" i="5"/>
  <c r="D927" i="5"/>
  <c r="C927" i="5"/>
  <c r="G926" i="5"/>
  <c r="F926" i="5"/>
  <c r="D926" i="5"/>
  <c r="E926" i="5" s="1"/>
  <c r="C926" i="5"/>
  <c r="G925" i="5"/>
  <c r="F925" i="5"/>
  <c r="D925" i="5"/>
  <c r="E925" i="5" s="1"/>
  <c r="C925" i="5"/>
  <c r="G924" i="5"/>
  <c r="F924" i="5"/>
  <c r="E924" i="5"/>
  <c r="D924" i="5"/>
  <c r="C924" i="5"/>
  <c r="G923" i="5"/>
  <c r="F923" i="5"/>
  <c r="E923" i="5"/>
  <c r="D923" i="5"/>
  <c r="C923" i="5"/>
  <c r="G922" i="5"/>
  <c r="F922" i="5"/>
  <c r="E922" i="5"/>
  <c r="D922" i="5"/>
  <c r="C922" i="5"/>
  <c r="G921" i="5"/>
  <c r="F921" i="5"/>
  <c r="D921" i="5"/>
  <c r="E921" i="5" s="1"/>
  <c r="C921" i="5"/>
  <c r="G920" i="5"/>
  <c r="F920" i="5"/>
  <c r="E920" i="5"/>
  <c r="D920" i="5"/>
  <c r="C920" i="5"/>
  <c r="G919" i="5"/>
  <c r="F919" i="5"/>
  <c r="E919" i="5"/>
  <c r="D919" i="5"/>
  <c r="C919" i="5"/>
  <c r="G918" i="5"/>
  <c r="F918" i="5"/>
  <c r="E918" i="5"/>
  <c r="D918" i="5"/>
  <c r="C918" i="5"/>
  <c r="G917" i="5"/>
  <c r="F917" i="5"/>
  <c r="D917" i="5"/>
  <c r="E917" i="5" s="1"/>
  <c r="C917" i="5"/>
  <c r="G916" i="5"/>
  <c r="F916" i="5"/>
  <c r="E916" i="5"/>
  <c r="D916" i="5"/>
  <c r="C916" i="5"/>
  <c r="G915" i="5"/>
  <c r="F915" i="5"/>
  <c r="E915" i="5"/>
  <c r="D915" i="5"/>
  <c r="C915" i="5"/>
  <c r="G914" i="5"/>
  <c r="F914" i="5"/>
  <c r="E914" i="5"/>
  <c r="D914" i="5"/>
  <c r="C914" i="5"/>
  <c r="G913" i="5"/>
  <c r="F913" i="5"/>
  <c r="D913" i="5"/>
  <c r="E913" i="5" s="1"/>
  <c r="C913" i="5"/>
  <c r="G912" i="5"/>
  <c r="F912" i="5"/>
  <c r="E912" i="5"/>
  <c r="D912" i="5"/>
  <c r="C912" i="5"/>
  <c r="G911" i="5"/>
  <c r="F911" i="5"/>
  <c r="E911" i="5"/>
  <c r="D911" i="5"/>
  <c r="C911" i="5"/>
  <c r="G910" i="5"/>
  <c r="F910" i="5"/>
  <c r="D910" i="5"/>
  <c r="E910" i="5" s="1"/>
  <c r="C910" i="5"/>
  <c r="G909" i="5"/>
  <c r="F909" i="5"/>
  <c r="D909" i="5"/>
  <c r="E909" i="5" s="1"/>
  <c r="C909" i="5"/>
  <c r="G908" i="5"/>
  <c r="F908" i="5"/>
  <c r="E908" i="5"/>
  <c r="D908" i="5"/>
  <c r="C908" i="5"/>
  <c r="G907" i="5"/>
  <c r="F907" i="5"/>
  <c r="E907" i="5"/>
  <c r="D907" i="5"/>
  <c r="C907" i="5"/>
  <c r="G906" i="5"/>
  <c r="F906" i="5"/>
  <c r="E906" i="5"/>
  <c r="D906" i="5"/>
  <c r="C906" i="5"/>
  <c r="G905" i="5"/>
  <c r="F905" i="5"/>
  <c r="D905" i="5"/>
  <c r="E905" i="5" s="1"/>
  <c r="C905" i="5"/>
  <c r="G904" i="5"/>
  <c r="F904" i="5"/>
  <c r="E904" i="5"/>
  <c r="D904" i="5"/>
  <c r="C904" i="5"/>
  <c r="G903" i="5"/>
  <c r="F903" i="5"/>
  <c r="E903" i="5"/>
  <c r="D903" i="5"/>
  <c r="C903" i="5"/>
  <c r="G902" i="5"/>
  <c r="F902" i="5"/>
  <c r="E902" i="5"/>
  <c r="D902" i="5"/>
  <c r="C902" i="5"/>
  <c r="G901" i="5"/>
  <c r="F901" i="5"/>
  <c r="D901" i="5"/>
  <c r="E901" i="5" s="1"/>
  <c r="C901" i="5"/>
  <c r="G900" i="5"/>
  <c r="F900" i="5"/>
  <c r="E900" i="5"/>
  <c r="D900" i="5"/>
  <c r="C900" i="5"/>
  <c r="G899" i="5"/>
  <c r="F899" i="5"/>
  <c r="E899" i="5"/>
  <c r="D899" i="5"/>
  <c r="C899" i="5"/>
  <c r="G898" i="5"/>
  <c r="F898" i="5"/>
  <c r="E898" i="5"/>
  <c r="D898" i="5"/>
  <c r="C898" i="5"/>
  <c r="G897" i="5"/>
  <c r="F897" i="5"/>
  <c r="D897" i="5"/>
  <c r="E897" i="5" s="1"/>
  <c r="C897" i="5"/>
  <c r="G896" i="5"/>
  <c r="F896" i="5"/>
  <c r="E896" i="5"/>
  <c r="D896" i="5"/>
  <c r="C896" i="5"/>
  <c r="G895" i="5"/>
  <c r="F895" i="5"/>
  <c r="E895" i="5"/>
  <c r="D895" i="5"/>
  <c r="C895" i="5"/>
  <c r="G894" i="5"/>
  <c r="F894" i="5"/>
  <c r="D894" i="5"/>
  <c r="E894" i="5" s="1"/>
  <c r="C894" i="5"/>
  <c r="G893" i="5"/>
  <c r="F893" i="5"/>
  <c r="D893" i="5"/>
  <c r="E893" i="5" s="1"/>
  <c r="C893" i="5"/>
  <c r="G892" i="5"/>
  <c r="F892" i="5"/>
  <c r="E892" i="5"/>
  <c r="D892" i="5"/>
  <c r="C892" i="5"/>
  <c r="G891" i="5"/>
  <c r="F891" i="5"/>
  <c r="E891" i="5"/>
  <c r="D891" i="5"/>
  <c r="C891" i="5"/>
  <c r="G890" i="5"/>
  <c r="F890" i="5"/>
  <c r="E890" i="5"/>
  <c r="D890" i="5"/>
  <c r="C890" i="5"/>
  <c r="G889" i="5"/>
  <c r="F889" i="5"/>
  <c r="D889" i="5"/>
  <c r="E889" i="5" s="1"/>
  <c r="C889" i="5"/>
  <c r="G888" i="5"/>
  <c r="F888" i="5"/>
  <c r="E888" i="5"/>
  <c r="D888" i="5"/>
  <c r="C888" i="5"/>
  <c r="G887" i="5"/>
  <c r="F887" i="5"/>
  <c r="E887" i="5"/>
  <c r="D887" i="5"/>
  <c r="C887" i="5"/>
  <c r="G886" i="5"/>
  <c r="F886" i="5"/>
  <c r="E886" i="5"/>
  <c r="D886" i="5"/>
  <c r="C886" i="5"/>
  <c r="G885" i="5"/>
  <c r="F885" i="5"/>
  <c r="D885" i="5"/>
  <c r="E885" i="5" s="1"/>
  <c r="C885" i="5"/>
  <c r="G884" i="5"/>
  <c r="F884" i="5"/>
  <c r="E884" i="5"/>
  <c r="D884" i="5"/>
  <c r="C884" i="5"/>
  <c r="G883" i="5"/>
  <c r="F883" i="5"/>
  <c r="E883" i="5"/>
  <c r="D883" i="5"/>
  <c r="C883" i="5"/>
  <c r="G882" i="5"/>
  <c r="F882" i="5"/>
  <c r="E882" i="5"/>
  <c r="D882" i="5"/>
  <c r="C882" i="5"/>
  <c r="G881" i="5"/>
  <c r="F881" i="5"/>
  <c r="D881" i="5"/>
  <c r="E881" i="5" s="1"/>
  <c r="C881" i="5"/>
  <c r="G880" i="5"/>
  <c r="F880" i="5"/>
  <c r="E880" i="5"/>
  <c r="D880" i="5"/>
  <c r="C880" i="5"/>
  <c r="G879" i="5"/>
  <c r="F879" i="5"/>
  <c r="E879" i="5"/>
  <c r="D879" i="5"/>
  <c r="C879" i="5"/>
  <c r="G878" i="5"/>
  <c r="F878" i="5"/>
  <c r="D878" i="5"/>
  <c r="E878" i="5" s="1"/>
  <c r="C878" i="5"/>
  <c r="G877" i="5"/>
  <c r="F877" i="5"/>
  <c r="D877" i="5"/>
  <c r="E877" i="5" s="1"/>
  <c r="C877" i="5"/>
  <c r="G876" i="5"/>
  <c r="F876" i="5"/>
  <c r="E876" i="5"/>
  <c r="D876" i="5"/>
  <c r="C876" i="5"/>
  <c r="G875" i="5"/>
  <c r="F875" i="5"/>
  <c r="E875" i="5"/>
  <c r="D875" i="5"/>
  <c r="C875" i="5"/>
  <c r="G874" i="5"/>
  <c r="F874" i="5"/>
  <c r="E874" i="5"/>
  <c r="D874" i="5"/>
  <c r="C874" i="5"/>
  <c r="G873" i="5"/>
  <c r="F873" i="5"/>
  <c r="D873" i="5"/>
  <c r="E873" i="5" s="1"/>
  <c r="C873" i="5"/>
  <c r="G872" i="5"/>
  <c r="F872" i="5"/>
  <c r="E872" i="5"/>
  <c r="D872" i="5"/>
  <c r="C872" i="5"/>
  <c r="G871" i="5"/>
  <c r="F871" i="5"/>
  <c r="E871" i="5"/>
  <c r="D871" i="5"/>
  <c r="C871" i="5"/>
  <c r="G870" i="5"/>
  <c r="F870" i="5"/>
  <c r="E870" i="5"/>
  <c r="D870" i="5"/>
  <c r="C870" i="5"/>
  <c r="G869" i="5"/>
  <c r="F869" i="5"/>
  <c r="D869" i="5"/>
  <c r="E869" i="5" s="1"/>
  <c r="C869" i="5"/>
  <c r="G868" i="5"/>
  <c r="F868" i="5"/>
  <c r="E868" i="5"/>
  <c r="D868" i="5"/>
  <c r="C868" i="5"/>
  <c r="G867" i="5"/>
  <c r="F867" i="5"/>
  <c r="E867" i="5"/>
  <c r="D867" i="5"/>
  <c r="C867" i="5"/>
  <c r="G866" i="5"/>
  <c r="F866" i="5"/>
  <c r="E866" i="5"/>
  <c r="D866" i="5"/>
  <c r="C866" i="5"/>
  <c r="G865" i="5"/>
  <c r="F865" i="5"/>
  <c r="D865" i="5"/>
  <c r="E865" i="5" s="1"/>
  <c r="C865" i="5"/>
  <c r="G864" i="5"/>
  <c r="F864" i="5"/>
  <c r="E864" i="5"/>
  <c r="D864" i="5"/>
  <c r="C864" i="5"/>
  <c r="G863" i="5"/>
  <c r="F863" i="5"/>
  <c r="E863" i="5"/>
  <c r="D863" i="5"/>
  <c r="C863" i="5"/>
  <c r="G862" i="5"/>
  <c r="F862" i="5"/>
  <c r="D862" i="5"/>
  <c r="E862" i="5" s="1"/>
  <c r="C862" i="5"/>
  <c r="G861" i="5"/>
  <c r="F861" i="5"/>
  <c r="D861" i="5"/>
  <c r="E861" i="5" s="1"/>
  <c r="C861" i="5"/>
  <c r="G860" i="5"/>
  <c r="F860" i="5"/>
  <c r="E860" i="5"/>
  <c r="D860" i="5"/>
  <c r="C860" i="5"/>
  <c r="G859" i="5"/>
  <c r="F859" i="5"/>
  <c r="E859" i="5"/>
  <c r="D859" i="5"/>
  <c r="C859" i="5"/>
  <c r="G858" i="5"/>
  <c r="F858" i="5"/>
  <c r="E858" i="5"/>
  <c r="D858" i="5"/>
  <c r="C858" i="5"/>
  <c r="G857" i="5"/>
  <c r="F857" i="5"/>
  <c r="D857" i="5"/>
  <c r="E857" i="5" s="1"/>
  <c r="C857" i="5"/>
  <c r="G856" i="5"/>
  <c r="F856" i="5"/>
  <c r="E856" i="5"/>
  <c r="D856" i="5"/>
  <c r="C856" i="5"/>
  <c r="G855" i="5"/>
  <c r="F855" i="5"/>
  <c r="E855" i="5"/>
  <c r="D855" i="5"/>
  <c r="C855" i="5"/>
  <c r="G854" i="5"/>
  <c r="F854" i="5"/>
  <c r="E854" i="5"/>
  <c r="D854" i="5"/>
  <c r="C854" i="5"/>
  <c r="G853" i="5"/>
  <c r="F853" i="5"/>
  <c r="D853" i="5"/>
  <c r="E853" i="5" s="1"/>
  <c r="C853" i="5"/>
  <c r="G852" i="5"/>
  <c r="F852" i="5"/>
  <c r="E852" i="5"/>
  <c r="D852" i="5"/>
  <c r="C852" i="5"/>
  <c r="G851" i="5"/>
  <c r="F851" i="5"/>
  <c r="E851" i="5"/>
  <c r="D851" i="5"/>
  <c r="C851" i="5"/>
  <c r="G850" i="5"/>
  <c r="F850" i="5"/>
  <c r="E850" i="5"/>
  <c r="D850" i="5"/>
  <c r="C850" i="5"/>
  <c r="G849" i="5"/>
  <c r="F849" i="5"/>
  <c r="D849" i="5"/>
  <c r="E849" i="5" s="1"/>
  <c r="C849" i="5"/>
  <c r="G848" i="5"/>
  <c r="F848" i="5"/>
  <c r="E848" i="5"/>
  <c r="D848" i="5"/>
  <c r="C848" i="5"/>
  <c r="G847" i="5"/>
  <c r="F847" i="5"/>
  <c r="E847" i="5"/>
  <c r="D847" i="5"/>
  <c r="C847" i="5"/>
  <c r="G846" i="5"/>
  <c r="F846" i="5"/>
  <c r="D846" i="5"/>
  <c r="E846" i="5" s="1"/>
  <c r="C846" i="5"/>
  <c r="G845" i="5"/>
  <c r="F845" i="5"/>
  <c r="D845" i="5"/>
  <c r="E845" i="5" s="1"/>
  <c r="C845" i="5"/>
  <c r="G844" i="5"/>
  <c r="F844" i="5"/>
  <c r="E844" i="5"/>
  <c r="D844" i="5"/>
  <c r="C844" i="5"/>
  <c r="G843" i="5"/>
  <c r="F843" i="5"/>
  <c r="E843" i="5"/>
  <c r="D843" i="5"/>
  <c r="C843" i="5"/>
  <c r="G842" i="5"/>
  <c r="F842" i="5"/>
  <c r="E842" i="5"/>
  <c r="D842" i="5"/>
  <c r="C842" i="5"/>
  <c r="G841" i="5"/>
  <c r="F841" i="5"/>
  <c r="D841" i="5"/>
  <c r="E841" i="5" s="1"/>
  <c r="C841" i="5"/>
  <c r="G840" i="5"/>
  <c r="F840" i="5"/>
  <c r="E840" i="5"/>
  <c r="D840" i="5"/>
  <c r="C840" i="5"/>
  <c r="G839" i="5"/>
  <c r="F839" i="5"/>
  <c r="E839" i="5"/>
  <c r="D839" i="5"/>
  <c r="C839" i="5"/>
  <c r="G838" i="5"/>
  <c r="F838" i="5"/>
  <c r="E838" i="5"/>
  <c r="D838" i="5"/>
  <c r="C838" i="5"/>
  <c r="G837" i="5"/>
  <c r="F837" i="5"/>
  <c r="D837" i="5"/>
  <c r="E837" i="5" s="1"/>
  <c r="C837" i="5"/>
  <c r="G836" i="5"/>
  <c r="F836" i="5"/>
  <c r="E836" i="5"/>
  <c r="D836" i="5"/>
  <c r="C836" i="5"/>
  <c r="G835" i="5"/>
  <c r="F835" i="5"/>
  <c r="E835" i="5"/>
  <c r="D835" i="5"/>
  <c r="C835" i="5"/>
  <c r="G834" i="5"/>
  <c r="F834" i="5"/>
  <c r="E834" i="5"/>
  <c r="D834" i="5"/>
  <c r="C834" i="5"/>
  <c r="G833" i="5"/>
  <c r="F833" i="5"/>
  <c r="D833" i="5"/>
  <c r="E833" i="5" s="1"/>
  <c r="C833" i="5"/>
  <c r="G832" i="5"/>
  <c r="F832" i="5"/>
  <c r="E832" i="5"/>
  <c r="D832" i="5"/>
  <c r="C832" i="5"/>
  <c r="G831" i="5"/>
  <c r="F831" i="5"/>
  <c r="E831" i="5"/>
  <c r="D831" i="5"/>
  <c r="C831" i="5"/>
  <c r="G830" i="5"/>
  <c r="F830" i="5"/>
  <c r="D830" i="5"/>
  <c r="E830" i="5" s="1"/>
  <c r="C830" i="5"/>
  <c r="G829" i="5"/>
  <c r="F829" i="5"/>
  <c r="D829" i="5"/>
  <c r="E829" i="5" s="1"/>
  <c r="C829" i="5"/>
  <c r="G828" i="5"/>
  <c r="F828" i="5"/>
  <c r="E828" i="5"/>
  <c r="D828" i="5"/>
  <c r="C828" i="5"/>
  <c r="G827" i="5"/>
  <c r="F827" i="5"/>
  <c r="E827" i="5"/>
  <c r="D827" i="5"/>
  <c r="C827" i="5"/>
  <c r="G826" i="5"/>
  <c r="F826" i="5"/>
  <c r="E826" i="5"/>
  <c r="D826" i="5"/>
  <c r="C826" i="5"/>
  <c r="G825" i="5"/>
  <c r="F825" i="5"/>
  <c r="D825" i="5"/>
  <c r="E825" i="5" s="1"/>
  <c r="C825" i="5"/>
  <c r="G824" i="5"/>
  <c r="F824" i="5"/>
  <c r="E824" i="5"/>
  <c r="D824" i="5"/>
  <c r="C824" i="5"/>
  <c r="G823" i="5"/>
  <c r="F823" i="5"/>
  <c r="E823" i="5"/>
  <c r="D823" i="5"/>
  <c r="C823" i="5"/>
  <c r="G822" i="5"/>
  <c r="F822" i="5"/>
  <c r="E822" i="5"/>
  <c r="D822" i="5"/>
  <c r="C822" i="5"/>
  <c r="G821" i="5"/>
  <c r="F821" i="5"/>
  <c r="D821" i="5"/>
  <c r="E821" i="5" s="1"/>
  <c r="C821" i="5"/>
  <c r="G820" i="5"/>
  <c r="F820" i="5"/>
  <c r="E820" i="5"/>
  <c r="D820" i="5"/>
  <c r="C820" i="5"/>
  <c r="G819" i="5"/>
  <c r="F819" i="5"/>
  <c r="E819" i="5"/>
  <c r="D819" i="5"/>
  <c r="C819" i="5"/>
  <c r="G818" i="5"/>
  <c r="F818" i="5"/>
  <c r="E818" i="5"/>
  <c r="D818" i="5"/>
  <c r="C818" i="5"/>
  <c r="G817" i="5"/>
  <c r="F817" i="5"/>
  <c r="D817" i="5"/>
  <c r="E817" i="5" s="1"/>
  <c r="C817" i="5"/>
  <c r="G816" i="5"/>
  <c r="F816" i="5"/>
  <c r="E816" i="5"/>
  <c r="D816" i="5"/>
  <c r="C816" i="5"/>
  <c r="G815" i="5"/>
  <c r="F815" i="5"/>
  <c r="E815" i="5"/>
  <c r="D815" i="5"/>
  <c r="C815" i="5"/>
  <c r="G814" i="5"/>
  <c r="F814" i="5"/>
  <c r="D814" i="5"/>
  <c r="E814" i="5" s="1"/>
  <c r="C814" i="5"/>
  <c r="G813" i="5"/>
  <c r="F813" i="5"/>
  <c r="D813" i="5"/>
  <c r="E813" i="5" s="1"/>
  <c r="C813" i="5"/>
  <c r="G812" i="5"/>
  <c r="F812" i="5"/>
  <c r="E812" i="5"/>
  <c r="D812" i="5"/>
  <c r="C812" i="5"/>
  <c r="G811" i="5"/>
  <c r="F811" i="5"/>
  <c r="E811" i="5"/>
  <c r="D811" i="5"/>
  <c r="C811" i="5"/>
  <c r="G810" i="5"/>
  <c r="F810" i="5"/>
  <c r="E810" i="5"/>
  <c r="D810" i="5"/>
  <c r="C810" i="5"/>
  <c r="G809" i="5"/>
  <c r="F809" i="5"/>
  <c r="D809" i="5"/>
  <c r="E809" i="5" s="1"/>
  <c r="C809" i="5"/>
  <c r="G808" i="5"/>
  <c r="F808" i="5"/>
  <c r="E808" i="5"/>
  <c r="D808" i="5"/>
  <c r="C808" i="5"/>
  <c r="G807" i="5"/>
  <c r="F807" i="5"/>
  <c r="E807" i="5"/>
  <c r="D807" i="5"/>
  <c r="C807" i="5"/>
  <c r="G806" i="5"/>
  <c r="F806" i="5"/>
  <c r="E806" i="5"/>
  <c r="D806" i="5"/>
  <c r="C806" i="5"/>
  <c r="G805" i="5"/>
  <c r="F805" i="5"/>
  <c r="D805" i="5"/>
  <c r="E805" i="5" s="1"/>
  <c r="C805" i="5"/>
  <c r="G804" i="5"/>
  <c r="F804" i="5"/>
  <c r="E804" i="5"/>
  <c r="D804" i="5"/>
  <c r="C804" i="5"/>
  <c r="G803" i="5"/>
  <c r="F803" i="5"/>
  <c r="E803" i="5"/>
  <c r="D803" i="5"/>
  <c r="C803" i="5"/>
  <c r="G802" i="5"/>
  <c r="F802" i="5"/>
  <c r="E802" i="5"/>
  <c r="D802" i="5"/>
  <c r="C802" i="5"/>
  <c r="G801" i="5"/>
  <c r="F801" i="5"/>
  <c r="D801" i="5"/>
  <c r="E801" i="5" s="1"/>
  <c r="C801" i="5"/>
  <c r="G800" i="5"/>
  <c r="F800" i="5"/>
  <c r="E800" i="5"/>
  <c r="D800" i="5"/>
  <c r="C800" i="5"/>
  <c r="G799" i="5"/>
  <c r="F799" i="5"/>
  <c r="E799" i="5"/>
  <c r="D799" i="5"/>
  <c r="C799" i="5"/>
  <c r="G798" i="5"/>
  <c r="F798" i="5"/>
  <c r="D798" i="5"/>
  <c r="E798" i="5" s="1"/>
  <c r="C798" i="5"/>
  <c r="G797" i="5"/>
  <c r="F797" i="5"/>
  <c r="D797" i="5"/>
  <c r="E797" i="5" s="1"/>
  <c r="C797" i="5"/>
  <c r="G796" i="5"/>
  <c r="F796" i="5"/>
  <c r="E796" i="5"/>
  <c r="D796" i="5"/>
  <c r="C796" i="5"/>
  <c r="G795" i="5"/>
  <c r="F795" i="5"/>
  <c r="E795" i="5"/>
  <c r="D795" i="5"/>
  <c r="C795" i="5"/>
  <c r="G794" i="5"/>
  <c r="F794" i="5"/>
  <c r="E794" i="5"/>
  <c r="D794" i="5"/>
  <c r="C794" i="5"/>
  <c r="G793" i="5"/>
  <c r="F793" i="5"/>
  <c r="D793" i="5"/>
  <c r="E793" i="5" s="1"/>
  <c r="C793" i="5"/>
  <c r="G792" i="5"/>
  <c r="F792" i="5"/>
  <c r="E792" i="5"/>
  <c r="D792" i="5"/>
  <c r="C792" i="5"/>
  <c r="G791" i="5"/>
  <c r="F791" i="5"/>
  <c r="E791" i="5"/>
  <c r="D791" i="5"/>
  <c r="C791" i="5"/>
  <c r="G790" i="5"/>
  <c r="F790" i="5"/>
  <c r="E790" i="5"/>
  <c r="D790" i="5"/>
  <c r="C790" i="5"/>
  <c r="G789" i="5"/>
  <c r="F789" i="5"/>
  <c r="D789" i="5"/>
  <c r="E789" i="5" s="1"/>
  <c r="C789" i="5"/>
  <c r="G788" i="5"/>
  <c r="F788" i="5"/>
  <c r="E788" i="5"/>
  <c r="D788" i="5"/>
  <c r="C788" i="5"/>
  <c r="G787" i="5"/>
  <c r="F787" i="5"/>
  <c r="E787" i="5"/>
  <c r="D787" i="5"/>
  <c r="C787" i="5"/>
  <c r="G786" i="5"/>
  <c r="F786" i="5"/>
  <c r="E786" i="5"/>
  <c r="D786" i="5"/>
  <c r="C786" i="5"/>
  <c r="G785" i="5"/>
  <c r="F785" i="5"/>
  <c r="D785" i="5"/>
  <c r="E785" i="5" s="1"/>
  <c r="C785" i="5"/>
  <c r="G784" i="5"/>
  <c r="F784" i="5"/>
  <c r="E784" i="5"/>
  <c r="D784" i="5"/>
  <c r="C784" i="5"/>
  <c r="G783" i="5"/>
  <c r="F783" i="5"/>
  <c r="E783" i="5"/>
  <c r="D783" i="5"/>
  <c r="C783" i="5"/>
  <c r="G782" i="5"/>
  <c r="F782" i="5"/>
  <c r="D782" i="5"/>
  <c r="E782" i="5" s="1"/>
  <c r="C782" i="5"/>
  <c r="G781" i="5"/>
  <c r="F781" i="5"/>
  <c r="D781" i="5"/>
  <c r="E781" i="5" s="1"/>
  <c r="C781" i="5"/>
  <c r="G780" i="5"/>
  <c r="F780" i="5"/>
  <c r="E780" i="5"/>
  <c r="D780" i="5"/>
  <c r="C780" i="5"/>
  <c r="G779" i="5"/>
  <c r="F779" i="5"/>
  <c r="E779" i="5"/>
  <c r="D779" i="5"/>
  <c r="C779" i="5"/>
  <c r="G778" i="5"/>
  <c r="F778" i="5"/>
  <c r="E778" i="5"/>
  <c r="D778" i="5"/>
  <c r="C778" i="5"/>
  <c r="G777" i="5"/>
  <c r="F777" i="5"/>
  <c r="D777" i="5"/>
  <c r="E777" i="5" s="1"/>
  <c r="C777" i="5"/>
  <c r="G776" i="5"/>
  <c r="F776" i="5"/>
  <c r="E776" i="5"/>
  <c r="D776" i="5"/>
  <c r="C776" i="5"/>
  <c r="G775" i="5"/>
  <c r="F775" i="5"/>
  <c r="E775" i="5"/>
  <c r="D775" i="5"/>
  <c r="C775" i="5"/>
  <c r="G774" i="5"/>
  <c r="F774" i="5"/>
  <c r="E774" i="5"/>
  <c r="D774" i="5"/>
  <c r="C774" i="5"/>
  <c r="G773" i="5"/>
  <c r="F773" i="5"/>
  <c r="D773" i="5"/>
  <c r="E773" i="5" s="1"/>
  <c r="C773" i="5"/>
  <c r="G772" i="5"/>
  <c r="F772" i="5"/>
  <c r="E772" i="5"/>
  <c r="D772" i="5"/>
  <c r="C772" i="5"/>
  <c r="G771" i="5"/>
  <c r="F771" i="5"/>
  <c r="E771" i="5"/>
  <c r="D771" i="5"/>
  <c r="C771" i="5"/>
  <c r="G770" i="5"/>
  <c r="F770" i="5"/>
  <c r="E770" i="5"/>
  <c r="D770" i="5"/>
  <c r="C770" i="5"/>
  <c r="G769" i="5"/>
  <c r="F769" i="5"/>
  <c r="D769" i="5"/>
  <c r="E769" i="5" s="1"/>
  <c r="C769" i="5"/>
  <c r="G768" i="5"/>
  <c r="F768" i="5"/>
  <c r="E768" i="5"/>
  <c r="D768" i="5"/>
  <c r="C768" i="5"/>
  <c r="G767" i="5"/>
  <c r="F767" i="5"/>
  <c r="E767" i="5"/>
  <c r="D767" i="5"/>
  <c r="C767" i="5"/>
  <c r="G766" i="5"/>
  <c r="F766" i="5"/>
  <c r="D766" i="5"/>
  <c r="E766" i="5" s="1"/>
  <c r="C766" i="5"/>
  <c r="G765" i="5"/>
  <c r="F765" i="5"/>
  <c r="D765" i="5"/>
  <c r="E765" i="5" s="1"/>
  <c r="C765" i="5"/>
  <c r="G764" i="5"/>
  <c r="F764" i="5"/>
  <c r="E764" i="5"/>
  <c r="D764" i="5"/>
  <c r="C764" i="5"/>
  <c r="G763" i="5"/>
  <c r="F763" i="5"/>
  <c r="E763" i="5"/>
  <c r="D763" i="5"/>
  <c r="C763" i="5"/>
  <c r="G762" i="5"/>
  <c r="F762" i="5"/>
  <c r="E762" i="5"/>
  <c r="D762" i="5"/>
  <c r="C762" i="5"/>
  <c r="G761" i="5"/>
  <c r="F761" i="5"/>
  <c r="D761" i="5"/>
  <c r="E761" i="5" s="1"/>
  <c r="C761" i="5"/>
  <c r="G760" i="5"/>
  <c r="F760" i="5"/>
  <c r="E760" i="5"/>
  <c r="D760" i="5"/>
  <c r="C760" i="5"/>
  <c r="G759" i="5"/>
  <c r="F759" i="5"/>
  <c r="E759" i="5"/>
  <c r="D759" i="5"/>
  <c r="C759" i="5"/>
  <c r="G758" i="5"/>
  <c r="F758" i="5"/>
  <c r="E758" i="5"/>
  <c r="D758" i="5"/>
  <c r="C758" i="5"/>
  <c r="G757" i="5"/>
  <c r="F757" i="5"/>
  <c r="D757" i="5"/>
  <c r="E757" i="5" s="1"/>
  <c r="C757" i="5"/>
  <c r="G756" i="5"/>
  <c r="F756" i="5"/>
  <c r="E756" i="5"/>
  <c r="D756" i="5"/>
  <c r="C756" i="5"/>
  <c r="G755" i="5"/>
  <c r="F755" i="5"/>
  <c r="E755" i="5"/>
  <c r="D755" i="5"/>
  <c r="C755" i="5"/>
  <c r="G754" i="5"/>
  <c r="F754" i="5"/>
  <c r="E754" i="5"/>
  <c r="D754" i="5"/>
  <c r="C754" i="5"/>
  <c r="G753" i="5"/>
  <c r="F753" i="5"/>
  <c r="D753" i="5"/>
  <c r="E753" i="5" s="1"/>
  <c r="C753" i="5"/>
  <c r="G752" i="5"/>
  <c r="F752" i="5"/>
  <c r="E752" i="5"/>
  <c r="D752" i="5"/>
  <c r="C752" i="5"/>
  <c r="G751" i="5"/>
  <c r="F751" i="5"/>
  <c r="E751" i="5"/>
  <c r="D751" i="5"/>
  <c r="C751" i="5"/>
  <c r="G750" i="5"/>
  <c r="F750" i="5"/>
  <c r="D750" i="5"/>
  <c r="E750" i="5" s="1"/>
  <c r="C750" i="5"/>
  <c r="G749" i="5"/>
  <c r="F749" i="5"/>
  <c r="D749" i="5"/>
  <c r="E749" i="5" s="1"/>
  <c r="C749" i="5"/>
  <c r="G748" i="5"/>
  <c r="F748" i="5"/>
  <c r="E748" i="5"/>
  <c r="D748" i="5"/>
  <c r="C748" i="5"/>
  <c r="G747" i="5"/>
  <c r="F747" i="5"/>
  <c r="E747" i="5"/>
  <c r="D747" i="5"/>
  <c r="C747" i="5"/>
  <c r="G746" i="5"/>
  <c r="F746" i="5"/>
  <c r="E746" i="5"/>
  <c r="D746" i="5"/>
  <c r="C746" i="5"/>
  <c r="G745" i="5"/>
  <c r="F745" i="5"/>
  <c r="D745" i="5"/>
  <c r="E745" i="5" s="1"/>
  <c r="C745" i="5"/>
  <c r="G744" i="5"/>
  <c r="F744" i="5"/>
  <c r="E744" i="5"/>
  <c r="D744" i="5"/>
  <c r="C744" i="5"/>
  <c r="G743" i="5"/>
  <c r="F743" i="5"/>
  <c r="E743" i="5"/>
  <c r="D743" i="5"/>
  <c r="C743" i="5"/>
  <c r="G742" i="5"/>
  <c r="F742" i="5"/>
  <c r="E742" i="5"/>
  <c r="D742" i="5"/>
  <c r="C742" i="5"/>
  <c r="G741" i="5"/>
  <c r="F741" i="5"/>
  <c r="D741" i="5"/>
  <c r="E741" i="5" s="1"/>
  <c r="C741" i="5"/>
  <c r="G740" i="5"/>
  <c r="F740" i="5"/>
  <c r="E740" i="5"/>
  <c r="D740" i="5"/>
  <c r="C740" i="5"/>
  <c r="G739" i="5"/>
  <c r="F739" i="5"/>
  <c r="E739" i="5"/>
  <c r="D739" i="5"/>
  <c r="C739" i="5"/>
  <c r="G738" i="5"/>
  <c r="F738" i="5"/>
  <c r="E738" i="5"/>
  <c r="D738" i="5"/>
  <c r="C738" i="5"/>
  <c r="G737" i="5"/>
  <c r="F737" i="5"/>
  <c r="D737" i="5"/>
  <c r="E737" i="5" s="1"/>
  <c r="C737" i="5"/>
  <c r="G736" i="5"/>
  <c r="F736" i="5"/>
  <c r="E736" i="5"/>
  <c r="D736" i="5"/>
  <c r="C736" i="5"/>
  <c r="G735" i="5"/>
  <c r="F735" i="5"/>
  <c r="E735" i="5"/>
  <c r="D735" i="5"/>
  <c r="C735" i="5"/>
  <c r="G734" i="5"/>
  <c r="F734" i="5"/>
  <c r="E734" i="5"/>
  <c r="D734" i="5"/>
  <c r="C734" i="5"/>
  <c r="G733" i="5"/>
  <c r="F733" i="5"/>
  <c r="D733" i="5"/>
  <c r="E733" i="5" s="1"/>
  <c r="C733" i="5"/>
  <c r="G732" i="5"/>
  <c r="F732" i="5"/>
  <c r="E732" i="5"/>
  <c r="D732" i="5"/>
  <c r="C732" i="5"/>
  <c r="G731" i="5"/>
  <c r="F731" i="5"/>
  <c r="E731" i="5"/>
  <c r="D731" i="5"/>
  <c r="C731" i="5"/>
  <c r="G730" i="5"/>
  <c r="F730" i="5"/>
  <c r="E730" i="5"/>
  <c r="D730" i="5"/>
  <c r="C730" i="5"/>
  <c r="G729" i="5"/>
  <c r="F729" i="5"/>
  <c r="D729" i="5"/>
  <c r="E729" i="5" s="1"/>
  <c r="C729" i="5"/>
  <c r="G728" i="5"/>
  <c r="F728" i="5"/>
  <c r="E728" i="5"/>
  <c r="D728" i="5"/>
  <c r="C728" i="5"/>
  <c r="G727" i="5"/>
  <c r="F727" i="5"/>
  <c r="E727" i="5"/>
  <c r="D727" i="5"/>
  <c r="C727" i="5"/>
  <c r="G726" i="5"/>
  <c r="F726" i="5"/>
  <c r="E726" i="5"/>
  <c r="D726" i="5"/>
  <c r="C726" i="5"/>
  <c r="G725" i="5"/>
  <c r="F725" i="5"/>
  <c r="D725" i="5"/>
  <c r="E725" i="5" s="1"/>
  <c r="C725" i="5"/>
  <c r="G724" i="5"/>
  <c r="F724" i="5"/>
  <c r="E724" i="5"/>
  <c r="D724" i="5"/>
  <c r="C724" i="5"/>
  <c r="G723" i="5"/>
  <c r="F723" i="5"/>
  <c r="E723" i="5"/>
  <c r="D723" i="5"/>
  <c r="C723" i="5"/>
  <c r="G722" i="5"/>
  <c r="F722" i="5"/>
  <c r="E722" i="5"/>
  <c r="D722" i="5"/>
  <c r="C722" i="5"/>
  <c r="G721" i="5"/>
  <c r="F721" i="5"/>
  <c r="D721" i="5"/>
  <c r="E721" i="5" s="1"/>
  <c r="C721" i="5"/>
  <c r="G720" i="5"/>
  <c r="F720" i="5"/>
  <c r="E720" i="5"/>
  <c r="D720" i="5"/>
  <c r="C720" i="5"/>
  <c r="G719" i="5"/>
  <c r="F719" i="5"/>
  <c r="E719" i="5"/>
  <c r="D719" i="5"/>
  <c r="C719" i="5"/>
  <c r="G718" i="5"/>
  <c r="F718" i="5"/>
  <c r="E718" i="5"/>
  <c r="D718" i="5"/>
  <c r="C718" i="5"/>
  <c r="G717" i="5"/>
  <c r="F717" i="5"/>
  <c r="D717" i="5"/>
  <c r="E717" i="5" s="1"/>
  <c r="C717" i="5"/>
  <c r="G716" i="5"/>
  <c r="F716" i="5"/>
  <c r="E716" i="5"/>
  <c r="D716" i="5"/>
  <c r="C716" i="5"/>
  <c r="G715" i="5"/>
  <c r="F715" i="5"/>
  <c r="E715" i="5"/>
  <c r="D715" i="5"/>
  <c r="C715" i="5"/>
  <c r="G714" i="5"/>
  <c r="F714" i="5"/>
  <c r="E714" i="5"/>
  <c r="D714" i="5"/>
  <c r="C714" i="5"/>
  <c r="G713" i="5"/>
  <c r="F713" i="5"/>
  <c r="D713" i="5"/>
  <c r="E713" i="5" s="1"/>
  <c r="C713" i="5"/>
  <c r="G712" i="5"/>
  <c r="F712" i="5"/>
  <c r="E712" i="5"/>
  <c r="D712" i="5"/>
  <c r="C712" i="5"/>
  <c r="G711" i="5"/>
  <c r="F711" i="5"/>
  <c r="E711" i="5"/>
  <c r="D711" i="5"/>
  <c r="C711" i="5"/>
  <c r="G710" i="5"/>
  <c r="F710" i="5"/>
  <c r="E710" i="5"/>
  <c r="D710" i="5"/>
  <c r="C710" i="5"/>
  <c r="G709" i="5"/>
  <c r="F709" i="5"/>
  <c r="D709" i="5"/>
  <c r="E709" i="5" s="1"/>
  <c r="C709" i="5"/>
  <c r="G708" i="5"/>
  <c r="F708" i="5"/>
  <c r="E708" i="5"/>
  <c r="D708" i="5"/>
  <c r="C708" i="5"/>
  <c r="G707" i="5"/>
  <c r="F707" i="5"/>
  <c r="E707" i="5"/>
  <c r="D707" i="5"/>
  <c r="C707" i="5"/>
  <c r="G706" i="5"/>
  <c r="F706" i="5"/>
  <c r="E706" i="5"/>
  <c r="D706" i="5"/>
  <c r="C706" i="5"/>
  <c r="G705" i="5"/>
  <c r="F705" i="5"/>
  <c r="D705" i="5"/>
  <c r="E705" i="5" s="1"/>
  <c r="C705" i="5"/>
  <c r="G704" i="5"/>
  <c r="F704" i="5"/>
  <c r="E704" i="5"/>
  <c r="D704" i="5"/>
  <c r="C704" i="5"/>
  <c r="G703" i="5"/>
  <c r="F703" i="5"/>
  <c r="E703" i="5"/>
  <c r="D703" i="5"/>
  <c r="C703" i="5"/>
  <c r="G702" i="5"/>
  <c r="F702" i="5"/>
  <c r="E702" i="5"/>
  <c r="D702" i="5"/>
  <c r="C702" i="5"/>
  <c r="G701" i="5"/>
  <c r="F701" i="5"/>
  <c r="D701" i="5"/>
  <c r="E701" i="5" s="1"/>
  <c r="C701" i="5"/>
  <c r="G700" i="5"/>
  <c r="F700" i="5"/>
  <c r="E700" i="5"/>
  <c r="D700" i="5"/>
  <c r="C700" i="5"/>
  <c r="G699" i="5"/>
  <c r="F699" i="5"/>
  <c r="E699" i="5"/>
  <c r="D699" i="5"/>
  <c r="C699" i="5"/>
  <c r="G698" i="5"/>
  <c r="F698" i="5"/>
  <c r="E698" i="5"/>
  <c r="D698" i="5"/>
  <c r="C698" i="5"/>
  <c r="G697" i="5"/>
  <c r="F697" i="5"/>
  <c r="D697" i="5"/>
  <c r="E697" i="5" s="1"/>
  <c r="C697" i="5"/>
  <c r="G696" i="5"/>
  <c r="F696" i="5"/>
  <c r="E696" i="5"/>
  <c r="D696" i="5"/>
  <c r="C696" i="5"/>
  <c r="G695" i="5"/>
  <c r="F695" i="5"/>
  <c r="E695" i="5"/>
  <c r="D695" i="5"/>
  <c r="C695" i="5"/>
  <c r="G694" i="5"/>
  <c r="F694" i="5"/>
  <c r="E694" i="5"/>
  <c r="D694" i="5"/>
  <c r="C694" i="5"/>
  <c r="G693" i="5"/>
  <c r="F693" i="5"/>
  <c r="D693" i="5"/>
  <c r="E693" i="5" s="1"/>
  <c r="C693" i="5"/>
  <c r="G692" i="5"/>
  <c r="F692" i="5"/>
  <c r="E692" i="5"/>
  <c r="D692" i="5"/>
  <c r="C692" i="5"/>
  <c r="G691" i="5"/>
  <c r="F691" i="5"/>
  <c r="E691" i="5"/>
  <c r="D691" i="5"/>
  <c r="C691" i="5"/>
  <c r="G690" i="5"/>
  <c r="F690" i="5"/>
  <c r="E690" i="5"/>
  <c r="D690" i="5"/>
  <c r="C690" i="5"/>
  <c r="G689" i="5"/>
  <c r="F689" i="5"/>
  <c r="D689" i="5"/>
  <c r="E689" i="5" s="1"/>
  <c r="C689" i="5"/>
  <c r="G688" i="5"/>
  <c r="F688" i="5"/>
  <c r="E688" i="5"/>
  <c r="D688" i="5"/>
  <c r="C688" i="5"/>
  <c r="G687" i="5"/>
  <c r="F687" i="5"/>
  <c r="E687" i="5"/>
  <c r="D687" i="5"/>
  <c r="C687" i="5"/>
  <c r="G686" i="5"/>
  <c r="F686" i="5"/>
  <c r="E686" i="5"/>
  <c r="D686" i="5"/>
  <c r="C686" i="5"/>
  <c r="G685" i="5"/>
  <c r="F685" i="5"/>
  <c r="D685" i="5"/>
  <c r="E685" i="5" s="1"/>
  <c r="C685" i="5"/>
  <c r="G684" i="5"/>
  <c r="F684" i="5"/>
  <c r="E684" i="5"/>
  <c r="D684" i="5"/>
  <c r="C684" i="5"/>
  <c r="G683" i="5"/>
  <c r="F683" i="5"/>
  <c r="E683" i="5"/>
  <c r="D683" i="5"/>
  <c r="C683" i="5"/>
  <c r="G682" i="5"/>
  <c r="F682" i="5"/>
  <c r="E682" i="5"/>
  <c r="D682" i="5"/>
  <c r="C682" i="5"/>
  <c r="G681" i="5"/>
  <c r="F681" i="5"/>
  <c r="D681" i="5"/>
  <c r="E681" i="5" s="1"/>
  <c r="C681" i="5"/>
  <c r="G680" i="5"/>
  <c r="F680" i="5"/>
  <c r="E680" i="5"/>
  <c r="D680" i="5"/>
  <c r="C680" i="5"/>
  <c r="G679" i="5"/>
  <c r="F679" i="5"/>
  <c r="E679" i="5"/>
  <c r="D679" i="5"/>
  <c r="C679" i="5"/>
  <c r="G678" i="5"/>
  <c r="F678" i="5"/>
  <c r="E678" i="5"/>
  <c r="D678" i="5"/>
  <c r="C678" i="5"/>
  <c r="G677" i="5"/>
  <c r="F677" i="5"/>
  <c r="D677" i="5"/>
  <c r="E677" i="5" s="1"/>
  <c r="C677" i="5"/>
  <c r="G676" i="5"/>
  <c r="F676" i="5"/>
  <c r="E676" i="5"/>
  <c r="D676" i="5"/>
  <c r="C676" i="5"/>
  <c r="G675" i="5"/>
  <c r="F675" i="5"/>
  <c r="E675" i="5"/>
  <c r="D675" i="5"/>
  <c r="C675" i="5"/>
  <c r="G674" i="5"/>
  <c r="F674" i="5"/>
  <c r="E674" i="5"/>
  <c r="D674" i="5"/>
  <c r="C674" i="5"/>
  <c r="G673" i="5"/>
  <c r="F673" i="5"/>
  <c r="D673" i="5"/>
  <c r="E673" i="5" s="1"/>
  <c r="C673" i="5"/>
  <c r="G672" i="5"/>
  <c r="F672" i="5"/>
  <c r="E672" i="5"/>
  <c r="D672" i="5"/>
  <c r="C672" i="5"/>
  <c r="G671" i="5"/>
  <c r="F671" i="5"/>
  <c r="E671" i="5"/>
  <c r="D671" i="5"/>
  <c r="C671" i="5"/>
  <c r="G670" i="5"/>
  <c r="F670" i="5"/>
  <c r="E670" i="5"/>
  <c r="D670" i="5"/>
  <c r="C670" i="5"/>
  <c r="G669" i="5"/>
  <c r="F669" i="5"/>
  <c r="D669" i="5"/>
  <c r="E669" i="5" s="1"/>
  <c r="C669" i="5"/>
  <c r="G668" i="5"/>
  <c r="F668" i="5"/>
  <c r="E668" i="5"/>
  <c r="D668" i="5"/>
  <c r="C668" i="5"/>
  <c r="G667" i="5"/>
  <c r="F667" i="5"/>
  <c r="E667" i="5"/>
  <c r="D667" i="5"/>
  <c r="C667" i="5"/>
  <c r="G666" i="5"/>
  <c r="F666" i="5"/>
  <c r="E666" i="5"/>
  <c r="D666" i="5"/>
  <c r="C666" i="5"/>
  <c r="G665" i="5"/>
  <c r="F665" i="5"/>
  <c r="D665" i="5"/>
  <c r="E665" i="5" s="1"/>
  <c r="C665" i="5"/>
  <c r="G664" i="5"/>
  <c r="F664" i="5"/>
  <c r="D664" i="5"/>
  <c r="E664" i="5" s="1"/>
  <c r="C664" i="5"/>
  <c r="G663" i="5"/>
  <c r="F663" i="5"/>
  <c r="E663" i="5"/>
  <c r="D663" i="5"/>
  <c r="C663" i="5"/>
  <c r="G662" i="5"/>
  <c r="F662" i="5"/>
  <c r="E662" i="5"/>
  <c r="D662" i="5"/>
  <c r="C662" i="5"/>
  <c r="G661" i="5"/>
  <c r="F661" i="5"/>
  <c r="D661" i="5"/>
  <c r="E661" i="5" s="1"/>
  <c r="C661" i="5"/>
  <c r="G660" i="5"/>
  <c r="F660" i="5"/>
  <c r="E660" i="5"/>
  <c r="D660" i="5"/>
  <c r="C660" i="5"/>
  <c r="G659" i="5"/>
  <c r="F659" i="5"/>
  <c r="E659" i="5"/>
  <c r="D659" i="5"/>
  <c r="C659" i="5"/>
  <c r="G658" i="5"/>
  <c r="F658" i="5"/>
  <c r="D658" i="5"/>
  <c r="E658" i="5" s="1"/>
  <c r="C658" i="5"/>
  <c r="G657" i="5"/>
  <c r="F657" i="5"/>
  <c r="D657" i="5"/>
  <c r="E657" i="5" s="1"/>
  <c r="C657" i="5"/>
  <c r="G656" i="5"/>
  <c r="F656" i="5"/>
  <c r="E656" i="5"/>
  <c r="D656" i="5"/>
  <c r="C656" i="5"/>
  <c r="G655" i="5"/>
  <c r="F655" i="5"/>
  <c r="E655" i="5"/>
  <c r="D655" i="5"/>
  <c r="C655" i="5"/>
  <c r="G654" i="5"/>
  <c r="F654" i="5"/>
  <c r="E654" i="5"/>
  <c r="D654" i="5"/>
  <c r="C654" i="5"/>
  <c r="G653" i="5"/>
  <c r="F653" i="5"/>
  <c r="D653" i="5"/>
  <c r="E653" i="5" s="1"/>
  <c r="C653" i="5"/>
  <c r="G652" i="5"/>
  <c r="F652" i="5"/>
  <c r="E652" i="5"/>
  <c r="D652" i="5"/>
  <c r="C652" i="5"/>
  <c r="G651" i="5"/>
  <c r="F651" i="5"/>
  <c r="E651" i="5"/>
  <c r="D651" i="5"/>
  <c r="C651" i="5"/>
  <c r="G650" i="5"/>
  <c r="F650" i="5"/>
  <c r="E650" i="5"/>
  <c r="D650" i="5"/>
  <c r="C650" i="5"/>
  <c r="G649" i="5"/>
  <c r="F649" i="5"/>
  <c r="D649" i="5"/>
  <c r="E649" i="5" s="1"/>
  <c r="C649" i="5"/>
  <c r="G648" i="5"/>
  <c r="F648" i="5"/>
  <c r="E648" i="5"/>
  <c r="D648" i="5"/>
  <c r="C648" i="5"/>
  <c r="G647" i="5"/>
  <c r="F647" i="5"/>
  <c r="E647" i="5"/>
  <c r="D647" i="5"/>
  <c r="C647" i="5"/>
  <c r="G646" i="5"/>
  <c r="F646" i="5"/>
  <c r="E646" i="5"/>
  <c r="D646" i="5"/>
  <c r="C646" i="5"/>
  <c r="G645" i="5"/>
  <c r="F645" i="5"/>
  <c r="D645" i="5"/>
  <c r="E645" i="5" s="1"/>
  <c r="C645" i="5"/>
  <c r="G644" i="5"/>
  <c r="F644" i="5"/>
  <c r="D644" i="5"/>
  <c r="E644" i="5" s="1"/>
  <c r="C644" i="5"/>
  <c r="G643" i="5"/>
  <c r="F643" i="5"/>
  <c r="E643" i="5"/>
  <c r="D643" i="5"/>
  <c r="C643" i="5"/>
  <c r="G642" i="5"/>
  <c r="F642" i="5"/>
  <c r="D642" i="5"/>
  <c r="E642" i="5" s="1"/>
  <c r="C642" i="5"/>
  <c r="G641" i="5"/>
  <c r="F641" i="5"/>
  <c r="D641" i="5"/>
  <c r="E641" i="5" s="1"/>
  <c r="C641" i="5"/>
  <c r="G640" i="5"/>
  <c r="F640" i="5"/>
  <c r="E640" i="5"/>
  <c r="D640" i="5"/>
  <c r="C640" i="5"/>
  <c r="G639" i="5"/>
  <c r="F639" i="5"/>
  <c r="E639" i="5"/>
  <c r="D639" i="5"/>
  <c r="C639" i="5"/>
  <c r="G638" i="5"/>
  <c r="F638" i="5"/>
  <c r="E638" i="5"/>
  <c r="D638" i="5"/>
  <c r="C638" i="5"/>
  <c r="G637" i="5"/>
  <c r="F637" i="5"/>
  <c r="D637" i="5"/>
  <c r="E637" i="5" s="1"/>
  <c r="C637" i="5"/>
  <c r="G636" i="5"/>
  <c r="F636" i="5"/>
  <c r="E636" i="5"/>
  <c r="D636" i="5"/>
  <c r="C636" i="5"/>
  <c r="G635" i="5"/>
  <c r="F635" i="5"/>
  <c r="E635" i="5"/>
  <c r="D635" i="5"/>
  <c r="C635" i="5"/>
  <c r="G634" i="5"/>
  <c r="F634" i="5"/>
  <c r="E634" i="5"/>
  <c r="D634" i="5"/>
  <c r="C634" i="5"/>
  <c r="G633" i="5"/>
  <c r="F633" i="5"/>
  <c r="D633" i="5"/>
  <c r="E633" i="5" s="1"/>
  <c r="C633" i="5"/>
  <c r="G632" i="5"/>
  <c r="F632" i="5"/>
  <c r="D632" i="5"/>
  <c r="E632" i="5" s="1"/>
  <c r="C632" i="5"/>
  <c r="G631" i="5"/>
  <c r="F631" i="5"/>
  <c r="E631" i="5"/>
  <c r="D631" i="5"/>
  <c r="C631" i="5"/>
  <c r="G630" i="5"/>
  <c r="F630" i="5"/>
  <c r="E630" i="5"/>
  <c r="D630" i="5"/>
  <c r="C630" i="5"/>
  <c r="G629" i="5"/>
  <c r="F629" i="5"/>
  <c r="D629" i="5"/>
  <c r="E629" i="5" s="1"/>
  <c r="C629" i="5"/>
  <c r="G628" i="5"/>
  <c r="F628" i="5"/>
  <c r="E628" i="5"/>
  <c r="D628" i="5"/>
  <c r="C628" i="5"/>
  <c r="G627" i="5"/>
  <c r="F627" i="5"/>
  <c r="E627" i="5"/>
  <c r="D627" i="5"/>
  <c r="C627" i="5"/>
  <c r="G626" i="5"/>
  <c r="F626" i="5"/>
  <c r="D626" i="5"/>
  <c r="E626" i="5" s="1"/>
  <c r="C626" i="5"/>
  <c r="G625" i="5"/>
  <c r="F625" i="5"/>
  <c r="D625" i="5"/>
  <c r="E625" i="5" s="1"/>
  <c r="C625" i="5"/>
  <c r="G624" i="5"/>
  <c r="F624" i="5"/>
  <c r="E624" i="5"/>
  <c r="D624" i="5"/>
  <c r="C624" i="5"/>
  <c r="G623" i="5"/>
  <c r="F623" i="5"/>
  <c r="E623" i="5"/>
  <c r="D623" i="5"/>
  <c r="C623" i="5"/>
  <c r="G622" i="5"/>
  <c r="F622" i="5"/>
  <c r="E622" i="5"/>
  <c r="D622" i="5"/>
  <c r="C622" i="5"/>
  <c r="G621" i="5"/>
  <c r="F621" i="5"/>
  <c r="D621" i="5"/>
  <c r="E621" i="5" s="1"/>
  <c r="C621" i="5"/>
  <c r="G620" i="5"/>
  <c r="F620" i="5"/>
  <c r="E620" i="5"/>
  <c r="D620" i="5"/>
  <c r="C620" i="5"/>
  <c r="G619" i="5"/>
  <c r="F619" i="5"/>
  <c r="E619" i="5"/>
  <c r="D619" i="5"/>
  <c r="C619" i="5"/>
  <c r="G618" i="5"/>
  <c r="F618" i="5"/>
  <c r="E618" i="5"/>
  <c r="D618" i="5"/>
  <c r="C618" i="5"/>
  <c r="G617" i="5"/>
  <c r="F617" i="5"/>
  <c r="D617" i="5"/>
  <c r="E617" i="5" s="1"/>
  <c r="C617" i="5"/>
  <c r="G616" i="5"/>
  <c r="F616" i="5"/>
  <c r="D616" i="5"/>
  <c r="E616" i="5" s="1"/>
  <c r="C616" i="5"/>
  <c r="G615" i="5"/>
  <c r="F615" i="5"/>
  <c r="E615" i="5"/>
  <c r="D615" i="5"/>
  <c r="C615" i="5"/>
  <c r="G614" i="5"/>
  <c r="F614" i="5"/>
  <c r="E614" i="5"/>
  <c r="D614" i="5"/>
  <c r="C614" i="5"/>
  <c r="G613" i="5"/>
  <c r="F613" i="5"/>
  <c r="D613" i="5"/>
  <c r="E613" i="5" s="1"/>
  <c r="C613" i="5"/>
  <c r="G612" i="5"/>
  <c r="F612" i="5"/>
  <c r="D612" i="5"/>
  <c r="E612" i="5" s="1"/>
  <c r="C612" i="5"/>
  <c r="G611" i="5"/>
  <c r="F611" i="5"/>
  <c r="E611" i="5"/>
  <c r="D611" i="5"/>
  <c r="C611" i="5"/>
  <c r="G610" i="5"/>
  <c r="F610" i="5"/>
  <c r="D610" i="5"/>
  <c r="E610" i="5" s="1"/>
  <c r="C610" i="5"/>
  <c r="G609" i="5"/>
  <c r="F609" i="5"/>
  <c r="D609" i="5"/>
  <c r="E609" i="5" s="1"/>
  <c r="C609" i="5"/>
  <c r="G608" i="5"/>
  <c r="F608" i="5"/>
  <c r="E608" i="5"/>
  <c r="D608" i="5"/>
  <c r="C608" i="5"/>
  <c r="G607" i="5"/>
  <c r="F607" i="5"/>
  <c r="E607" i="5"/>
  <c r="D607" i="5"/>
  <c r="C607" i="5"/>
  <c r="G606" i="5"/>
  <c r="F606" i="5"/>
  <c r="E606" i="5"/>
  <c r="D606" i="5"/>
  <c r="C606" i="5"/>
  <c r="G605" i="5"/>
  <c r="F605" i="5"/>
  <c r="D605" i="5"/>
  <c r="E605" i="5" s="1"/>
  <c r="C605" i="5"/>
  <c r="G604" i="5"/>
  <c r="F604" i="5"/>
  <c r="E604" i="5"/>
  <c r="D604" i="5"/>
  <c r="C604" i="5"/>
  <c r="G603" i="5"/>
  <c r="F603" i="5"/>
  <c r="E603" i="5"/>
  <c r="D603" i="5"/>
  <c r="C603" i="5"/>
  <c r="G602" i="5"/>
  <c r="F602" i="5"/>
  <c r="E602" i="5"/>
  <c r="D602" i="5"/>
  <c r="C602" i="5"/>
  <c r="G601" i="5"/>
  <c r="F601" i="5"/>
  <c r="D601" i="5"/>
  <c r="E601" i="5" s="1"/>
  <c r="C601" i="5"/>
  <c r="G600" i="5"/>
  <c r="F600" i="5"/>
  <c r="D600" i="5"/>
  <c r="E600" i="5" s="1"/>
  <c r="C600" i="5"/>
  <c r="G599" i="5"/>
  <c r="F599" i="5"/>
  <c r="E599" i="5"/>
  <c r="D599" i="5"/>
  <c r="C599" i="5"/>
  <c r="G598" i="5"/>
  <c r="F598" i="5"/>
  <c r="E598" i="5"/>
  <c r="D598" i="5"/>
  <c r="C598" i="5"/>
  <c r="G597" i="5"/>
  <c r="F597" i="5"/>
  <c r="D597" i="5"/>
  <c r="E597" i="5" s="1"/>
  <c r="C597" i="5"/>
  <c r="G596" i="5"/>
  <c r="F596" i="5"/>
  <c r="E596" i="5"/>
  <c r="D596" i="5"/>
  <c r="C596" i="5"/>
  <c r="G595" i="5"/>
  <c r="F595" i="5"/>
  <c r="E595" i="5"/>
  <c r="D595" i="5"/>
  <c r="C595" i="5"/>
  <c r="G594" i="5"/>
  <c r="F594" i="5"/>
  <c r="D594" i="5"/>
  <c r="E594" i="5" s="1"/>
  <c r="C594" i="5"/>
  <c r="G593" i="5"/>
  <c r="F593" i="5"/>
  <c r="D593" i="5"/>
  <c r="E593" i="5" s="1"/>
  <c r="C593" i="5"/>
  <c r="G592" i="5"/>
  <c r="F592" i="5"/>
  <c r="E592" i="5"/>
  <c r="D592" i="5"/>
  <c r="C592" i="5"/>
  <c r="G591" i="5"/>
  <c r="F591" i="5"/>
  <c r="E591" i="5"/>
  <c r="D591" i="5"/>
  <c r="C591" i="5"/>
  <c r="G590" i="5"/>
  <c r="F590" i="5"/>
  <c r="E590" i="5"/>
  <c r="D590" i="5"/>
  <c r="C590" i="5"/>
  <c r="G589" i="5"/>
  <c r="F589" i="5"/>
  <c r="D589" i="5"/>
  <c r="E589" i="5" s="1"/>
  <c r="C589" i="5"/>
  <c r="G588" i="5"/>
  <c r="F588" i="5"/>
  <c r="E588" i="5"/>
  <c r="D588" i="5"/>
  <c r="C588" i="5"/>
  <c r="G587" i="5"/>
  <c r="F587" i="5"/>
  <c r="E587" i="5"/>
  <c r="D587" i="5"/>
  <c r="C587" i="5"/>
  <c r="G586" i="5"/>
  <c r="F586" i="5"/>
  <c r="E586" i="5"/>
  <c r="D586" i="5"/>
  <c r="C586" i="5"/>
  <c r="G585" i="5"/>
  <c r="F585" i="5"/>
  <c r="D585" i="5"/>
  <c r="E585" i="5" s="1"/>
  <c r="C585" i="5"/>
  <c r="G584" i="5"/>
  <c r="F584" i="5"/>
  <c r="E584" i="5"/>
  <c r="D584" i="5"/>
  <c r="C584" i="5"/>
  <c r="G583" i="5"/>
  <c r="F583" i="5"/>
  <c r="E583" i="5"/>
  <c r="D583" i="5"/>
  <c r="C583" i="5"/>
  <c r="G582" i="5"/>
  <c r="F582" i="5"/>
  <c r="E582" i="5"/>
  <c r="D582" i="5"/>
  <c r="C582" i="5"/>
  <c r="G581" i="5"/>
  <c r="F581" i="5"/>
  <c r="D581" i="5"/>
  <c r="E581" i="5" s="1"/>
  <c r="C581" i="5"/>
  <c r="G580" i="5"/>
  <c r="F580" i="5"/>
  <c r="D580" i="5"/>
  <c r="E580" i="5" s="1"/>
  <c r="C580" i="5"/>
  <c r="G579" i="5"/>
  <c r="F579" i="5"/>
  <c r="E579" i="5"/>
  <c r="D579" i="5"/>
  <c r="C579" i="5"/>
  <c r="G578" i="5"/>
  <c r="F578" i="5"/>
  <c r="D578" i="5"/>
  <c r="E578" i="5" s="1"/>
  <c r="C578" i="5"/>
  <c r="G577" i="5"/>
  <c r="F577" i="5"/>
  <c r="D577" i="5"/>
  <c r="E577" i="5" s="1"/>
  <c r="C577" i="5"/>
  <c r="G576" i="5"/>
  <c r="F576" i="5"/>
  <c r="E576" i="5"/>
  <c r="D576" i="5"/>
  <c r="C576" i="5"/>
  <c r="G575" i="5"/>
  <c r="F575" i="5"/>
  <c r="E575" i="5"/>
  <c r="D575" i="5"/>
  <c r="C575" i="5"/>
  <c r="G574" i="5"/>
  <c r="F574" i="5"/>
  <c r="E574" i="5"/>
  <c r="D574" i="5"/>
  <c r="C574" i="5"/>
  <c r="G573" i="5"/>
  <c r="F573" i="5"/>
  <c r="D573" i="5"/>
  <c r="E573" i="5" s="1"/>
  <c r="C573" i="5"/>
  <c r="G572" i="5"/>
  <c r="F572" i="5"/>
  <c r="E572" i="5"/>
  <c r="D572" i="5"/>
  <c r="C572" i="5"/>
  <c r="G571" i="5"/>
  <c r="F571" i="5"/>
  <c r="E571" i="5"/>
  <c r="D571" i="5"/>
  <c r="C571" i="5"/>
  <c r="G570" i="5"/>
  <c r="F570" i="5"/>
  <c r="E570" i="5"/>
  <c r="D570" i="5"/>
  <c r="C570" i="5"/>
  <c r="G569" i="5"/>
  <c r="F569" i="5"/>
  <c r="D569" i="5"/>
  <c r="E569" i="5" s="1"/>
  <c r="C569" i="5"/>
  <c r="G568" i="5"/>
  <c r="F568" i="5"/>
  <c r="E568" i="5"/>
  <c r="D568" i="5"/>
  <c r="C568" i="5"/>
  <c r="G567" i="5"/>
  <c r="F567" i="5"/>
  <c r="E567" i="5"/>
  <c r="D567" i="5"/>
  <c r="C567" i="5"/>
  <c r="G566" i="5"/>
  <c r="F566" i="5"/>
  <c r="E566" i="5"/>
  <c r="D566" i="5"/>
  <c r="C566" i="5"/>
  <c r="G565" i="5"/>
  <c r="F565" i="5"/>
  <c r="D565" i="5"/>
  <c r="E565" i="5" s="1"/>
  <c r="C565" i="5"/>
  <c r="G564" i="5"/>
  <c r="F564" i="5"/>
  <c r="E564" i="5"/>
  <c r="D564" i="5"/>
  <c r="C564" i="5"/>
  <c r="G563" i="5"/>
  <c r="F563" i="5"/>
  <c r="E563" i="5"/>
  <c r="D563" i="5"/>
  <c r="C563" i="5"/>
  <c r="G562" i="5"/>
  <c r="F562" i="5"/>
  <c r="D562" i="5"/>
  <c r="E562" i="5" s="1"/>
  <c r="C562" i="5"/>
  <c r="G561" i="5"/>
  <c r="F561" i="5"/>
  <c r="D561" i="5"/>
  <c r="E561" i="5" s="1"/>
  <c r="C561" i="5"/>
  <c r="G560" i="5"/>
  <c r="F560" i="5"/>
  <c r="E560" i="5"/>
  <c r="D560" i="5"/>
  <c r="C560" i="5"/>
  <c r="G559" i="5"/>
  <c r="F559" i="5"/>
  <c r="E559" i="5"/>
  <c r="D559" i="5"/>
  <c r="C559" i="5"/>
  <c r="G558" i="5"/>
  <c r="F558" i="5"/>
  <c r="E558" i="5"/>
  <c r="D558" i="5"/>
  <c r="C558" i="5"/>
  <c r="G557" i="5"/>
  <c r="F557" i="5"/>
  <c r="D557" i="5"/>
  <c r="E557" i="5" s="1"/>
  <c r="C557" i="5"/>
  <c r="G556" i="5"/>
  <c r="F556" i="5"/>
  <c r="E556" i="5"/>
  <c r="D556" i="5"/>
  <c r="C556" i="5"/>
  <c r="G555" i="5"/>
  <c r="F555" i="5"/>
  <c r="E555" i="5"/>
  <c r="D555" i="5"/>
  <c r="C555" i="5"/>
  <c r="G554" i="5"/>
  <c r="F554" i="5"/>
  <c r="E554" i="5"/>
  <c r="D554" i="5"/>
  <c r="C554" i="5"/>
  <c r="G553" i="5"/>
  <c r="F553" i="5"/>
  <c r="D553" i="5"/>
  <c r="E553" i="5" s="1"/>
  <c r="C553" i="5"/>
  <c r="G552" i="5"/>
  <c r="F552" i="5"/>
  <c r="D552" i="5"/>
  <c r="E552" i="5" s="1"/>
  <c r="C552" i="5"/>
  <c r="G551" i="5"/>
  <c r="F551" i="5"/>
  <c r="E551" i="5"/>
  <c r="D551" i="5"/>
  <c r="C551" i="5"/>
  <c r="G550" i="5"/>
  <c r="F550" i="5"/>
  <c r="E550" i="5"/>
  <c r="D550" i="5"/>
  <c r="C550" i="5"/>
  <c r="G549" i="5"/>
  <c r="F549" i="5"/>
  <c r="D549" i="5"/>
  <c r="E549" i="5" s="1"/>
  <c r="C549" i="5"/>
  <c r="G548" i="5"/>
  <c r="F548" i="5"/>
  <c r="D548" i="5"/>
  <c r="E548" i="5" s="1"/>
  <c r="C548" i="5"/>
  <c r="G547" i="5"/>
  <c r="F547" i="5"/>
  <c r="E547" i="5"/>
  <c r="D547" i="5"/>
  <c r="C547" i="5"/>
  <c r="G546" i="5"/>
  <c r="F546" i="5"/>
  <c r="D546" i="5"/>
  <c r="E546" i="5" s="1"/>
  <c r="C546" i="5"/>
  <c r="G545" i="5"/>
  <c r="F545" i="5"/>
  <c r="D545" i="5"/>
  <c r="E545" i="5" s="1"/>
  <c r="C545" i="5"/>
  <c r="G544" i="5"/>
  <c r="F544" i="5"/>
  <c r="E544" i="5"/>
  <c r="D544" i="5"/>
  <c r="C544" i="5"/>
  <c r="G543" i="5"/>
  <c r="F543" i="5"/>
  <c r="E543" i="5"/>
  <c r="D543" i="5"/>
  <c r="C543" i="5"/>
  <c r="G542" i="5"/>
  <c r="F542" i="5"/>
  <c r="E542" i="5"/>
  <c r="D542" i="5"/>
  <c r="C542" i="5"/>
  <c r="G541" i="5"/>
  <c r="F541" i="5"/>
  <c r="D541" i="5"/>
  <c r="E541" i="5" s="1"/>
  <c r="C541" i="5"/>
  <c r="G540" i="5"/>
  <c r="F540" i="5"/>
  <c r="E540" i="5"/>
  <c r="D540" i="5"/>
  <c r="C540" i="5"/>
  <c r="G539" i="5"/>
  <c r="F539" i="5"/>
  <c r="E539" i="5"/>
  <c r="D539" i="5"/>
  <c r="C539" i="5"/>
  <c r="G538" i="5"/>
  <c r="F538" i="5"/>
  <c r="E538" i="5"/>
  <c r="D538" i="5"/>
  <c r="C538" i="5"/>
  <c r="G537" i="5"/>
  <c r="F537" i="5"/>
  <c r="D537" i="5"/>
  <c r="E537" i="5" s="1"/>
  <c r="C537" i="5"/>
  <c r="G536" i="5"/>
  <c r="F536" i="5"/>
  <c r="D536" i="5"/>
  <c r="E536" i="5" s="1"/>
  <c r="C536" i="5"/>
  <c r="G535" i="5"/>
  <c r="F535" i="5"/>
  <c r="E535" i="5"/>
  <c r="D535" i="5"/>
  <c r="C535" i="5"/>
  <c r="G534" i="5"/>
  <c r="F534" i="5"/>
  <c r="E534" i="5"/>
  <c r="D534" i="5"/>
  <c r="C534" i="5"/>
  <c r="G533" i="5"/>
  <c r="F533" i="5"/>
  <c r="D533" i="5"/>
  <c r="E533" i="5" s="1"/>
  <c r="C533" i="5"/>
  <c r="G532" i="5"/>
  <c r="F532" i="5"/>
  <c r="E532" i="5"/>
  <c r="D532" i="5"/>
  <c r="C532" i="5"/>
  <c r="G531" i="5"/>
  <c r="F531" i="5"/>
  <c r="E531" i="5"/>
  <c r="D531" i="5"/>
  <c r="C531" i="5"/>
  <c r="G530" i="5"/>
  <c r="F530" i="5"/>
  <c r="D530" i="5"/>
  <c r="E530" i="5" s="1"/>
  <c r="C530" i="5"/>
  <c r="G529" i="5"/>
  <c r="F529" i="5"/>
  <c r="D529" i="5"/>
  <c r="E529" i="5" s="1"/>
  <c r="C529" i="5"/>
  <c r="G528" i="5"/>
  <c r="F528" i="5"/>
  <c r="D528" i="5"/>
  <c r="E528" i="5" s="1"/>
  <c r="C528" i="5"/>
  <c r="G527" i="5"/>
  <c r="F527" i="5"/>
  <c r="E527" i="5"/>
  <c r="D527" i="5"/>
  <c r="C527" i="5"/>
  <c r="G526" i="5"/>
  <c r="F526" i="5"/>
  <c r="E526" i="5"/>
  <c r="D526" i="5"/>
  <c r="C526" i="5"/>
  <c r="G525" i="5"/>
  <c r="F525" i="5"/>
  <c r="D525" i="5"/>
  <c r="E525" i="5" s="1"/>
  <c r="C525" i="5"/>
  <c r="G524" i="5"/>
  <c r="F524" i="5"/>
  <c r="E524" i="5"/>
  <c r="D524" i="5"/>
  <c r="C524" i="5"/>
  <c r="G523" i="5"/>
  <c r="F523" i="5"/>
  <c r="E523" i="5"/>
  <c r="D523" i="5"/>
  <c r="C523" i="5"/>
  <c r="G522" i="5"/>
  <c r="F522" i="5"/>
  <c r="E522" i="5"/>
  <c r="D522" i="5"/>
  <c r="C522" i="5"/>
  <c r="G521" i="5"/>
  <c r="F521" i="5"/>
  <c r="D521" i="5"/>
  <c r="E521" i="5" s="1"/>
  <c r="C521" i="5"/>
  <c r="G520" i="5"/>
  <c r="F520" i="5"/>
  <c r="E520" i="5"/>
  <c r="D520" i="5"/>
  <c r="C520" i="5"/>
  <c r="G519" i="5"/>
  <c r="F519" i="5"/>
  <c r="E519" i="5"/>
  <c r="D519" i="5"/>
  <c r="C519" i="5"/>
  <c r="G518" i="5"/>
  <c r="F518" i="5"/>
  <c r="E518" i="5"/>
  <c r="D518" i="5"/>
  <c r="C518" i="5"/>
  <c r="G517" i="5"/>
  <c r="F517" i="5"/>
  <c r="D517" i="5"/>
  <c r="E517" i="5" s="1"/>
  <c r="C517" i="5"/>
  <c r="G516" i="5"/>
  <c r="F516" i="5"/>
  <c r="D516" i="5"/>
  <c r="E516" i="5" s="1"/>
  <c r="C516" i="5"/>
  <c r="G515" i="5"/>
  <c r="F515" i="5"/>
  <c r="E515" i="5"/>
  <c r="D515" i="5"/>
  <c r="C515" i="5"/>
  <c r="G514" i="5"/>
  <c r="F514" i="5"/>
  <c r="D514" i="5"/>
  <c r="E514" i="5" s="1"/>
  <c r="C514" i="5"/>
  <c r="G513" i="5"/>
  <c r="F513" i="5"/>
  <c r="D513" i="5"/>
  <c r="E513" i="5" s="1"/>
  <c r="C513" i="5"/>
  <c r="G512" i="5"/>
  <c r="F512" i="5"/>
  <c r="D512" i="5"/>
  <c r="E512" i="5" s="1"/>
  <c r="C512" i="5"/>
  <c r="G511" i="5"/>
  <c r="F511" i="5"/>
  <c r="E511" i="5"/>
  <c r="D511" i="5"/>
  <c r="C511" i="5"/>
  <c r="G510" i="5"/>
  <c r="F510" i="5"/>
  <c r="E510" i="5"/>
  <c r="D510" i="5"/>
  <c r="C510" i="5"/>
  <c r="G509" i="5"/>
  <c r="F509" i="5"/>
  <c r="D509" i="5"/>
  <c r="E509" i="5" s="1"/>
  <c r="C509" i="5"/>
  <c r="G508" i="5"/>
  <c r="F508" i="5"/>
  <c r="E508" i="5"/>
  <c r="D508" i="5"/>
  <c r="C508" i="5"/>
  <c r="G507" i="5"/>
  <c r="F507" i="5"/>
  <c r="E507" i="5"/>
  <c r="D507" i="5"/>
  <c r="C507" i="5"/>
  <c r="G506" i="5"/>
  <c r="F506" i="5"/>
  <c r="E506" i="5"/>
  <c r="D506" i="5"/>
  <c r="C506" i="5"/>
  <c r="G505" i="5"/>
  <c r="F505" i="5"/>
  <c r="D505" i="5"/>
  <c r="E505" i="5" s="1"/>
  <c r="C505" i="5"/>
  <c r="G504" i="5"/>
  <c r="F504" i="5"/>
  <c r="D504" i="5"/>
  <c r="E504" i="5" s="1"/>
  <c r="C504" i="5"/>
  <c r="G503" i="5"/>
  <c r="F503" i="5"/>
  <c r="E503" i="5"/>
  <c r="D503" i="5"/>
  <c r="C503" i="5"/>
  <c r="G502" i="5"/>
  <c r="F502" i="5"/>
  <c r="E502" i="5"/>
  <c r="D502" i="5"/>
  <c r="C502" i="5"/>
  <c r="G501" i="5"/>
  <c r="F501" i="5"/>
  <c r="D501" i="5"/>
  <c r="E501" i="5" s="1"/>
  <c r="C501" i="5"/>
  <c r="G500" i="5"/>
  <c r="F500" i="5"/>
  <c r="D500" i="5"/>
  <c r="E500" i="5" s="1"/>
  <c r="C500" i="5"/>
  <c r="G499" i="5"/>
  <c r="F499" i="5"/>
  <c r="E499" i="5"/>
  <c r="D499" i="5"/>
  <c r="C499" i="5"/>
  <c r="G498" i="5"/>
  <c r="F498" i="5"/>
  <c r="D498" i="5"/>
  <c r="E498" i="5" s="1"/>
  <c r="C498" i="5"/>
  <c r="G497" i="5"/>
  <c r="F497" i="5"/>
  <c r="D497" i="5"/>
  <c r="E497" i="5" s="1"/>
  <c r="C497" i="5"/>
  <c r="G496" i="5"/>
  <c r="F496" i="5"/>
  <c r="E496" i="5"/>
  <c r="D496" i="5"/>
  <c r="C496" i="5"/>
  <c r="G495" i="5"/>
  <c r="F495" i="5"/>
  <c r="E495" i="5"/>
  <c r="D495" i="5"/>
  <c r="C495" i="5"/>
  <c r="G494" i="5"/>
  <c r="F494" i="5"/>
  <c r="E494" i="5"/>
  <c r="D494" i="5"/>
  <c r="C494" i="5"/>
  <c r="G493" i="5"/>
  <c r="F493" i="5"/>
  <c r="D493" i="5"/>
  <c r="E493" i="5" s="1"/>
  <c r="C493" i="5"/>
  <c r="G492" i="5"/>
  <c r="F492" i="5"/>
  <c r="E492" i="5"/>
  <c r="D492" i="5"/>
  <c r="C492" i="5"/>
  <c r="G491" i="5"/>
  <c r="F491" i="5"/>
  <c r="E491" i="5"/>
  <c r="D491" i="5"/>
  <c r="C491" i="5"/>
  <c r="G490" i="5"/>
  <c r="F490" i="5"/>
  <c r="E490" i="5"/>
  <c r="D490" i="5"/>
  <c r="C490" i="5"/>
  <c r="G489" i="5"/>
  <c r="F489" i="5"/>
  <c r="D489" i="5"/>
  <c r="E489" i="5" s="1"/>
  <c r="C489" i="5"/>
  <c r="G488" i="5"/>
  <c r="F488" i="5"/>
  <c r="E488" i="5"/>
  <c r="D488" i="5"/>
  <c r="C488" i="5"/>
  <c r="G487" i="5"/>
  <c r="F487" i="5"/>
  <c r="E487" i="5"/>
  <c r="D487" i="5"/>
  <c r="C487" i="5"/>
  <c r="G486" i="5"/>
  <c r="F486" i="5"/>
  <c r="E486" i="5"/>
  <c r="D486" i="5"/>
  <c r="C486" i="5"/>
  <c r="G485" i="5"/>
  <c r="F485" i="5"/>
  <c r="D485" i="5"/>
  <c r="E485" i="5" s="1"/>
  <c r="C485" i="5"/>
  <c r="G484" i="5"/>
  <c r="F484" i="5"/>
  <c r="D484" i="5"/>
  <c r="E484" i="5" s="1"/>
  <c r="C484" i="5"/>
  <c r="G483" i="5"/>
  <c r="F483" i="5"/>
  <c r="E483" i="5"/>
  <c r="D483" i="5"/>
  <c r="C483" i="5"/>
  <c r="G482" i="5"/>
  <c r="F482" i="5"/>
  <c r="D482" i="5"/>
  <c r="E482" i="5" s="1"/>
  <c r="C482" i="5"/>
  <c r="G481" i="5"/>
  <c r="F481" i="5"/>
  <c r="D481" i="5"/>
  <c r="E481" i="5" s="1"/>
  <c r="C481" i="5"/>
  <c r="G480" i="5"/>
  <c r="F480" i="5"/>
  <c r="D480" i="5"/>
  <c r="E480" i="5" s="1"/>
  <c r="C480" i="5"/>
  <c r="G479" i="5"/>
  <c r="F479" i="5"/>
  <c r="E479" i="5"/>
  <c r="D479" i="5"/>
  <c r="C479" i="5"/>
  <c r="G478" i="5"/>
  <c r="F478" i="5"/>
  <c r="E478" i="5"/>
  <c r="D478" i="5"/>
  <c r="C478" i="5"/>
  <c r="G477" i="5"/>
  <c r="F477" i="5"/>
  <c r="D477" i="5"/>
  <c r="E477" i="5" s="1"/>
  <c r="C477" i="5"/>
  <c r="G476" i="5"/>
  <c r="F476" i="5"/>
  <c r="E476" i="5"/>
  <c r="D476" i="5"/>
  <c r="C476" i="5"/>
  <c r="G475" i="5"/>
  <c r="F475" i="5"/>
  <c r="E475" i="5"/>
  <c r="D475" i="5"/>
  <c r="C475" i="5"/>
  <c r="G474" i="5"/>
  <c r="F474" i="5"/>
  <c r="E474" i="5"/>
  <c r="D474" i="5"/>
  <c r="C474" i="5"/>
  <c r="G473" i="5"/>
  <c r="F473" i="5"/>
  <c r="D473" i="5"/>
  <c r="E473" i="5" s="1"/>
  <c r="C473" i="5"/>
  <c r="G472" i="5"/>
  <c r="F472" i="5"/>
  <c r="D472" i="5"/>
  <c r="E472" i="5" s="1"/>
  <c r="C472" i="5"/>
  <c r="G471" i="5"/>
  <c r="F471" i="5"/>
  <c r="E471" i="5"/>
  <c r="D471" i="5"/>
  <c r="C471" i="5"/>
  <c r="G470" i="5"/>
  <c r="F470" i="5"/>
  <c r="E470" i="5"/>
  <c r="D470" i="5"/>
  <c r="C470" i="5"/>
  <c r="G469" i="5"/>
  <c r="F469" i="5"/>
  <c r="D469" i="5"/>
  <c r="E469" i="5" s="1"/>
  <c r="C469" i="5"/>
  <c r="G468" i="5"/>
  <c r="F468" i="5"/>
  <c r="E468" i="5"/>
  <c r="D468" i="5"/>
  <c r="C468" i="5"/>
  <c r="G467" i="5"/>
  <c r="F467" i="5"/>
  <c r="E467" i="5"/>
  <c r="D467" i="5"/>
  <c r="C467" i="5"/>
  <c r="G466" i="5"/>
  <c r="F466" i="5"/>
  <c r="D466" i="5"/>
  <c r="E466" i="5" s="1"/>
  <c r="C466" i="5"/>
  <c r="G465" i="5"/>
  <c r="F465" i="5"/>
  <c r="D465" i="5"/>
  <c r="E465" i="5" s="1"/>
  <c r="C465" i="5"/>
  <c r="G464" i="5"/>
  <c r="F464" i="5"/>
  <c r="E464" i="5"/>
  <c r="D464" i="5"/>
  <c r="C464" i="5"/>
  <c r="G463" i="5"/>
  <c r="F463" i="5"/>
  <c r="E463" i="5"/>
  <c r="D463" i="5"/>
  <c r="C463" i="5"/>
  <c r="G462" i="5"/>
  <c r="F462" i="5"/>
  <c r="E462" i="5"/>
  <c r="D462" i="5"/>
  <c r="C462" i="5"/>
  <c r="G461" i="5"/>
  <c r="F461" i="5"/>
  <c r="D461" i="5"/>
  <c r="E461" i="5" s="1"/>
  <c r="C461" i="5"/>
  <c r="G460" i="5"/>
  <c r="F460" i="5"/>
  <c r="E460" i="5"/>
  <c r="D460" i="5"/>
  <c r="C460" i="5"/>
  <c r="G459" i="5"/>
  <c r="F459" i="5"/>
  <c r="E459" i="5"/>
  <c r="D459" i="5"/>
  <c r="C459" i="5"/>
  <c r="G458" i="5"/>
  <c r="F458" i="5"/>
  <c r="E458" i="5"/>
  <c r="D458" i="5"/>
  <c r="C458" i="5"/>
  <c r="G457" i="5"/>
  <c r="F457" i="5"/>
  <c r="D457" i="5"/>
  <c r="E457" i="5" s="1"/>
  <c r="C457" i="5"/>
  <c r="G456" i="5"/>
  <c r="F456" i="5"/>
  <c r="E456" i="5"/>
  <c r="D456" i="5"/>
  <c r="C456" i="5"/>
  <c r="G455" i="5"/>
  <c r="F455" i="5"/>
  <c r="E455" i="5"/>
  <c r="D455" i="5"/>
  <c r="C455" i="5"/>
  <c r="G454" i="5"/>
  <c r="F454" i="5"/>
  <c r="E454" i="5"/>
  <c r="D454" i="5"/>
  <c r="C454" i="5"/>
  <c r="G453" i="5"/>
  <c r="F453" i="5"/>
  <c r="D453" i="5"/>
  <c r="E453" i="5" s="1"/>
  <c r="C453" i="5"/>
  <c r="G452" i="5"/>
  <c r="F452" i="5"/>
  <c r="E452" i="5"/>
  <c r="D452" i="5"/>
  <c r="C452" i="5"/>
  <c r="G451" i="5"/>
  <c r="F451" i="5"/>
  <c r="E451" i="5"/>
  <c r="D451" i="5"/>
  <c r="C451" i="5"/>
  <c r="G450" i="5"/>
  <c r="F450" i="5"/>
  <c r="D450" i="5"/>
  <c r="E450" i="5" s="1"/>
  <c r="C450" i="5"/>
  <c r="G449" i="5"/>
  <c r="F449" i="5"/>
  <c r="D449" i="5"/>
  <c r="E449" i="5" s="1"/>
  <c r="C449" i="5"/>
  <c r="G448" i="5"/>
  <c r="F448" i="5"/>
  <c r="D448" i="5"/>
  <c r="E448" i="5" s="1"/>
  <c r="C448" i="5"/>
  <c r="G447" i="5"/>
  <c r="F447" i="5"/>
  <c r="E447" i="5"/>
  <c r="D447" i="5"/>
  <c r="C447" i="5"/>
  <c r="G446" i="5"/>
  <c r="F446" i="5"/>
  <c r="E446" i="5"/>
  <c r="D446" i="5"/>
  <c r="C446" i="5"/>
  <c r="G445" i="5"/>
  <c r="F445" i="5"/>
  <c r="D445" i="5"/>
  <c r="E445" i="5" s="1"/>
  <c r="C445" i="5"/>
  <c r="G444" i="5"/>
  <c r="F444" i="5"/>
  <c r="E444" i="5"/>
  <c r="D444" i="5"/>
  <c r="C444" i="5"/>
  <c r="G443" i="5"/>
  <c r="F443" i="5"/>
  <c r="E443" i="5"/>
  <c r="D443" i="5"/>
  <c r="C443" i="5"/>
  <c r="G442" i="5"/>
  <c r="F442" i="5"/>
  <c r="E442" i="5"/>
  <c r="D442" i="5"/>
  <c r="C442" i="5"/>
  <c r="G441" i="5"/>
  <c r="F441" i="5"/>
  <c r="D441" i="5"/>
  <c r="E441" i="5" s="1"/>
  <c r="C441" i="5"/>
  <c r="G440" i="5"/>
  <c r="F440" i="5"/>
  <c r="D440" i="5"/>
  <c r="E440" i="5" s="1"/>
  <c r="C440" i="5"/>
  <c r="G439" i="5"/>
  <c r="F439" i="5"/>
  <c r="E439" i="5"/>
  <c r="D439" i="5"/>
  <c r="C439" i="5"/>
  <c r="G438" i="5"/>
  <c r="F438" i="5"/>
  <c r="E438" i="5"/>
  <c r="D438" i="5"/>
  <c r="C438" i="5"/>
  <c r="G437" i="5"/>
  <c r="F437" i="5"/>
  <c r="D437" i="5"/>
  <c r="E437" i="5" s="1"/>
  <c r="C437" i="5"/>
  <c r="G436" i="5"/>
  <c r="F436" i="5"/>
  <c r="D436" i="5"/>
  <c r="E436" i="5" s="1"/>
  <c r="C436" i="5"/>
  <c r="G435" i="5"/>
  <c r="F435" i="5"/>
  <c r="E435" i="5"/>
  <c r="D435" i="5"/>
  <c r="C435" i="5"/>
  <c r="G434" i="5"/>
  <c r="F434" i="5"/>
  <c r="D434" i="5"/>
  <c r="E434" i="5" s="1"/>
  <c r="C434" i="5"/>
  <c r="G433" i="5"/>
  <c r="F433" i="5"/>
  <c r="D433" i="5"/>
  <c r="E433" i="5" s="1"/>
  <c r="C433" i="5"/>
  <c r="G432" i="5"/>
  <c r="F432" i="5"/>
  <c r="E432" i="5"/>
  <c r="D432" i="5"/>
  <c r="C432" i="5"/>
  <c r="G431" i="5"/>
  <c r="F431" i="5"/>
  <c r="E431" i="5"/>
  <c r="D431" i="5"/>
  <c r="C431" i="5"/>
  <c r="G430" i="5"/>
  <c r="F430" i="5"/>
  <c r="E430" i="5"/>
  <c r="D430" i="5"/>
  <c r="C430" i="5"/>
  <c r="G429" i="5"/>
  <c r="F429" i="5"/>
  <c r="D429" i="5"/>
  <c r="E429" i="5" s="1"/>
  <c r="C429" i="5"/>
  <c r="G428" i="5"/>
  <c r="F428" i="5"/>
  <c r="E428" i="5"/>
  <c r="D428" i="5"/>
  <c r="C428" i="5"/>
  <c r="G427" i="5"/>
  <c r="F427" i="5"/>
  <c r="E427" i="5"/>
  <c r="D427" i="5"/>
  <c r="C427" i="5"/>
  <c r="G426" i="5"/>
  <c r="F426" i="5"/>
  <c r="E426" i="5"/>
  <c r="D426" i="5"/>
  <c r="C426" i="5"/>
  <c r="G425" i="5"/>
  <c r="F425" i="5"/>
  <c r="D425" i="5"/>
  <c r="E425" i="5" s="1"/>
  <c r="C425" i="5"/>
  <c r="G424" i="5"/>
  <c r="F424" i="5"/>
  <c r="E424" i="5"/>
  <c r="D424" i="5"/>
  <c r="C424" i="5"/>
  <c r="G423" i="5"/>
  <c r="F423" i="5"/>
  <c r="E423" i="5"/>
  <c r="D423" i="5"/>
  <c r="C423" i="5"/>
  <c r="G422" i="5"/>
  <c r="F422" i="5"/>
  <c r="E422" i="5"/>
  <c r="D422" i="5"/>
  <c r="C422" i="5"/>
  <c r="G421" i="5"/>
  <c r="F421" i="5"/>
  <c r="D421" i="5"/>
  <c r="E421" i="5" s="1"/>
  <c r="C421" i="5"/>
  <c r="G420" i="5"/>
  <c r="F420" i="5"/>
  <c r="D420" i="5"/>
  <c r="E420" i="5" s="1"/>
  <c r="C420" i="5"/>
  <c r="G419" i="5"/>
  <c r="F419" i="5"/>
  <c r="E419" i="5"/>
  <c r="D419" i="5"/>
  <c r="C419" i="5"/>
  <c r="G418" i="5"/>
  <c r="F418" i="5"/>
  <c r="D418" i="5"/>
  <c r="E418" i="5" s="1"/>
  <c r="C418" i="5"/>
  <c r="G417" i="5"/>
  <c r="F417" i="5"/>
  <c r="D417" i="5"/>
  <c r="E417" i="5" s="1"/>
  <c r="C417" i="5"/>
  <c r="G416" i="5"/>
  <c r="F416" i="5"/>
  <c r="D416" i="5"/>
  <c r="E416" i="5" s="1"/>
  <c r="C416" i="5"/>
  <c r="G415" i="5"/>
  <c r="F415" i="5"/>
  <c r="E415" i="5"/>
  <c r="D415" i="5"/>
  <c r="C415" i="5"/>
  <c r="G414" i="5"/>
  <c r="F414" i="5"/>
  <c r="E414" i="5"/>
  <c r="D414" i="5"/>
  <c r="C414" i="5"/>
  <c r="G413" i="5"/>
  <c r="F413" i="5"/>
  <c r="D413" i="5"/>
  <c r="E413" i="5" s="1"/>
  <c r="C413" i="5"/>
  <c r="G412" i="5"/>
  <c r="F412" i="5"/>
  <c r="D412" i="5"/>
  <c r="E412" i="5" s="1"/>
  <c r="C412" i="5"/>
  <c r="G411" i="5"/>
  <c r="F411" i="5"/>
  <c r="E411" i="5"/>
  <c r="D411" i="5"/>
  <c r="C411" i="5"/>
  <c r="G410" i="5"/>
  <c r="F410" i="5"/>
  <c r="E410" i="5"/>
  <c r="D410" i="5"/>
  <c r="C410" i="5"/>
  <c r="G409" i="5"/>
  <c r="F409" i="5"/>
  <c r="D409" i="5"/>
  <c r="E409" i="5" s="1"/>
  <c r="C409" i="5"/>
  <c r="G408" i="5"/>
  <c r="F408" i="5"/>
  <c r="D408" i="5"/>
  <c r="E408" i="5" s="1"/>
  <c r="C408" i="5"/>
  <c r="G407" i="5"/>
  <c r="F407" i="5"/>
  <c r="E407" i="5"/>
  <c r="D407" i="5"/>
  <c r="C407" i="5"/>
  <c r="G406" i="5"/>
  <c r="F406" i="5"/>
  <c r="E406" i="5"/>
  <c r="D406" i="5"/>
  <c r="C406" i="5"/>
  <c r="G405" i="5"/>
  <c r="F405" i="5"/>
  <c r="D405" i="5"/>
  <c r="E405" i="5" s="1"/>
  <c r="C405" i="5"/>
  <c r="G404" i="5"/>
  <c r="F404" i="5"/>
  <c r="E404" i="5"/>
  <c r="D404" i="5"/>
  <c r="C404" i="5"/>
  <c r="G403" i="5"/>
  <c r="F403" i="5"/>
  <c r="E403" i="5"/>
  <c r="D403" i="5"/>
  <c r="C403" i="5"/>
  <c r="G402" i="5"/>
  <c r="F402" i="5"/>
  <c r="D402" i="5"/>
  <c r="E402" i="5" s="1"/>
  <c r="C402" i="5"/>
  <c r="G401" i="5"/>
  <c r="F401" i="5"/>
  <c r="D401" i="5"/>
  <c r="E401" i="5" s="1"/>
  <c r="C401" i="5"/>
  <c r="G400" i="5"/>
  <c r="F400" i="5"/>
  <c r="E400" i="5"/>
  <c r="D400" i="5"/>
  <c r="C400" i="5"/>
  <c r="G399" i="5"/>
  <c r="F399" i="5"/>
  <c r="E399" i="5"/>
  <c r="D399" i="5"/>
  <c r="C399" i="5"/>
  <c r="G398" i="5"/>
  <c r="F398" i="5"/>
  <c r="E398" i="5"/>
  <c r="D398" i="5"/>
  <c r="C398" i="5"/>
  <c r="G397" i="5"/>
  <c r="F397" i="5"/>
  <c r="D397" i="5"/>
  <c r="E397" i="5" s="1"/>
  <c r="C397" i="5"/>
  <c r="G396" i="5"/>
  <c r="F396" i="5"/>
  <c r="D396" i="5"/>
  <c r="E396" i="5" s="1"/>
  <c r="C396" i="5"/>
  <c r="G395" i="5"/>
  <c r="F395" i="5"/>
  <c r="E395" i="5"/>
  <c r="D395" i="5"/>
  <c r="C395" i="5"/>
  <c r="G394" i="5"/>
  <c r="F394" i="5"/>
  <c r="E394" i="5"/>
  <c r="D394" i="5"/>
  <c r="C394" i="5"/>
  <c r="G393" i="5"/>
  <c r="F393" i="5"/>
  <c r="D393" i="5"/>
  <c r="E393" i="5" s="1"/>
  <c r="C393" i="5"/>
  <c r="G392" i="5"/>
  <c r="F392" i="5"/>
  <c r="E392" i="5"/>
  <c r="D392" i="5"/>
  <c r="C392" i="5"/>
  <c r="G391" i="5"/>
  <c r="F391" i="5"/>
  <c r="E391" i="5"/>
  <c r="D391" i="5"/>
  <c r="C391" i="5"/>
  <c r="G390" i="5"/>
  <c r="F390" i="5"/>
  <c r="E390" i="5"/>
  <c r="D390" i="5"/>
  <c r="C390" i="5"/>
  <c r="G389" i="5"/>
  <c r="F389" i="5"/>
  <c r="D389" i="5"/>
  <c r="E389" i="5" s="1"/>
  <c r="C389" i="5"/>
  <c r="G388" i="5"/>
  <c r="F388" i="5"/>
  <c r="D388" i="5"/>
  <c r="E388" i="5" s="1"/>
  <c r="C388" i="5"/>
  <c r="G387" i="5"/>
  <c r="F387" i="5"/>
  <c r="E387" i="5"/>
  <c r="D387" i="5"/>
  <c r="C387" i="5"/>
  <c r="G386" i="5"/>
  <c r="F386" i="5"/>
  <c r="D386" i="5"/>
  <c r="E386" i="5" s="1"/>
  <c r="C386" i="5"/>
  <c r="G385" i="5"/>
  <c r="F385" i="5"/>
  <c r="D385" i="5"/>
  <c r="E385" i="5" s="1"/>
  <c r="C385" i="5"/>
  <c r="G384" i="5"/>
  <c r="F384" i="5"/>
  <c r="D384" i="5"/>
  <c r="E384" i="5" s="1"/>
  <c r="C384" i="5"/>
  <c r="G383" i="5"/>
  <c r="F383" i="5"/>
  <c r="E383" i="5"/>
  <c r="D383" i="5"/>
  <c r="C383" i="5"/>
  <c r="G382" i="5"/>
  <c r="F382" i="5"/>
  <c r="E382" i="5"/>
  <c r="D382" i="5"/>
  <c r="C382" i="5"/>
  <c r="G381" i="5"/>
  <c r="F381" i="5"/>
  <c r="D381" i="5"/>
  <c r="E381" i="5" s="1"/>
  <c r="C381" i="5"/>
  <c r="G380" i="5"/>
  <c r="F380" i="5"/>
  <c r="E380" i="5"/>
  <c r="D380" i="5"/>
  <c r="C380" i="5"/>
  <c r="G379" i="5"/>
  <c r="F379" i="5"/>
  <c r="E379" i="5"/>
  <c r="D379" i="5"/>
  <c r="C379" i="5"/>
  <c r="G378" i="5"/>
  <c r="F378" i="5"/>
  <c r="E378" i="5"/>
  <c r="D378" i="5"/>
  <c r="C378" i="5"/>
  <c r="G377" i="5"/>
  <c r="F377" i="5"/>
  <c r="D377" i="5"/>
  <c r="E377" i="5" s="1"/>
  <c r="C377" i="5"/>
  <c r="G376" i="5"/>
  <c r="F376" i="5"/>
  <c r="D376" i="5"/>
  <c r="E376" i="5" s="1"/>
  <c r="C376" i="5"/>
  <c r="G375" i="5"/>
  <c r="F375" i="5"/>
  <c r="E375" i="5"/>
  <c r="D375" i="5"/>
  <c r="C375" i="5"/>
  <c r="G374" i="5"/>
  <c r="F374" i="5"/>
  <c r="E374" i="5"/>
  <c r="D374" i="5"/>
  <c r="C374" i="5"/>
  <c r="G373" i="5"/>
  <c r="F373" i="5"/>
  <c r="D373" i="5"/>
  <c r="E373" i="5" s="1"/>
  <c r="C373" i="5"/>
  <c r="G372" i="5"/>
  <c r="F372" i="5"/>
  <c r="E372" i="5"/>
  <c r="D372" i="5"/>
  <c r="C372" i="5"/>
  <c r="G371" i="5"/>
  <c r="F371" i="5"/>
  <c r="E371" i="5"/>
  <c r="D371" i="5"/>
  <c r="C371" i="5"/>
  <c r="G370" i="5"/>
  <c r="F370" i="5"/>
  <c r="D370" i="5"/>
  <c r="E370" i="5" s="1"/>
  <c r="C370" i="5"/>
  <c r="G369" i="5"/>
  <c r="F369" i="5"/>
  <c r="D369" i="5"/>
  <c r="E369" i="5" s="1"/>
  <c r="C369" i="5"/>
  <c r="G368" i="5"/>
  <c r="F368" i="5"/>
  <c r="E368" i="5"/>
  <c r="D368" i="5"/>
  <c r="C368" i="5"/>
  <c r="G367" i="5"/>
  <c r="F367" i="5"/>
  <c r="E367" i="5"/>
  <c r="D367" i="5"/>
  <c r="C367" i="5"/>
  <c r="G366" i="5"/>
  <c r="F366" i="5"/>
  <c r="E366" i="5"/>
  <c r="D366" i="5"/>
  <c r="C366" i="5"/>
  <c r="G365" i="5"/>
  <c r="F365" i="5"/>
  <c r="D365" i="5"/>
  <c r="E365" i="5" s="1"/>
  <c r="C365" i="5"/>
  <c r="G364" i="5"/>
  <c r="F364" i="5"/>
  <c r="D364" i="5"/>
  <c r="E364" i="5" s="1"/>
  <c r="C364" i="5"/>
  <c r="G363" i="5"/>
  <c r="F363" i="5"/>
  <c r="E363" i="5"/>
  <c r="D363" i="5"/>
  <c r="C363" i="5"/>
  <c r="G362" i="5"/>
  <c r="F362" i="5"/>
  <c r="E362" i="5"/>
  <c r="D362" i="5"/>
  <c r="C362" i="5"/>
  <c r="G361" i="5"/>
  <c r="F361" i="5"/>
  <c r="D361" i="5"/>
  <c r="E361" i="5" s="1"/>
  <c r="C361" i="5"/>
  <c r="G360" i="5"/>
  <c r="F360" i="5"/>
  <c r="D360" i="5"/>
  <c r="E360" i="5" s="1"/>
  <c r="C360" i="5"/>
  <c r="G359" i="5"/>
  <c r="F359" i="5"/>
  <c r="E359" i="5"/>
  <c r="D359" i="5"/>
  <c r="C359" i="5"/>
  <c r="G358" i="5"/>
  <c r="F358" i="5"/>
  <c r="E358" i="5"/>
  <c r="D358" i="5"/>
  <c r="C358" i="5"/>
  <c r="G357" i="5"/>
  <c r="F357" i="5"/>
  <c r="D357" i="5"/>
  <c r="E357" i="5" s="1"/>
  <c r="C357" i="5"/>
  <c r="G356" i="5"/>
  <c r="F356" i="5"/>
  <c r="D356" i="5"/>
  <c r="E356" i="5" s="1"/>
  <c r="C356" i="5"/>
  <c r="G355" i="5"/>
  <c r="F355" i="5"/>
  <c r="E355" i="5"/>
  <c r="D355" i="5"/>
  <c r="C355" i="5"/>
  <c r="G354" i="5"/>
  <c r="F354" i="5"/>
  <c r="D354" i="5"/>
  <c r="E354" i="5" s="1"/>
  <c r="C354" i="5"/>
  <c r="G353" i="5"/>
  <c r="F353" i="5"/>
  <c r="D353" i="5"/>
  <c r="E353" i="5" s="1"/>
  <c r="C353" i="5"/>
  <c r="G352" i="5"/>
  <c r="F352" i="5"/>
  <c r="D352" i="5"/>
  <c r="E352" i="5" s="1"/>
  <c r="C352" i="5"/>
  <c r="G351" i="5"/>
  <c r="F351" i="5"/>
  <c r="E351" i="5"/>
  <c r="D351" i="5"/>
  <c r="C351" i="5"/>
  <c r="G350" i="5"/>
  <c r="F350" i="5"/>
  <c r="E350" i="5"/>
  <c r="D350" i="5"/>
  <c r="C350" i="5"/>
  <c r="G349" i="5"/>
  <c r="F349" i="5"/>
  <c r="D349" i="5"/>
  <c r="E349" i="5" s="1"/>
  <c r="C349" i="5"/>
  <c r="G348" i="5"/>
  <c r="F348" i="5"/>
  <c r="E348" i="5"/>
  <c r="D348" i="5"/>
  <c r="C348" i="5"/>
  <c r="G347" i="5"/>
  <c r="F347" i="5"/>
  <c r="E347" i="5"/>
  <c r="D347" i="5"/>
  <c r="C347" i="5"/>
  <c r="G346" i="5"/>
  <c r="F346" i="5"/>
  <c r="E346" i="5"/>
  <c r="D346" i="5"/>
  <c r="C346" i="5"/>
  <c r="G345" i="5"/>
  <c r="F345" i="5"/>
  <c r="D345" i="5"/>
  <c r="E345" i="5" s="1"/>
  <c r="C345" i="5"/>
  <c r="G344" i="5"/>
  <c r="F344" i="5"/>
  <c r="D344" i="5"/>
  <c r="E344" i="5" s="1"/>
  <c r="C344" i="5"/>
  <c r="G343" i="5"/>
  <c r="F343" i="5"/>
  <c r="E343" i="5"/>
  <c r="D343" i="5"/>
  <c r="C343" i="5"/>
  <c r="G342" i="5"/>
  <c r="F342" i="5"/>
  <c r="E342" i="5"/>
  <c r="D342" i="5"/>
  <c r="C342" i="5"/>
  <c r="G341" i="5"/>
  <c r="F341" i="5"/>
  <c r="D341" i="5"/>
  <c r="E341" i="5" s="1"/>
  <c r="C341" i="5"/>
  <c r="G340" i="5"/>
  <c r="F340" i="5"/>
  <c r="E340" i="5"/>
  <c r="D340" i="5"/>
  <c r="C340" i="5"/>
  <c r="G339" i="5"/>
  <c r="F339" i="5"/>
  <c r="E339" i="5"/>
  <c r="D339" i="5"/>
  <c r="C339" i="5"/>
  <c r="G338" i="5"/>
  <c r="F338" i="5"/>
  <c r="D338" i="5"/>
  <c r="E338" i="5" s="1"/>
  <c r="C338" i="5"/>
  <c r="G337" i="5"/>
  <c r="F337" i="5"/>
  <c r="D337" i="5"/>
  <c r="E337" i="5" s="1"/>
  <c r="C337" i="5"/>
  <c r="G336" i="5"/>
  <c r="F336" i="5"/>
  <c r="D336" i="5"/>
  <c r="E336" i="5" s="1"/>
  <c r="C336" i="5"/>
  <c r="G335" i="5"/>
  <c r="F335" i="5"/>
  <c r="E335" i="5"/>
  <c r="D335" i="5"/>
  <c r="C335" i="5"/>
  <c r="G334" i="5"/>
  <c r="F334" i="5"/>
  <c r="E334" i="5"/>
  <c r="D334" i="5"/>
  <c r="C334" i="5"/>
  <c r="G333" i="5"/>
  <c r="F333" i="5"/>
  <c r="D333" i="5"/>
  <c r="E333" i="5" s="1"/>
  <c r="C333" i="5"/>
  <c r="G332" i="5"/>
  <c r="F332" i="5"/>
  <c r="D332" i="5"/>
  <c r="E332" i="5" s="1"/>
  <c r="C332" i="5"/>
  <c r="G331" i="5"/>
  <c r="F331" i="5"/>
  <c r="E331" i="5"/>
  <c r="D331" i="5"/>
  <c r="C331" i="5"/>
  <c r="G330" i="5"/>
  <c r="F330" i="5"/>
  <c r="E330" i="5"/>
  <c r="D330" i="5"/>
  <c r="C330" i="5"/>
  <c r="G329" i="5"/>
  <c r="F329" i="5"/>
  <c r="D329" i="5"/>
  <c r="E329" i="5" s="1"/>
  <c r="C329" i="5"/>
  <c r="G328" i="5"/>
  <c r="F328" i="5"/>
  <c r="E328" i="5"/>
  <c r="D328" i="5"/>
  <c r="C328" i="5"/>
  <c r="G327" i="5"/>
  <c r="F327" i="5"/>
  <c r="E327" i="5"/>
  <c r="D327" i="5"/>
  <c r="C327" i="5"/>
  <c r="G326" i="5"/>
  <c r="F326" i="5"/>
  <c r="E326" i="5"/>
  <c r="D326" i="5"/>
  <c r="C326" i="5"/>
  <c r="G325" i="5"/>
  <c r="F325" i="5"/>
  <c r="D325" i="5"/>
  <c r="E325" i="5" s="1"/>
  <c r="C325" i="5"/>
  <c r="G324" i="5"/>
  <c r="F324" i="5"/>
  <c r="D324" i="5"/>
  <c r="E324" i="5" s="1"/>
  <c r="C324" i="5"/>
  <c r="G323" i="5"/>
  <c r="F323" i="5"/>
  <c r="E323" i="5"/>
  <c r="D323" i="5"/>
  <c r="C323" i="5"/>
  <c r="G322" i="5"/>
  <c r="F322" i="5"/>
  <c r="D322" i="5"/>
  <c r="E322" i="5" s="1"/>
  <c r="C322" i="5"/>
  <c r="G321" i="5"/>
  <c r="F321" i="5"/>
  <c r="D321" i="5"/>
  <c r="E321" i="5" s="1"/>
  <c r="C321" i="5"/>
  <c r="G320" i="5"/>
  <c r="F320" i="5"/>
  <c r="D320" i="5"/>
  <c r="E320" i="5" s="1"/>
  <c r="C320" i="5"/>
  <c r="G319" i="5"/>
  <c r="F319" i="5"/>
  <c r="E319" i="5"/>
  <c r="D319" i="5"/>
  <c r="C319" i="5"/>
  <c r="G318" i="5"/>
  <c r="F318" i="5"/>
  <c r="E318" i="5"/>
  <c r="D318" i="5"/>
  <c r="C318" i="5"/>
  <c r="G317" i="5"/>
  <c r="F317" i="5"/>
  <c r="D317" i="5"/>
  <c r="E317" i="5" s="1"/>
  <c r="C317" i="5"/>
  <c r="G316" i="5"/>
  <c r="F316" i="5"/>
  <c r="E316" i="5"/>
  <c r="D316" i="5"/>
  <c r="C316" i="5"/>
  <c r="G315" i="5"/>
  <c r="F315" i="5"/>
  <c r="E315" i="5"/>
  <c r="D315" i="5"/>
  <c r="C315" i="5"/>
  <c r="G314" i="5"/>
  <c r="F314" i="5"/>
  <c r="E314" i="5"/>
  <c r="D314" i="5"/>
  <c r="C314" i="5"/>
  <c r="G313" i="5"/>
  <c r="F313" i="5"/>
  <c r="D313" i="5"/>
  <c r="E313" i="5" s="1"/>
  <c r="C313" i="5"/>
  <c r="G312" i="5"/>
  <c r="F312" i="5"/>
  <c r="E312" i="5"/>
  <c r="D312" i="5"/>
  <c r="C312" i="5"/>
  <c r="G311" i="5"/>
  <c r="F311" i="5"/>
  <c r="E311" i="5"/>
  <c r="D311" i="5"/>
  <c r="C311" i="5"/>
  <c r="G310" i="5"/>
  <c r="F310" i="5"/>
  <c r="E310" i="5"/>
  <c r="D310" i="5"/>
  <c r="C310" i="5"/>
  <c r="G309" i="5"/>
  <c r="F309" i="5"/>
  <c r="D309" i="5"/>
  <c r="E309" i="5" s="1"/>
  <c r="C309" i="5"/>
  <c r="G308" i="5"/>
  <c r="F308" i="5"/>
  <c r="E308" i="5"/>
  <c r="D308" i="5"/>
  <c r="C308" i="5"/>
  <c r="G307" i="5"/>
  <c r="F307" i="5"/>
  <c r="E307" i="5"/>
  <c r="D307" i="5"/>
  <c r="C307" i="5"/>
  <c r="G306" i="5"/>
  <c r="F306" i="5"/>
  <c r="D306" i="5"/>
  <c r="E306" i="5" s="1"/>
  <c r="C306" i="5"/>
  <c r="G305" i="5"/>
  <c r="F305" i="5"/>
  <c r="D305" i="5"/>
  <c r="E305" i="5" s="1"/>
  <c r="C305" i="5"/>
  <c r="G304" i="5"/>
  <c r="F304" i="5"/>
  <c r="E304" i="5"/>
  <c r="D304" i="5"/>
  <c r="C304" i="5"/>
  <c r="G303" i="5"/>
  <c r="F303" i="5"/>
  <c r="E303" i="5"/>
  <c r="D303" i="5"/>
  <c r="C303" i="5"/>
  <c r="G302" i="5"/>
  <c r="F302" i="5"/>
  <c r="E302" i="5"/>
  <c r="D302" i="5"/>
  <c r="C302" i="5"/>
  <c r="G301" i="5"/>
  <c r="F301" i="5"/>
  <c r="D301" i="5"/>
  <c r="E301" i="5" s="1"/>
  <c r="C301" i="5"/>
  <c r="G300" i="5"/>
  <c r="F300" i="5"/>
  <c r="D300" i="5"/>
  <c r="E300" i="5" s="1"/>
  <c r="C300" i="5"/>
  <c r="G299" i="5"/>
  <c r="F299" i="5"/>
  <c r="E299" i="5"/>
  <c r="D299" i="5"/>
  <c r="C299" i="5"/>
  <c r="G298" i="5"/>
  <c r="F298" i="5"/>
  <c r="E298" i="5"/>
  <c r="D298" i="5"/>
  <c r="C298" i="5"/>
  <c r="G297" i="5"/>
  <c r="F297" i="5"/>
  <c r="D297" i="5"/>
  <c r="E297" i="5" s="1"/>
  <c r="C297" i="5"/>
  <c r="G296" i="5"/>
  <c r="F296" i="5"/>
  <c r="D296" i="5"/>
  <c r="E296" i="5" s="1"/>
  <c r="C296" i="5"/>
  <c r="G295" i="5"/>
  <c r="F295" i="5"/>
  <c r="E295" i="5"/>
  <c r="D295" i="5"/>
  <c r="C295" i="5"/>
  <c r="G294" i="5"/>
  <c r="F294" i="5"/>
  <c r="E294" i="5"/>
  <c r="D294" i="5"/>
  <c r="C294" i="5"/>
  <c r="G293" i="5"/>
  <c r="F293" i="5"/>
  <c r="D293" i="5"/>
  <c r="E293" i="5" s="1"/>
  <c r="C293" i="5"/>
  <c r="G292" i="5"/>
  <c r="F292" i="5"/>
  <c r="D292" i="5"/>
  <c r="E292" i="5" s="1"/>
  <c r="C292" i="5"/>
  <c r="G291" i="5"/>
  <c r="F291" i="5"/>
  <c r="E291" i="5"/>
  <c r="D291" i="5"/>
  <c r="C291" i="5"/>
  <c r="G290" i="5"/>
  <c r="F290" i="5"/>
  <c r="D290" i="5"/>
  <c r="E290" i="5" s="1"/>
  <c r="C290" i="5"/>
  <c r="G289" i="5"/>
  <c r="F289" i="5"/>
  <c r="D289" i="5"/>
  <c r="E289" i="5" s="1"/>
  <c r="C289" i="5"/>
  <c r="G288" i="5"/>
  <c r="F288" i="5"/>
  <c r="E288" i="5"/>
  <c r="D288" i="5"/>
  <c r="C288" i="5"/>
  <c r="G287" i="5"/>
  <c r="F287" i="5"/>
  <c r="E287" i="5"/>
  <c r="D287" i="5"/>
  <c r="C287" i="5"/>
  <c r="G286" i="5"/>
  <c r="F286" i="5"/>
  <c r="E286" i="5"/>
  <c r="D286" i="5"/>
  <c r="C286" i="5"/>
  <c r="G285" i="5"/>
  <c r="F285" i="5"/>
  <c r="D285" i="5"/>
  <c r="E285" i="5" s="1"/>
  <c r="C285" i="5"/>
  <c r="G284" i="5"/>
  <c r="F284" i="5"/>
  <c r="E284" i="5"/>
  <c r="D284" i="5"/>
  <c r="C284" i="5"/>
  <c r="G283" i="5"/>
  <c r="F283" i="5"/>
  <c r="E283" i="5"/>
  <c r="D283" i="5"/>
  <c r="C283" i="5"/>
  <c r="G282" i="5"/>
  <c r="F282" i="5"/>
  <c r="E282" i="5"/>
  <c r="D282" i="5"/>
  <c r="C282" i="5"/>
  <c r="G281" i="5"/>
  <c r="F281" i="5"/>
  <c r="D281" i="5"/>
  <c r="E281" i="5" s="1"/>
  <c r="C281" i="5"/>
  <c r="G280" i="5"/>
  <c r="F280" i="5"/>
  <c r="D280" i="5"/>
  <c r="E280" i="5" s="1"/>
  <c r="C280" i="5"/>
  <c r="G279" i="5"/>
  <c r="F279" i="5"/>
  <c r="E279" i="5"/>
  <c r="D279" i="5"/>
  <c r="C279" i="5"/>
  <c r="G278" i="5"/>
  <c r="F278" i="5"/>
  <c r="E278" i="5"/>
  <c r="D278" i="5"/>
  <c r="C278" i="5"/>
  <c r="G277" i="5"/>
  <c r="F277" i="5"/>
  <c r="D277" i="5"/>
  <c r="E277" i="5" s="1"/>
  <c r="C277" i="5"/>
  <c r="G276" i="5"/>
  <c r="F276" i="5"/>
  <c r="E276" i="5"/>
  <c r="D276" i="5"/>
  <c r="C276" i="5"/>
  <c r="G275" i="5"/>
  <c r="F275" i="5"/>
  <c r="E275" i="5"/>
  <c r="D275" i="5"/>
  <c r="C275" i="5"/>
  <c r="G274" i="5"/>
  <c r="F274" i="5"/>
  <c r="D274" i="5"/>
  <c r="E274" i="5" s="1"/>
  <c r="C274" i="5"/>
  <c r="G273" i="5"/>
  <c r="F273" i="5"/>
  <c r="D273" i="5"/>
  <c r="E273" i="5" s="1"/>
  <c r="C273" i="5"/>
  <c r="G272" i="5"/>
  <c r="F272" i="5"/>
  <c r="D272" i="5"/>
  <c r="E272" i="5" s="1"/>
  <c r="C272" i="5"/>
  <c r="G271" i="5"/>
  <c r="F271" i="5"/>
  <c r="E271" i="5"/>
  <c r="D271" i="5"/>
  <c r="C271" i="5"/>
  <c r="G270" i="5"/>
  <c r="F270" i="5"/>
  <c r="E270" i="5"/>
  <c r="D270" i="5"/>
  <c r="C270" i="5"/>
  <c r="G269" i="5"/>
  <c r="F269" i="5"/>
  <c r="D269" i="5"/>
  <c r="E269" i="5" s="1"/>
  <c r="C269" i="5"/>
  <c r="G268" i="5"/>
  <c r="F268" i="5"/>
  <c r="D268" i="5"/>
  <c r="E268" i="5" s="1"/>
  <c r="C268" i="5"/>
  <c r="G267" i="5"/>
  <c r="F267" i="5"/>
  <c r="E267" i="5"/>
  <c r="D267" i="5"/>
  <c r="C267" i="5"/>
  <c r="G266" i="5"/>
  <c r="F266" i="5"/>
  <c r="E266" i="5"/>
  <c r="D266" i="5"/>
  <c r="C266" i="5"/>
  <c r="G265" i="5"/>
  <c r="F265" i="5"/>
  <c r="D265" i="5"/>
  <c r="E265" i="5" s="1"/>
  <c r="C265" i="5"/>
  <c r="G264" i="5"/>
  <c r="F264" i="5"/>
  <c r="E264" i="5"/>
  <c r="D264" i="5"/>
  <c r="C264" i="5"/>
  <c r="G263" i="5"/>
  <c r="F263" i="5"/>
  <c r="E263" i="5"/>
  <c r="D263" i="5"/>
  <c r="C263" i="5"/>
  <c r="G262" i="5"/>
  <c r="F262" i="5"/>
  <c r="E262" i="5"/>
  <c r="D262" i="5"/>
  <c r="C262" i="5"/>
  <c r="G261" i="5"/>
  <c r="F261" i="5"/>
  <c r="D261" i="5"/>
  <c r="E261" i="5" s="1"/>
  <c r="C261" i="5"/>
  <c r="G260" i="5"/>
  <c r="F260" i="5"/>
  <c r="D260" i="5"/>
  <c r="E260" i="5" s="1"/>
  <c r="C260" i="5"/>
  <c r="G259" i="5"/>
  <c r="F259" i="5"/>
  <c r="E259" i="5"/>
  <c r="D259" i="5"/>
  <c r="C259" i="5"/>
  <c r="G258" i="5"/>
  <c r="F258" i="5"/>
  <c r="D258" i="5"/>
  <c r="E258" i="5" s="1"/>
  <c r="C258" i="5"/>
  <c r="G257" i="5"/>
  <c r="F257" i="5"/>
  <c r="D257" i="5"/>
  <c r="E257" i="5" s="1"/>
  <c r="C257" i="5"/>
  <c r="G256" i="5"/>
  <c r="F256" i="5"/>
  <c r="D256" i="5"/>
  <c r="E256" i="5" s="1"/>
  <c r="C256" i="5"/>
  <c r="G255" i="5"/>
  <c r="F255" i="5"/>
  <c r="E255" i="5"/>
  <c r="D255" i="5"/>
  <c r="C255" i="5"/>
  <c r="G254" i="5"/>
  <c r="F254" i="5"/>
  <c r="E254" i="5"/>
  <c r="D254" i="5"/>
  <c r="C254" i="5"/>
  <c r="G253" i="5"/>
  <c r="F253" i="5"/>
  <c r="D253" i="5"/>
  <c r="E253" i="5" s="1"/>
  <c r="C253" i="5"/>
  <c r="G252" i="5"/>
  <c r="F252" i="5"/>
  <c r="E252" i="5"/>
  <c r="D252" i="5"/>
  <c r="C252" i="5"/>
  <c r="G251" i="5"/>
  <c r="F251" i="5"/>
  <c r="E251" i="5"/>
  <c r="D251" i="5"/>
  <c r="C251" i="5"/>
  <c r="G250" i="5"/>
  <c r="F250" i="5"/>
  <c r="E250" i="5"/>
  <c r="D250" i="5"/>
  <c r="C250" i="5"/>
  <c r="G249" i="5"/>
  <c r="F249" i="5"/>
  <c r="D249" i="5"/>
  <c r="E249" i="5" s="1"/>
  <c r="C249" i="5"/>
  <c r="G248" i="5"/>
  <c r="F248" i="5"/>
  <c r="D248" i="5"/>
  <c r="E248" i="5" s="1"/>
  <c r="C248" i="5"/>
  <c r="G247" i="5"/>
  <c r="F247" i="5"/>
  <c r="E247" i="5"/>
  <c r="D247" i="5"/>
  <c r="C247" i="5"/>
  <c r="G246" i="5"/>
  <c r="F246" i="5"/>
  <c r="E246" i="5"/>
  <c r="D246" i="5"/>
  <c r="C246" i="5"/>
  <c r="G245" i="5"/>
  <c r="F245" i="5"/>
  <c r="D245" i="5"/>
  <c r="E245" i="5" s="1"/>
  <c r="C245" i="5"/>
  <c r="G244" i="5"/>
  <c r="F244" i="5"/>
  <c r="D244" i="5"/>
  <c r="E244" i="5" s="1"/>
  <c r="C244" i="5"/>
  <c r="G243" i="5"/>
  <c r="F243" i="5"/>
  <c r="E243" i="5"/>
  <c r="D243" i="5"/>
  <c r="C243" i="5"/>
  <c r="G242" i="5"/>
  <c r="F242" i="5"/>
  <c r="D242" i="5"/>
  <c r="E242" i="5" s="1"/>
  <c r="C242" i="5"/>
  <c r="G241" i="5"/>
  <c r="F241" i="5"/>
  <c r="D241" i="5"/>
  <c r="E241" i="5" s="1"/>
  <c r="C241" i="5"/>
  <c r="G240" i="5"/>
  <c r="F240" i="5"/>
  <c r="E240" i="5"/>
  <c r="D240" i="5"/>
  <c r="C240" i="5"/>
  <c r="G239" i="5"/>
  <c r="F239" i="5"/>
  <c r="E239" i="5"/>
  <c r="D239" i="5"/>
  <c r="C239" i="5"/>
  <c r="G238" i="5"/>
  <c r="F238" i="5"/>
  <c r="E238" i="5"/>
  <c r="D238" i="5"/>
  <c r="C238" i="5"/>
  <c r="G237" i="5"/>
  <c r="F237" i="5"/>
  <c r="D237" i="5"/>
  <c r="E237" i="5" s="1"/>
  <c r="C237" i="5"/>
  <c r="G236" i="5"/>
  <c r="F236" i="5"/>
  <c r="D236" i="5"/>
  <c r="E236" i="5" s="1"/>
  <c r="C236" i="5"/>
  <c r="G235" i="5"/>
  <c r="F235" i="5"/>
  <c r="E235" i="5"/>
  <c r="D235" i="5"/>
  <c r="C235" i="5"/>
  <c r="G234" i="5"/>
  <c r="F234" i="5"/>
  <c r="E234" i="5"/>
  <c r="D234" i="5"/>
  <c r="C234" i="5"/>
  <c r="G233" i="5"/>
  <c r="F233" i="5"/>
  <c r="D233" i="5"/>
  <c r="E233" i="5" s="1"/>
  <c r="C233" i="5"/>
  <c r="G232" i="5"/>
  <c r="F232" i="5"/>
  <c r="E232" i="5"/>
  <c r="D232" i="5"/>
  <c r="C232" i="5"/>
  <c r="G231" i="5"/>
  <c r="F231" i="5"/>
  <c r="E231" i="5"/>
  <c r="D231" i="5"/>
  <c r="C231" i="5"/>
  <c r="G230" i="5"/>
  <c r="F230" i="5"/>
  <c r="E230" i="5"/>
  <c r="D230" i="5"/>
  <c r="C230" i="5"/>
  <c r="G229" i="5"/>
  <c r="F229" i="5"/>
  <c r="D229" i="5"/>
  <c r="E229" i="5" s="1"/>
  <c r="C229" i="5"/>
  <c r="G228" i="5"/>
  <c r="F228" i="5"/>
  <c r="D228" i="5"/>
  <c r="E228" i="5" s="1"/>
  <c r="C228" i="5"/>
  <c r="G227" i="5"/>
  <c r="F227" i="5"/>
  <c r="E227" i="5"/>
  <c r="D227" i="5"/>
  <c r="C227" i="5"/>
  <c r="G226" i="5"/>
  <c r="F226" i="5"/>
  <c r="D226" i="5"/>
  <c r="E226" i="5" s="1"/>
  <c r="C226" i="5"/>
  <c r="G225" i="5"/>
  <c r="F225" i="5"/>
  <c r="D225" i="5"/>
  <c r="E225" i="5" s="1"/>
  <c r="C225" i="5"/>
  <c r="G224" i="5"/>
  <c r="F224" i="5"/>
  <c r="D224" i="5"/>
  <c r="E224" i="5" s="1"/>
  <c r="C224" i="5"/>
  <c r="G223" i="5"/>
  <c r="F223" i="5"/>
  <c r="E223" i="5"/>
  <c r="D223" i="5"/>
  <c r="C223" i="5"/>
  <c r="G222" i="5"/>
  <c r="F222" i="5"/>
  <c r="E222" i="5"/>
  <c r="D222" i="5"/>
  <c r="C222" i="5"/>
  <c r="G221" i="5"/>
  <c r="F221" i="5"/>
  <c r="D221" i="5"/>
  <c r="E221" i="5" s="1"/>
  <c r="C221" i="5"/>
  <c r="G220" i="5"/>
  <c r="F220" i="5"/>
  <c r="D220" i="5"/>
  <c r="E220" i="5" s="1"/>
  <c r="C220" i="5"/>
  <c r="G219" i="5"/>
  <c r="F219" i="5"/>
  <c r="E219" i="5"/>
  <c r="D219" i="5"/>
  <c r="C219" i="5"/>
  <c r="G218" i="5"/>
  <c r="F218" i="5"/>
  <c r="E218" i="5"/>
  <c r="D218" i="5"/>
  <c r="C218" i="5"/>
  <c r="G217" i="5"/>
  <c r="F217" i="5"/>
  <c r="D217" i="5"/>
  <c r="E217" i="5" s="1"/>
  <c r="C217" i="5"/>
  <c r="G216" i="5"/>
  <c r="F216" i="5"/>
  <c r="D216" i="5"/>
  <c r="E216" i="5" s="1"/>
  <c r="C216" i="5"/>
  <c r="G215" i="5"/>
  <c r="F215" i="5"/>
  <c r="E215" i="5"/>
  <c r="D215" i="5"/>
  <c r="C215" i="5"/>
  <c r="G214" i="5"/>
  <c r="F214" i="5"/>
  <c r="E214" i="5"/>
  <c r="D214" i="5"/>
  <c r="C214" i="5"/>
  <c r="G213" i="5"/>
  <c r="F213" i="5"/>
  <c r="D213" i="5"/>
  <c r="E213" i="5" s="1"/>
  <c r="C213" i="5"/>
  <c r="G212" i="5"/>
  <c r="F212" i="5"/>
  <c r="E212" i="5"/>
  <c r="D212" i="5"/>
  <c r="C212" i="5"/>
  <c r="G211" i="5"/>
  <c r="F211" i="5"/>
  <c r="E211" i="5"/>
  <c r="D211" i="5"/>
  <c r="C211" i="5"/>
  <c r="G210" i="5"/>
  <c r="F210" i="5"/>
  <c r="D210" i="5"/>
  <c r="E210" i="5" s="1"/>
  <c r="C210" i="5"/>
  <c r="G209" i="5"/>
  <c r="F209" i="5"/>
  <c r="D209" i="5"/>
  <c r="E209" i="5" s="1"/>
  <c r="C209" i="5"/>
  <c r="G208" i="5"/>
  <c r="F208" i="5"/>
  <c r="E208" i="5"/>
  <c r="D208" i="5"/>
  <c r="C208" i="5"/>
  <c r="G207" i="5"/>
  <c r="F207" i="5"/>
  <c r="E207" i="5"/>
  <c r="D207" i="5"/>
  <c r="C207" i="5"/>
  <c r="G206" i="5"/>
  <c r="F206" i="5"/>
  <c r="E206" i="5"/>
  <c r="D206" i="5"/>
  <c r="C206" i="5"/>
  <c r="G205" i="5"/>
  <c r="F205" i="5"/>
  <c r="D205" i="5"/>
  <c r="E205" i="5" s="1"/>
  <c r="C205" i="5"/>
  <c r="G204" i="5"/>
  <c r="F204" i="5"/>
  <c r="D204" i="5"/>
  <c r="E204" i="5" s="1"/>
  <c r="C204" i="5"/>
  <c r="G203" i="5"/>
  <c r="F203" i="5"/>
  <c r="E203" i="5"/>
  <c r="D203" i="5"/>
  <c r="C203" i="5"/>
  <c r="G202" i="5"/>
  <c r="F202" i="5"/>
  <c r="E202" i="5"/>
  <c r="D202" i="5"/>
  <c r="C202" i="5"/>
  <c r="G201" i="5"/>
  <c r="F201" i="5"/>
  <c r="D201" i="5"/>
  <c r="E201" i="5" s="1"/>
  <c r="C201" i="5"/>
  <c r="G200" i="5"/>
  <c r="F200" i="5"/>
  <c r="E200" i="5"/>
  <c r="D200" i="5"/>
  <c r="C200" i="5"/>
  <c r="G199" i="5"/>
  <c r="F199" i="5"/>
  <c r="E199" i="5"/>
  <c r="D199" i="5"/>
  <c r="C199" i="5"/>
  <c r="G198" i="5"/>
  <c r="F198" i="5"/>
  <c r="E198" i="5"/>
  <c r="D198" i="5"/>
  <c r="C198" i="5"/>
  <c r="G197" i="5"/>
  <c r="F197" i="5"/>
  <c r="D197" i="5"/>
  <c r="E197" i="5" s="1"/>
  <c r="C197" i="5"/>
  <c r="G196" i="5"/>
  <c r="F196" i="5"/>
  <c r="E196" i="5"/>
  <c r="D196" i="5"/>
  <c r="C196" i="5"/>
  <c r="G195" i="5"/>
  <c r="F195" i="5"/>
  <c r="E195" i="5"/>
  <c r="D195" i="5"/>
  <c r="C195" i="5"/>
  <c r="G194" i="5"/>
  <c r="F194" i="5"/>
  <c r="D194" i="5"/>
  <c r="E194" i="5" s="1"/>
  <c r="C194" i="5"/>
  <c r="G193" i="5"/>
  <c r="F193" i="5"/>
  <c r="D193" i="5"/>
  <c r="E193" i="5" s="1"/>
  <c r="C193" i="5"/>
  <c r="G192" i="5"/>
  <c r="F192" i="5"/>
  <c r="D192" i="5"/>
  <c r="E192" i="5" s="1"/>
  <c r="C192" i="5"/>
  <c r="G191" i="5"/>
  <c r="F191" i="5"/>
  <c r="E191" i="5"/>
  <c r="D191" i="5"/>
  <c r="C191" i="5"/>
  <c r="G190" i="5"/>
  <c r="F190" i="5"/>
  <c r="E190" i="5"/>
  <c r="D190" i="5"/>
  <c r="C190" i="5"/>
  <c r="G189" i="5"/>
  <c r="F189" i="5"/>
  <c r="D189" i="5"/>
  <c r="E189" i="5" s="1"/>
  <c r="C189" i="5"/>
  <c r="G188" i="5"/>
  <c r="F188" i="5"/>
  <c r="E188" i="5"/>
  <c r="D188" i="5"/>
  <c r="C188" i="5"/>
  <c r="G187" i="5"/>
  <c r="F187" i="5"/>
  <c r="E187" i="5"/>
  <c r="D187" i="5"/>
  <c r="C187" i="5"/>
  <c r="G186" i="5"/>
  <c r="F186" i="5"/>
  <c r="E186" i="5"/>
  <c r="D186" i="5"/>
  <c r="C186" i="5"/>
  <c r="G185" i="5"/>
  <c r="F185" i="5"/>
  <c r="D185" i="5"/>
  <c r="E185" i="5" s="1"/>
  <c r="C185" i="5"/>
  <c r="G184" i="5"/>
  <c r="F184" i="5"/>
  <c r="D184" i="5"/>
  <c r="E184" i="5" s="1"/>
  <c r="C184" i="5"/>
  <c r="G183" i="5"/>
  <c r="F183" i="5"/>
  <c r="E183" i="5"/>
  <c r="D183" i="5"/>
  <c r="C183" i="5"/>
  <c r="G182" i="5"/>
  <c r="F182" i="5"/>
  <c r="E182" i="5"/>
  <c r="D182" i="5"/>
  <c r="C182" i="5"/>
  <c r="G181" i="5"/>
  <c r="F181" i="5"/>
  <c r="D181" i="5"/>
  <c r="E181" i="5" s="1"/>
  <c r="C181" i="5"/>
  <c r="G180" i="5"/>
  <c r="F180" i="5"/>
  <c r="D180" i="5"/>
  <c r="E180" i="5" s="1"/>
  <c r="C180" i="5"/>
  <c r="G179" i="5"/>
  <c r="F179" i="5"/>
  <c r="E179" i="5"/>
  <c r="D179" i="5"/>
  <c r="C179" i="5"/>
  <c r="G178" i="5"/>
  <c r="F178" i="5"/>
  <c r="D178" i="5"/>
  <c r="E178" i="5" s="1"/>
  <c r="C178" i="5"/>
  <c r="G177" i="5"/>
  <c r="F177" i="5"/>
  <c r="D177" i="5"/>
  <c r="E177" i="5" s="1"/>
  <c r="C177" i="5"/>
  <c r="G176" i="5"/>
  <c r="F176" i="5"/>
  <c r="E176" i="5"/>
  <c r="D176" i="5"/>
  <c r="C176" i="5"/>
  <c r="G175" i="5"/>
  <c r="F175" i="5"/>
  <c r="E175" i="5"/>
  <c r="D175" i="5"/>
  <c r="C175" i="5"/>
  <c r="G174" i="5"/>
  <c r="F174" i="5"/>
  <c r="E174" i="5"/>
  <c r="D174" i="5"/>
  <c r="C174" i="5"/>
  <c r="G173" i="5"/>
  <c r="F173" i="5"/>
  <c r="D173" i="5"/>
  <c r="E173" i="5" s="1"/>
  <c r="C173" i="5"/>
  <c r="G172" i="5"/>
  <c r="F172" i="5"/>
  <c r="E172" i="5"/>
  <c r="D172" i="5"/>
  <c r="C172" i="5"/>
  <c r="G171" i="5"/>
  <c r="F171" i="5"/>
  <c r="E171" i="5"/>
  <c r="D171" i="5"/>
  <c r="C171" i="5"/>
  <c r="G170" i="5"/>
  <c r="F170" i="5"/>
  <c r="E170" i="5"/>
  <c r="D170" i="5"/>
  <c r="C170" i="5"/>
  <c r="G169" i="5"/>
  <c r="F169" i="5"/>
  <c r="D169" i="5"/>
  <c r="E169" i="5" s="1"/>
  <c r="C169" i="5"/>
  <c r="G168" i="5"/>
  <c r="F168" i="5"/>
  <c r="E168" i="5"/>
  <c r="D168" i="5"/>
  <c r="C168" i="5"/>
  <c r="G167" i="5"/>
  <c r="F167" i="5"/>
  <c r="E167" i="5"/>
  <c r="D167" i="5"/>
  <c r="C167" i="5"/>
  <c r="G166" i="5"/>
  <c r="F166" i="5"/>
  <c r="E166" i="5"/>
  <c r="D166" i="5"/>
  <c r="C166" i="5"/>
  <c r="G165" i="5"/>
  <c r="F165" i="5"/>
  <c r="D165" i="5"/>
  <c r="E165" i="5" s="1"/>
  <c r="C165" i="5"/>
  <c r="G164" i="5"/>
  <c r="F164" i="5"/>
  <c r="D164" i="5"/>
  <c r="E164" i="5" s="1"/>
  <c r="C164" i="5"/>
  <c r="G163" i="5"/>
  <c r="F163" i="5"/>
  <c r="D163" i="5"/>
  <c r="E163" i="5" s="1"/>
  <c r="C163" i="5"/>
  <c r="G162" i="5"/>
  <c r="F162" i="5"/>
  <c r="D162" i="5"/>
  <c r="E162" i="5" s="1"/>
  <c r="C162" i="5"/>
  <c r="G161" i="5"/>
  <c r="F161" i="5"/>
  <c r="D161" i="5"/>
  <c r="E161" i="5" s="1"/>
  <c r="C161" i="5"/>
  <c r="G160" i="5"/>
  <c r="F160" i="5"/>
  <c r="D160" i="5"/>
  <c r="E160" i="5" s="1"/>
  <c r="C160" i="5"/>
  <c r="G159" i="5"/>
  <c r="F159" i="5"/>
  <c r="E159" i="5"/>
  <c r="D159" i="5"/>
  <c r="C159" i="5"/>
  <c r="G158" i="5"/>
  <c r="F158" i="5"/>
  <c r="E158" i="5"/>
  <c r="D158" i="5"/>
  <c r="C158" i="5"/>
  <c r="G157" i="5"/>
  <c r="F157" i="5"/>
  <c r="D157" i="5"/>
  <c r="E157" i="5" s="1"/>
  <c r="C157" i="5"/>
  <c r="G156" i="5"/>
  <c r="F156" i="5"/>
  <c r="D156" i="5"/>
  <c r="E156" i="5" s="1"/>
  <c r="C156" i="5"/>
  <c r="G155" i="5"/>
  <c r="F155" i="5"/>
  <c r="E155" i="5"/>
  <c r="D155" i="5"/>
  <c r="C155" i="5"/>
  <c r="G154" i="5"/>
  <c r="F154" i="5"/>
  <c r="E154" i="5"/>
  <c r="D154" i="5"/>
  <c r="C154" i="5"/>
  <c r="G153" i="5"/>
  <c r="F153" i="5"/>
  <c r="D153" i="5"/>
  <c r="E153" i="5" s="1"/>
  <c r="C153" i="5"/>
  <c r="G152" i="5"/>
  <c r="F152" i="5"/>
  <c r="D152" i="5"/>
  <c r="E152" i="5" s="1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D149" i="5"/>
  <c r="E149" i="5" s="1"/>
  <c r="C149" i="5"/>
  <c r="G148" i="5"/>
  <c r="F148" i="5"/>
  <c r="E148" i="5"/>
  <c r="D148" i="5"/>
  <c r="C148" i="5"/>
  <c r="G147" i="5"/>
  <c r="F147" i="5"/>
  <c r="D147" i="5"/>
  <c r="E147" i="5" s="1"/>
  <c r="C147" i="5"/>
  <c r="G146" i="5"/>
  <c r="F146" i="5"/>
  <c r="D146" i="5"/>
  <c r="E146" i="5" s="1"/>
  <c r="C146" i="5"/>
  <c r="G145" i="5"/>
  <c r="F145" i="5"/>
  <c r="D145" i="5"/>
  <c r="E145" i="5" s="1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1" i="5"/>
  <c r="F141" i="5"/>
  <c r="D141" i="5"/>
  <c r="E141" i="5" s="1"/>
  <c r="C141" i="5"/>
  <c r="G140" i="5"/>
  <c r="F140" i="5"/>
  <c r="D140" i="5"/>
  <c r="E140" i="5" s="1"/>
  <c r="C140" i="5"/>
  <c r="G139" i="5"/>
  <c r="F139" i="5"/>
  <c r="E139" i="5"/>
  <c r="D139" i="5"/>
  <c r="C139" i="5"/>
  <c r="G138" i="5"/>
  <c r="F138" i="5"/>
  <c r="E138" i="5"/>
  <c r="D138" i="5"/>
  <c r="C138" i="5"/>
  <c r="G137" i="5"/>
  <c r="F137" i="5"/>
  <c r="D137" i="5"/>
  <c r="E137" i="5" s="1"/>
  <c r="C137" i="5"/>
  <c r="G136" i="5"/>
  <c r="F136" i="5"/>
  <c r="E136" i="5"/>
  <c r="D136" i="5"/>
  <c r="C136" i="5"/>
  <c r="G135" i="5"/>
  <c r="F135" i="5"/>
  <c r="E135" i="5"/>
  <c r="D135" i="5"/>
  <c r="C135" i="5"/>
  <c r="G134" i="5"/>
  <c r="F134" i="5"/>
  <c r="E134" i="5"/>
  <c r="D134" i="5"/>
  <c r="C134" i="5"/>
  <c r="G133" i="5"/>
  <c r="F133" i="5"/>
  <c r="D133" i="5"/>
  <c r="E133" i="5" s="1"/>
  <c r="C133" i="5"/>
  <c r="G132" i="5"/>
  <c r="F132" i="5"/>
  <c r="D132" i="5"/>
  <c r="E132" i="5" s="1"/>
  <c r="C132" i="5"/>
  <c r="G131" i="5"/>
  <c r="F131" i="5"/>
  <c r="E131" i="5"/>
  <c r="D131" i="5"/>
  <c r="C131" i="5"/>
  <c r="G130" i="5"/>
  <c r="F130" i="5"/>
  <c r="D130" i="5"/>
  <c r="E130" i="5" s="1"/>
  <c r="C130" i="5"/>
  <c r="G129" i="5"/>
  <c r="F129" i="5"/>
  <c r="D129" i="5"/>
  <c r="E129" i="5" s="1"/>
  <c r="C129" i="5"/>
  <c r="G128" i="5"/>
  <c r="F128" i="5"/>
  <c r="D128" i="5"/>
  <c r="E128" i="5" s="1"/>
  <c r="C128" i="5"/>
  <c r="G127" i="5"/>
  <c r="F127" i="5"/>
  <c r="E127" i="5"/>
  <c r="D127" i="5"/>
  <c r="C127" i="5"/>
  <c r="G126" i="5"/>
  <c r="F126" i="5"/>
  <c r="E126" i="5"/>
  <c r="D126" i="5"/>
  <c r="C126" i="5"/>
  <c r="G125" i="5"/>
  <c r="F125" i="5"/>
  <c r="D125" i="5"/>
  <c r="E125" i="5" s="1"/>
  <c r="C125" i="5"/>
  <c r="G124" i="5"/>
  <c r="F124" i="5"/>
  <c r="E124" i="5"/>
  <c r="D124" i="5"/>
  <c r="C124" i="5"/>
  <c r="G123" i="5"/>
  <c r="F123" i="5"/>
  <c r="E123" i="5"/>
  <c r="D123" i="5"/>
  <c r="C123" i="5"/>
  <c r="G122" i="5"/>
  <c r="F122" i="5"/>
  <c r="E122" i="5"/>
  <c r="D122" i="5"/>
  <c r="C122" i="5"/>
  <c r="G121" i="5"/>
  <c r="F121" i="5"/>
  <c r="D121" i="5"/>
  <c r="E121" i="5" s="1"/>
  <c r="C121" i="5"/>
  <c r="G120" i="5"/>
  <c r="F120" i="5"/>
  <c r="D120" i="5"/>
  <c r="E120" i="5" s="1"/>
  <c r="C120" i="5"/>
  <c r="G119" i="5"/>
  <c r="F119" i="5"/>
  <c r="E119" i="5"/>
  <c r="D119" i="5"/>
  <c r="C119" i="5"/>
  <c r="G118" i="5"/>
  <c r="F118" i="5"/>
  <c r="E118" i="5"/>
  <c r="D118" i="5"/>
  <c r="C118" i="5"/>
  <c r="G117" i="5"/>
  <c r="F117" i="5"/>
  <c r="D117" i="5"/>
  <c r="E117" i="5" s="1"/>
  <c r="C117" i="5"/>
  <c r="G116" i="5"/>
  <c r="F116" i="5"/>
  <c r="E116" i="5"/>
  <c r="D116" i="5"/>
  <c r="C116" i="5"/>
  <c r="G115" i="5"/>
  <c r="F115" i="5"/>
  <c r="D115" i="5"/>
  <c r="E115" i="5" s="1"/>
  <c r="C115" i="5"/>
  <c r="G114" i="5"/>
  <c r="F114" i="5"/>
  <c r="D114" i="5"/>
  <c r="E114" i="5" s="1"/>
  <c r="C114" i="5"/>
  <c r="G113" i="5"/>
  <c r="F113" i="5"/>
  <c r="D113" i="5"/>
  <c r="E113" i="5" s="1"/>
  <c r="C113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9" i="5"/>
  <c r="F109" i="5"/>
  <c r="D109" i="5"/>
  <c r="E109" i="5" s="1"/>
  <c r="C109" i="5"/>
  <c r="G108" i="5"/>
  <c r="F108" i="5"/>
  <c r="D108" i="5"/>
  <c r="E108" i="5" s="1"/>
  <c r="C108" i="5"/>
  <c r="G107" i="5"/>
  <c r="F107" i="5"/>
  <c r="E107" i="5"/>
  <c r="D107" i="5"/>
  <c r="C107" i="5"/>
  <c r="G106" i="5"/>
  <c r="F106" i="5"/>
  <c r="E106" i="5"/>
  <c r="D106" i="5"/>
  <c r="C106" i="5"/>
  <c r="G105" i="5"/>
  <c r="F105" i="5"/>
  <c r="D105" i="5"/>
  <c r="E105" i="5" s="1"/>
  <c r="C105" i="5"/>
  <c r="G104" i="5"/>
  <c r="F104" i="5"/>
  <c r="D104" i="5"/>
  <c r="E104" i="5" s="1"/>
  <c r="C104" i="5"/>
  <c r="G103" i="5"/>
  <c r="F103" i="5"/>
  <c r="D103" i="5"/>
  <c r="E103" i="5" s="1"/>
  <c r="C103" i="5"/>
  <c r="G102" i="5"/>
  <c r="F102" i="5"/>
  <c r="E102" i="5"/>
  <c r="D102" i="5"/>
  <c r="C102" i="5"/>
  <c r="G101" i="5"/>
  <c r="F101" i="5"/>
  <c r="D101" i="5"/>
  <c r="E101" i="5" s="1"/>
  <c r="C101" i="5"/>
  <c r="G100" i="5"/>
  <c r="F100" i="5"/>
  <c r="E100" i="5"/>
  <c r="D100" i="5"/>
  <c r="C100" i="5"/>
  <c r="G99" i="5"/>
  <c r="F99" i="5"/>
  <c r="D99" i="5"/>
  <c r="E99" i="5" s="1"/>
  <c r="C99" i="5"/>
  <c r="G98" i="5"/>
  <c r="F98" i="5"/>
  <c r="E98" i="5"/>
  <c r="D98" i="5"/>
  <c r="C98" i="5"/>
  <c r="G97" i="5"/>
  <c r="F97" i="5"/>
  <c r="D97" i="5"/>
  <c r="E97" i="5" s="1"/>
  <c r="C97" i="5"/>
  <c r="G96" i="5"/>
  <c r="F96" i="5"/>
  <c r="D96" i="5"/>
  <c r="E96" i="5" s="1"/>
  <c r="C96" i="5"/>
  <c r="G95" i="5"/>
  <c r="F95" i="5"/>
  <c r="D95" i="5"/>
  <c r="E95" i="5" s="1"/>
  <c r="C95" i="5"/>
  <c r="G94" i="5"/>
  <c r="F94" i="5"/>
  <c r="E94" i="5"/>
  <c r="D94" i="5"/>
  <c r="C94" i="5"/>
  <c r="G93" i="5"/>
  <c r="F93" i="5"/>
  <c r="D93" i="5"/>
  <c r="E93" i="5" s="1"/>
  <c r="C93" i="5"/>
  <c r="G92" i="5"/>
  <c r="F92" i="5"/>
  <c r="E92" i="5"/>
  <c r="D92" i="5"/>
  <c r="C92" i="5"/>
  <c r="G91" i="5"/>
  <c r="F91" i="5"/>
  <c r="E91" i="5"/>
  <c r="D91" i="5"/>
  <c r="C91" i="5"/>
  <c r="G90" i="5"/>
  <c r="F90" i="5"/>
  <c r="E90" i="5"/>
  <c r="D90" i="5"/>
  <c r="C90" i="5"/>
  <c r="G89" i="5"/>
  <c r="F89" i="5"/>
  <c r="D89" i="5"/>
  <c r="E89" i="5" s="1"/>
  <c r="C89" i="5"/>
  <c r="G88" i="5"/>
  <c r="F88" i="5"/>
  <c r="E88" i="5"/>
  <c r="D88" i="5"/>
  <c r="C88" i="5"/>
  <c r="G87" i="5"/>
  <c r="F87" i="5"/>
  <c r="D87" i="5"/>
  <c r="E87" i="5" s="1"/>
  <c r="C87" i="5"/>
  <c r="G86" i="5"/>
  <c r="F86" i="5"/>
  <c r="E86" i="5"/>
  <c r="D86" i="5"/>
  <c r="C86" i="5"/>
  <c r="G85" i="5"/>
  <c r="F85" i="5"/>
  <c r="D85" i="5"/>
  <c r="E85" i="5" s="1"/>
  <c r="C85" i="5"/>
  <c r="G84" i="5"/>
  <c r="F84" i="5"/>
  <c r="E84" i="5"/>
  <c r="D84" i="5"/>
  <c r="C84" i="5"/>
  <c r="G83" i="5"/>
  <c r="F83" i="5"/>
  <c r="D83" i="5"/>
  <c r="E83" i="5" s="1"/>
  <c r="C83" i="5"/>
  <c r="G82" i="5"/>
  <c r="F82" i="5"/>
  <c r="D82" i="5"/>
  <c r="E82" i="5" s="1"/>
  <c r="C82" i="5"/>
  <c r="G81" i="5"/>
  <c r="F81" i="5"/>
  <c r="D81" i="5"/>
  <c r="E81" i="5" s="1"/>
  <c r="C81" i="5"/>
  <c r="G80" i="5"/>
  <c r="F80" i="5"/>
  <c r="D80" i="5"/>
  <c r="E80" i="5" s="1"/>
  <c r="C80" i="5"/>
  <c r="G79" i="5"/>
  <c r="F79" i="5"/>
  <c r="E79" i="5"/>
  <c r="D79" i="5"/>
  <c r="C79" i="5"/>
  <c r="G78" i="5"/>
  <c r="F78" i="5"/>
  <c r="E78" i="5"/>
  <c r="D78" i="5"/>
  <c r="C78" i="5"/>
  <c r="G77" i="5"/>
  <c r="F77" i="5"/>
  <c r="D77" i="5"/>
  <c r="E77" i="5" s="1"/>
  <c r="C77" i="5"/>
  <c r="G76" i="5"/>
  <c r="F76" i="5"/>
  <c r="E76" i="5"/>
  <c r="D76" i="5"/>
  <c r="C76" i="5"/>
  <c r="G75" i="5"/>
  <c r="F75" i="5"/>
  <c r="E75" i="5"/>
  <c r="D75" i="5"/>
  <c r="C75" i="5"/>
  <c r="G74" i="5"/>
  <c r="F74" i="5"/>
  <c r="E74" i="5"/>
  <c r="D74" i="5"/>
  <c r="C74" i="5"/>
  <c r="G73" i="5"/>
  <c r="F73" i="5"/>
  <c r="D73" i="5"/>
  <c r="E73" i="5" s="1"/>
  <c r="C73" i="5"/>
  <c r="G72" i="5"/>
  <c r="F72" i="5"/>
  <c r="D72" i="5"/>
  <c r="E72" i="5" s="1"/>
  <c r="C72" i="5"/>
  <c r="G71" i="5"/>
  <c r="F71" i="5"/>
  <c r="E71" i="5"/>
  <c r="D71" i="5"/>
  <c r="C71" i="5"/>
  <c r="G70" i="5"/>
  <c r="F70" i="5"/>
  <c r="E70" i="5"/>
  <c r="D70" i="5"/>
  <c r="C70" i="5"/>
  <c r="G69" i="5"/>
  <c r="F69" i="5"/>
  <c r="D69" i="5"/>
  <c r="E69" i="5" s="1"/>
  <c r="C69" i="5"/>
  <c r="G68" i="5"/>
  <c r="F68" i="5"/>
  <c r="D68" i="5"/>
  <c r="E68" i="5" s="1"/>
  <c r="C68" i="5"/>
  <c r="G67" i="5"/>
  <c r="F67" i="5"/>
  <c r="D67" i="5"/>
  <c r="E67" i="5" s="1"/>
  <c r="C67" i="5"/>
  <c r="G66" i="5"/>
  <c r="F66" i="5"/>
  <c r="E66" i="5"/>
  <c r="D66" i="5"/>
  <c r="C66" i="5"/>
  <c r="G65" i="5"/>
  <c r="F65" i="5"/>
  <c r="D65" i="5"/>
  <c r="E65" i="5" s="1"/>
  <c r="C65" i="5"/>
  <c r="G64" i="5"/>
  <c r="F64" i="5"/>
  <c r="D64" i="5"/>
  <c r="E64" i="5" s="1"/>
  <c r="C64" i="5"/>
  <c r="G63" i="5"/>
  <c r="F63" i="5"/>
  <c r="E63" i="5"/>
  <c r="D63" i="5"/>
  <c r="C63" i="5"/>
  <c r="G62" i="5"/>
  <c r="F62" i="5"/>
  <c r="E62" i="5"/>
  <c r="D62" i="5"/>
  <c r="C62" i="5"/>
  <c r="G61" i="5"/>
  <c r="F61" i="5"/>
  <c r="D61" i="5"/>
  <c r="E61" i="5" s="1"/>
  <c r="C61" i="5"/>
  <c r="G60" i="5"/>
  <c r="F60" i="5"/>
  <c r="E60" i="5"/>
  <c r="D60" i="5"/>
  <c r="C60" i="5"/>
  <c r="G59" i="5"/>
  <c r="F59" i="5"/>
  <c r="E59" i="5"/>
  <c r="D59" i="5"/>
  <c r="C59" i="5"/>
  <c r="G58" i="5"/>
  <c r="F58" i="5"/>
  <c r="E58" i="5"/>
  <c r="D58" i="5"/>
  <c r="C58" i="5"/>
  <c r="G57" i="5"/>
  <c r="F57" i="5"/>
  <c r="D57" i="5"/>
  <c r="E57" i="5" s="1"/>
  <c r="C57" i="5"/>
  <c r="G56" i="5"/>
  <c r="F56" i="5"/>
  <c r="E56" i="5"/>
  <c r="D56" i="5"/>
  <c r="C56" i="5"/>
  <c r="G55" i="5"/>
  <c r="F55" i="5"/>
  <c r="D55" i="5"/>
  <c r="E55" i="5" s="1"/>
  <c r="C55" i="5"/>
  <c r="G54" i="5"/>
  <c r="F54" i="5"/>
  <c r="E54" i="5"/>
  <c r="D54" i="5"/>
  <c r="C54" i="5"/>
  <c r="G53" i="5"/>
  <c r="F53" i="5"/>
  <c r="D53" i="5"/>
  <c r="E53" i="5" s="1"/>
  <c r="C53" i="5"/>
  <c r="G52" i="5"/>
  <c r="F52" i="5"/>
  <c r="E52" i="5"/>
  <c r="D52" i="5"/>
  <c r="C52" i="5"/>
  <c r="G51" i="5"/>
  <c r="F51" i="5"/>
  <c r="D51" i="5"/>
  <c r="E51" i="5" s="1"/>
  <c r="C51" i="5"/>
  <c r="G50" i="5"/>
  <c r="F50" i="5"/>
  <c r="E50" i="5"/>
  <c r="D50" i="5"/>
  <c r="C50" i="5"/>
  <c r="G49" i="5"/>
  <c r="F49" i="5"/>
  <c r="D49" i="5"/>
  <c r="E49" i="5" s="1"/>
  <c r="C49" i="5"/>
  <c r="G48" i="5"/>
  <c r="F48" i="5"/>
  <c r="E48" i="5"/>
  <c r="D48" i="5"/>
  <c r="C48" i="5"/>
  <c r="G47" i="5"/>
  <c r="F47" i="5"/>
  <c r="E47" i="5"/>
  <c r="D47" i="5"/>
  <c r="C47" i="5"/>
  <c r="G46" i="5"/>
  <c r="F46" i="5"/>
  <c r="E46" i="5"/>
  <c r="D46" i="5"/>
  <c r="C46" i="5"/>
  <c r="G45" i="5"/>
  <c r="F45" i="5"/>
  <c r="D45" i="5"/>
  <c r="E45" i="5" s="1"/>
  <c r="C45" i="5"/>
  <c r="G44" i="5"/>
  <c r="F44" i="5"/>
  <c r="E44" i="5"/>
  <c r="D44" i="5"/>
  <c r="C44" i="5"/>
  <c r="G43" i="5"/>
  <c r="F43" i="5"/>
  <c r="E43" i="5"/>
  <c r="D43" i="5"/>
  <c r="C43" i="5"/>
  <c r="G42" i="5"/>
  <c r="F42" i="5"/>
  <c r="E42" i="5"/>
  <c r="D42" i="5"/>
  <c r="C42" i="5"/>
  <c r="G41" i="5"/>
  <c r="F41" i="5"/>
  <c r="D41" i="5"/>
  <c r="E41" i="5" s="1"/>
  <c r="C41" i="5"/>
  <c r="G40" i="5"/>
  <c r="F40" i="5"/>
  <c r="E40" i="5"/>
  <c r="D40" i="5"/>
  <c r="C40" i="5"/>
  <c r="G39" i="5"/>
  <c r="F39" i="5"/>
  <c r="D39" i="5"/>
  <c r="E39" i="5" s="1"/>
  <c r="C39" i="5"/>
  <c r="G38" i="5"/>
  <c r="F38" i="5"/>
  <c r="E38" i="5"/>
  <c r="D38" i="5"/>
  <c r="C38" i="5"/>
  <c r="G37" i="5"/>
  <c r="F37" i="5"/>
  <c r="D37" i="5"/>
  <c r="E37" i="5" s="1"/>
  <c r="C37" i="5"/>
  <c r="G36" i="5"/>
  <c r="F36" i="5"/>
  <c r="D36" i="5"/>
  <c r="E36" i="5" s="1"/>
  <c r="C36" i="5"/>
  <c r="G35" i="5"/>
  <c r="F35" i="5"/>
  <c r="E35" i="5"/>
  <c r="D35" i="5"/>
  <c r="C35" i="5"/>
  <c r="G34" i="5"/>
  <c r="F34" i="5"/>
  <c r="E34" i="5"/>
  <c r="D34" i="5"/>
  <c r="C34" i="5"/>
  <c r="G33" i="5"/>
  <c r="F33" i="5"/>
  <c r="D33" i="5"/>
  <c r="E33" i="5" s="1"/>
  <c r="C33" i="5"/>
  <c r="G32" i="5"/>
  <c r="F32" i="5"/>
  <c r="D32" i="5"/>
  <c r="E32" i="5" s="1"/>
  <c r="C32" i="5"/>
  <c r="G31" i="5"/>
  <c r="F31" i="5"/>
  <c r="E31" i="5"/>
  <c r="D31" i="5"/>
  <c r="C31" i="5"/>
  <c r="G30" i="5"/>
  <c r="F30" i="5"/>
  <c r="E30" i="5"/>
  <c r="D30" i="5"/>
  <c r="C30" i="5"/>
  <c r="G29" i="5"/>
  <c r="F29" i="5"/>
  <c r="D29" i="5"/>
  <c r="E29" i="5" s="1"/>
  <c r="C29" i="5"/>
  <c r="G28" i="5"/>
  <c r="F28" i="5"/>
  <c r="E28" i="5"/>
  <c r="D28" i="5"/>
  <c r="C28" i="5"/>
  <c r="G27" i="5"/>
  <c r="F27" i="5"/>
  <c r="D27" i="5"/>
  <c r="E27" i="5" s="1"/>
  <c r="C27" i="5"/>
  <c r="G26" i="5"/>
  <c r="F26" i="5"/>
  <c r="E26" i="5"/>
  <c r="D26" i="5"/>
  <c r="C26" i="5"/>
  <c r="G25" i="5"/>
  <c r="F25" i="5"/>
  <c r="E25" i="5"/>
  <c r="D25" i="5"/>
  <c r="C25" i="5"/>
  <c r="G24" i="5"/>
  <c r="F24" i="5"/>
  <c r="E24" i="5"/>
  <c r="D24" i="5"/>
  <c r="C24" i="5"/>
  <c r="G23" i="5"/>
  <c r="F23" i="5"/>
  <c r="D23" i="5"/>
  <c r="E23" i="5" s="1"/>
  <c r="C23" i="5"/>
  <c r="G22" i="5"/>
  <c r="F22" i="5"/>
  <c r="D22" i="5"/>
  <c r="E22" i="5" s="1"/>
  <c r="C22" i="5"/>
  <c r="G21" i="5"/>
  <c r="F21" i="5"/>
  <c r="D21" i="5"/>
  <c r="E21" i="5" s="1"/>
  <c r="C21" i="5"/>
  <c r="G20" i="5"/>
  <c r="F20" i="5"/>
  <c r="E20" i="5"/>
  <c r="D20" i="5"/>
  <c r="C20" i="5"/>
  <c r="G19" i="5"/>
  <c r="F19" i="5"/>
  <c r="D19" i="5"/>
  <c r="E19" i="5" s="1"/>
  <c r="C19" i="5"/>
  <c r="G18" i="5"/>
  <c r="F18" i="5"/>
  <c r="E18" i="5"/>
  <c r="D18" i="5"/>
  <c r="C18" i="5"/>
  <c r="G17" i="5"/>
  <c r="F17" i="5"/>
  <c r="D17" i="5"/>
  <c r="E17" i="5" s="1"/>
  <c r="C17" i="5"/>
  <c r="G16" i="5"/>
  <c r="F16" i="5"/>
  <c r="D16" i="5"/>
  <c r="E16" i="5" s="1"/>
  <c r="C16" i="5"/>
  <c r="G15" i="5"/>
  <c r="F15" i="5"/>
  <c r="E15" i="5"/>
  <c r="D15" i="5"/>
  <c r="C15" i="5"/>
  <c r="G14" i="5"/>
  <c r="F14" i="5"/>
  <c r="E14" i="5"/>
  <c r="D14" i="5"/>
  <c r="C14" i="5"/>
  <c r="G13" i="5"/>
  <c r="F13" i="5"/>
  <c r="D13" i="5"/>
  <c r="E13" i="5" s="1"/>
  <c r="C13" i="5"/>
  <c r="G12" i="5"/>
  <c r="F12" i="5"/>
  <c r="E12" i="5"/>
  <c r="D12" i="5"/>
  <c r="C12" i="5"/>
  <c r="G11" i="5"/>
  <c r="F11" i="5"/>
  <c r="D11" i="5"/>
  <c r="E11" i="5" s="1"/>
  <c r="C11" i="5"/>
  <c r="G10" i="5"/>
  <c r="F10" i="5"/>
  <c r="E10" i="5"/>
  <c r="D10" i="5"/>
  <c r="C10" i="5"/>
  <c r="G9" i="5"/>
  <c r="F9" i="5"/>
  <c r="D9" i="5"/>
  <c r="E9" i="5" s="1"/>
  <c r="C9" i="5"/>
  <c r="G8" i="5"/>
  <c r="F8" i="5"/>
  <c r="E8" i="5"/>
  <c r="D8" i="5"/>
  <c r="C8" i="5"/>
  <c r="G7" i="5"/>
  <c r="F7" i="5"/>
  <c r="D7" i="5"/>
  <c r="E7" i="5" s="1"/>
  <c r="C7" i="5"/>
  <c r="G6" i="5"/>
  <c r="F6" i="5"/>
  <c r="E6" i="5"/>
  <c r="D6" i="5"/>
  <c r="C6" i="5"/>
  <c r="G5" i="5"/>
  <c r="F5" i="5"/>
  <c r="D5" i="5"/>
  <c r="E5" i="5" s="1"/>
  <c r="C5" i="5"/>
  <c r="G4" i="5"/>
  <c r="F4" i="5"/>
  <c r="E4" i="5"/>
  <c r="D4" i="5"/>
  <c r="C4" i="5"/>
  <c r="G3" i="5"/>
  <c r="F3" i="5"/>
  <c r="D3" i="5"/>
  <c r="E3" i="5" s="1"/>
  <c r="C3" i="5"/>
  <c r="G2" i="5"/>
  <c r="F2" i="5"/>
  <c r="E2" i="5"/>
  <c r="D2" i="5"/>
  <c r="G1130" i="4"/>
  <c r="F1130" i="4"/>
  <c r="E1130" i="4"/>
  <c r="D1130" i="4"/>
  <c r="C1130" i="4"/>
  <c r="G1129" i="4"/>
  <c r="F1129" i="4"/>
  <c r="D1129" i="4"/>
  <c r="E1129" i="4" s="1"/>
  <c r="C1129" i="4"/>
  <c r="G1128" i="4"/>
  <c r="F1128" i="4"/>
  <c r="D1128" i="4"/>
  <c r="E1128" i="4" s="1"/>
  <c r="C1128" i="4"/>
  <c r="G1127" i="4"/>
  <c r="F1127" i="4"/>
  <c r="E1127" i="4"/>
  <c r="D1127" i="4"/>
  <c r="C1127" i="4"/>
  <c r="G1126" i="4"/>
  <c r="F1126" i="4"/>
  <c r="E1126" i="4"/>
  <c r="D1126" i="4"/>
  <c r="C1126" i="4"/>
  <c r="G1125" i="4"/>
  <c r="F1125" i="4"/>
  <c r="E1125" i="4"/>
  <c r="D1125" i="4"/>
  <c r="C1125" i="4"/>
  <c r="G1124" i="4"/>
  <c r="F1124" i="4"/>
  <c r="D1124" i="4"/>
  <c r="E1124" i="4" s="1"/>
  <c r="C1124" i="4"/>
  <c r="G1123" i="4"/>
  <c r="F1123" i="4"/>
  <c r="E1123" i="4"/>
  <c r="D1123" i="4"/>
  <c r="C1123" i="4"/>
  <c r="G1122" i="4"/>
  <c r="F1122" i="4"/>
  <c r="D1122" i="4"/>
  <c r="E1122" i="4" s="1"/>
  <c r="C1122" i="4"/>
  <c r="G1121" i="4"/>
  <c r="F1121" i="4"/>
  <c r="E1121" i="4"/>
  <c r="D1121" i="4"/>
  <c r="C1121" i="4"/>
  <c r="G1120" i="4"/>
  <c r="F1120" i="4"/>
  <c r="D1120" i="4"/>
  <c r="E1120" i="4" s="1"/>
  <c r="C1120" i="4"/>
  <c r="G1119" i="4"/>
  <c r="F1119" i="4"/>
  <c r="D1119" i="4"/>
  <c r="E1119" i="4" s="1"/>
  <c r="C1119" i="4"/>
  <c r="G1118" i="4"/>
  <c r="F1118" i="4"/>
  <c r="E1118" i="4"/>
  <c r="D1118" i="4"/>
  <c r="C1118" i="4"/>
  <c r="G1117" i="4"/>
  <c r="F1117" i="4"/>
  <c r="D1117" i="4"/>
  <c r="E1117" i="4" s="1"/>
  <c r="C1117" i="4"/>
  <c r="G1116" i="4"/>
  <c r="F1116" i="4"/>
  <c r="E1116" i="4"/>
  <c r="D1116" i="4"/>
  <c r="C1116" i="4"/>
  <c r="G1115" i="4"/>
  <c r="F1115" i="4"/>
  <c r="D1115" i="4"/>
  <c r="E1115" i="4" s="1"/>
  <c r="C1115" i="4"/>
  <c r="G1114" i="4"/>
  <c r="F1114" i="4"/>
  <c r="E1114" i="4"/>
  <c r="D1114" i="4"/>
  <c r="C1114" i="4"/>
  <c r="G1113" i="4"/>
  <c r="F1113" i="4"/>
  <c r="D1113" i="4"/>
  <c r="E1113" i="4" s="1"/>
  <c r="C1113" i="4"/>
  <c r="G1112" i="4"/>
  <c r="F1112" i="4"/>
  <c r="D1112" i="4"/>
  <c r="E1112" i="4" s="1"/>
  <c r="C1112" i="4"/>
  <c r="G1111" i="4"/>
  <c r="F1111" i="4"/>
  <c r="E1111" i="4"/>
  <c r="D1111" i="4"/>
  <c r="C1111" i="4"/>
  <c r="G1110" i="4"/>
  <c r="F1110" i="4"/>
  <c r="D1110" i="4"/>
  <c r="E1110" i="4" s="1"/>
  <c r="C1110" i="4"/>
  <c r="G1109" i="4"/>
  <c r="F1109" i="4"/>
  <c r="D1109" i="4"/>
  <c r="E1109" i="4" s="1"/>
  <c r="C1109" i="4"/>
  <c r="G1108" i="4"/>
  <c r="F1108" i="4"/>
  <c r="E1108" i="4"/>
  <c r="D1108" i="4"/>
  <c r="C1108" i="4"/>
  <c r="G1107" i="4"/>
  <c r="F1107" i="4"/>
  <c r="E1107" i="4"/>
  <c r="D1107" i="4"/>
  <c r="C1107" i="4"/>
  <c r="G1106" i="4"/>
  <c r="F1106" i="4"/>
  <c r="D1106" i="4"/>
  <c r="E1106" i="4" s="1"/>
  <c r="C1106" i="4"/>
  <c r="G1105" i="4"/>
  <c r="F1105" i="4"/>
  <c r="E1105" i="4"/>
  <c r="D1105" i="4"/>
  <c r="C1105" i="4"/>
  <c r="G1104" i="4"/>
  <c r="F1104" i="4"/>
  <c r="D1104" i="4"/>
  <c r="E1104" i="4" s="1"/>
  <c r="C1104" i="4"/>
  <c r="G1103" i="4"/>
  <c r="F1103" i="4"/>
  <c r="E1103" i="4"/>
  <c r="D1103" i="4"/>
  <c r="C1103" i="4"/>
  <c r="G1102" i="4"/>
  <c r="F1102" i="4"/>
  <c r="D1102" i="4"/>
  <c r="E1102" i="4" s="1"/>
  <c r="C1102" i="4"/>
  <c r="G1101" i="4"/>
  <c r="F1101" i="4"/>
  <c r="E1101" i="4"/>
  <c r="D1101" i="4"/>
  <c r="C1101" i="4"/>
  <c r="G1100" i="4"/>
  <c r="F1100" i="4"/>
  <c r="D1100" i="4"/>
  <c r="E1100" i="4" s="1"/>
  <c r="C1100" i="4"/>
  <c r="G1099" i="4"/>
  <c r="F1099" i="4"/>
  <c r="E1099" i="4"/>
  <c r="D1099" i="4"/>
  <c r="C1099" i="4"/>
  <c r="G1098" i="4"/>
  <c r="F1098" i="4"/>
  <c r="D1098" i="4"/>
  <c r="E1098" i="4" s="1"/>
  <c r="C1098" i="4"/>
  <c r="G1097" i="4"/>
  <c r="F1097" i="4"/>
  <c r="E1097" i="4"/>
  <c r="D1097" i="4"/>
  <c r="C1097" i="4"/>
  <c r="G1096" i="4"/>
  <c r="F1096" i="4"/>
  <c r="D1096" i="4"/>
  <c r="E1096" i="4" s="1"/>
  <c r="C1096" i="4"/>
  <c r="G1095" i="4"/>
  <c r="F1095" i="4"/>
  <c r="E1095" i="4"/>
  <c r="D1095" i="4"/>
  <c r="C1095" i="4"/>
  <c r="G1094" i="4"/>
  <c r="F1094" i="4"/>
  <c r="D1094" i="4"/>
  <c r="E1094" i="4" s="1"/>
  <c r="C1094" i="4"/>
  <c r="G1093" i="4"/>
  <c r="F1093" i="4"/>
  <c r="D1093" i="4"/>
  <c r="E1093" i="4" s="1"/>
  <c r="C1093" i="4"/>
  <c r="G1092" i="4"/>
  <c r="F1092" i="4"/>
  <c r="E1092" i="4"/>
  <c r="D1092" i="4"/>
  <c r="C1092" i="4"/>
  <c r="G1091" i="4"/>
  <c r="F1091" i="4"/>
  <c r="E1091" i="4"/>
  <c r="D1091" i="4"/>
  <c r="C1091" i="4"/>
  <c r="G1090" i="4"/>
  <c r="F1090" i="4"/>
  <c r="D1090" i="4"/>
  <c r="E1090" i="4" s="1"/>
  <c r="C1090" i="4"/>
  <c r="G1089" i="4"/>
  <c r="F1089" i="4"/>
  <c r="E1089" i="4"/>
  <c r="D1089" i="4"/>
  <c r="C1089" i="4"/>
  <c r="G1088" i="4"/>
  <c r="F1088" i="4"/>
  <c r="D1088" i="4"/>
  <c r="E1088" i="4" s="1"/>
  <c r="C1088" i="4"/>
  <c r="G1087" i="4"/>
  <c r="F1087" i="4"/>
  <c r="E1087" i="4"/>
  <c r="D1087" i="4"/>
  <c r="C1087" i="4"/>
  <c r="G1086" i="4"/>
  <c r="F1086" i="4"/>
  <c r="D1086" i="4"/>
  <c r="E1086" i="4" s="1"/>
  <c r="C1086" i="4"/>
  <c r="G1085" i="4"/>
  <c r="F1085" i="4"/>
  <c r="E1085" i="4"/>
  <c r="D1085" i="4"/>
  <c r="C1085" i="4"/>
  <c r="G1084" i="4"/>
  <c r="F1084" i="4"/>
  <c r="D1084" i="4"/>
  <c r="E1084" i="4" s="1"/>
  <c r="C1084" i="4"/>
  <c r="G1083" i="4"/>
  <c r="F1083" i="4"/>
  <c r="E1083" i="4"/>
  <c r="D1083" i="4"/>
  <c r="C1083" i="4"/>
  <c r="G1082" i="4"/>
  <c r="F1082" i="4"/>
  <c r="D1082" i="4"/>
  <c r="E1082" i="4" s="1"/>
  <c r="C1082" i="4"/>
  <c r="G1081" i="4"/>
  <c r="F1081" i="4"/>
  <c r="E1081" i="4"/>
  <c r="D1081" i="4"/>
  <c r="C1081" i="4"/>
  <c r="G1080" i="4"/>
  <c r="F1080" i="4"/>
  <c r="D1080" i="4"/>
  <c r="E1080" i="4" s="1"/>
  <c r="C1080" i="4"/>
  <c r="G1079" i="4"/>
  <c r="F1079" i="4"/>
  <c r="E1079" i="4"/>
  <c r="D1079" i="4"/>
  <c r="C1079" i="4"/>
  <c r="G1078" i="4"/>
  <c r="F1078" i="4"/>
  <c r="D1078" i="4"/>
  <c r="E1078" i="4" s="1"/>
  <c r="C1078" i="4"/>
  <c r="G1077" i="4"/>
  <c r="F1077" i="4"/>
  <c r="D1077" i="4"/>
  <c r="E1077" i="4" s="1"/>
  <c r="C1077" i="4"/>
  <c r="G1076" i="4"/>
  <c r="F1076" i="4"/>
  <c r="E1076" i="4"/>
  <c r="D1076" i="4"/>
  <c r="C1076" i="4"/>
  <c r="G1075" i="4"/>
  <c r="F1075" i="4"/>
  <c r="E1075" i="4"/>
  <c r="D1075" i="4"/>
  <c r="C1075" i="4"/>
  <c r="G1074" i="4"/>
  <c r="F1074" i="4"/>
  <c r="D1074" i="4"/>
  <c r="E1074" i="4" s="1"/>
  <c r="C1074" i="4"/>
  <c r="G1073" i="4"/>
  <c r="F1073" i="4"/>
  <c r="E1073" i="4"/>
  <c r="D1073" i="4"/>
  <c r="C1073" i="4"/>
  <c r="G1072" i="4"/>
  <c r="F1072" i="4"/>
  <c r="D1072" i="4"/>
  <c r="E1072" i="4" s="1"/>
  <c r="C1072" i="4"/>
  <c r="G1071" i="4"/>
  <c r="F1071" i="4"/>
  <c r="E1071" i="4"/>
  <c r="D1071" i="4"/>
  <c r="C1071" i="4"/>
  <c r="G1070" i="4"/>
  <c r="F1070" i="4"/>
  <c r="D1070" i="4"/>
  <c r="E1070" i="4" s="1"/>
  <c r="C1070" i="4"/>
  <c r="G1069" i="4"/>
  <c r="F1069" i="4"/>
  <c r="E1069" i="4"/>
  <c r="D1069" i="4"/>
  <c r="C1069" i="4"/>
  <c r="G1068" i="4"/>
  <c r="F1068" i="4"/>
  <c r="D1068" i="4"/>
  <c r="E1068" i="4" s="1"/>
  <c r="C1068" i="4"/>
  <c r="G1067" i="4"/>
  <c r="F1067" i="4"/>
  <c r="E1067" i="4"/>
  <c r="D1067" i="4"/>
  <c r="C1067" i="4"/>
  <c r="G1066" i="4"/>
  <c r="F1066" i="4"/>
  <c r="D1066" i="4"/>
  <c r="E1066" i="4" s="1"/>
  <c r="C1066" i="4"/>
  <c r="G1065" i="4"/>
  <c r="F1065" i="4"/>
  <c r="E1065" i="4"/>
  <c r="D1065" i="4"/>
  <c r="C1065" i="4"/>
  <c r="G1064" i="4"/>
  <c r="F1064" i="4"/>
  <c r="D1064" i="4"/>
  <c r="E1064" i="4" s="1"/>
  <c r="C1064" i="4"/>
  <c r="G1063" i="4"/>
  <c r="F1063" i="4"/>
  <c r="E1063" i="4"/>
  <c r="D1063" i="4"/>
  <c r="C1063" i="4"/>
  <c r="G1062" i="4"/>
  <c r="F1062" i="4"/>
  <c r="D1062" i="4"/>
  <c r="E1062" i="4" s="1"/>
  <c r="C1062" i="4"/>
  <c r="G1061" i="4"/>
  <c r="F1061" i="4"/>
  <c r="D1061" i="4"/>
  <c r="E1061" i="4" s="1"/>
  <c r="C1061" i="4"/>
  <c r="G1060" i="4"/>
  <c r="F1060" i="4"/>
  <c r="E1060" i="4"/>
  <c r="D1060" i="4"/>
  <c r="C1060" i="4"/>
  <c r="G1059" i="4"/>
  <c r="F1059" i="4"/>
  <c r="E1059" i="4"/>
  <c r="D1059" i="4"/>
  <c r="C1059" i="4"/>
  <c r="G1058" i="4"/>
  <c r="F1058" i="4"/>
  <c r="D1058" i="4"/>
  <c r="E1058" i="4" s="1"/>
  <c r="C1058" i="4"/>
  <c r="G1057" i="4"/>
  <c r="F1057" i="4"/>
  <c r="E1057" i="4"/>
  <c r="D1057" i="4"/>
  <c r="C1057" i="4"/>
  <c r="G1056" i="4"/>
  <c r="F1056" i="4"/>
  <c r="D1056" i="4"/>
  <c r="E1056" i="4" s="1"/>
  <c r="C1056" i="4"/>
  <c r="G1055" i="4"/>
  <c r="F1055" i="4"/>
  <c r="E1055" i="4"/>
  <c r="D1055" i="4"/>
  <c r="C1055" i="4"/>
  <c r="G1054" i="4"/>
  <c r="F1054" i="4"/>
  <c r="D1054" i="4"/>
  <c r="E1054" i="4" s="1"/>
  <c r="C1054" i="4"/>
  <c r="G1053" i="4"/>
  <c r="F1053" i="4"/>
  <c r="E1053" i="4"/>
  <c r="D1053" i="4"/>
  <c r="C1053" i="4"/>
  <c r="G1052" i="4"/>
  <c r="F1052" i="4"/>
  <c r="D1052" i="4"/>
  <c r="E1052" i="4" s="1"/>
  <c r="C1052" i="4"/>
  <c r="G1051" i="4"/>
  <c r="F1051" i="4"/>
  <c r="E1051" i="4"/>
  <c r="D1051" i="4"/>
  <c r="C1051" i="4"/>
  <c r="G1050" i="4"/>
  <c r="F1050" i="4"/>
  <c r="D1050" i="4"/>
  <c r="E1050" i="4" s="1"/>
  <c r="C1050" i="4"/>
  <c r="G1049" i="4"/>
  <c r="F1049" i="4"/>
  <c r="E1049" i="4"/>
  <c r="D1049" i="4"/>
  <c r="C1049" i="4"/>
  <c r="G1048" i="4"/>
  <c r="F1048" i="4"/>
  <c r="D1048" i="4"/>
  <c r="E1048" i="4" s="1"/>
  <c r="C1048" i="4"/>
  <c r="G1047" i="4"/>
  <c r="F1047" i="4"/>
  <c r="E1047" i="4"/>
  <c r="D1047" i="4"/>
  <c r="C1047" i="4"/>
  <c r="G1046" i="4"/>
  <c r="F1046" i="4"/>
  <c r="D1046" i="4"/>
  <c r="E1046" i="4" s="1"/>
  <c r="C1046" i="4"/>
  <c r="G1045" i="4"/>
  <c r="F1045" i="4"/>
  <c r="D1045" i="4"/>
  <c r="E1045" i="4" s="1"/>
  <c r="C1045" i="4"/>
  <c r="G1044" i="4"/>
  <c r="F1044" i="4"/>
  <c r="E1044" i="4"/>
  <c r="D1044" i="4"/>
  <c r="C1044" i="4"/>
  <c r="G1043" i="4"/>
  <c r="F1043" i="4"/>
  <c r="E1043" i="4"/>
  <c r="D1043" i="4"/>
  <c r="C1043" i="4"/>
  <c r="G1042" i="4"/>
  <c r="F1042" i="4"/>
  <c r="D1042" i="4"/>
  <c r="E1042" i="4" s="1"/>
  <c r="C1042" i="4"/>
  <c r="G1041" i="4"/>
  <c r="F1041" i="4"/>
  <c r="E1041" i="4"/>
  <c r="D1041" i="4"/>
  <c r="C1041" i="4"/>
  <c r="G1040" i="4"/>
  <c r="F1040" i="4"/>
  <c r="D1040" i="4"/>
  <c r="E1040" i="4" s="1"/>
  <c r="C1040" i="4"/>
  <c r="G1039" i="4"/>
  <c r="F1039" i="4"/>
  <c r="E1039" i="4"/>
  <c r="D1039" i="4"/>
  <c r="C1039" i="4"/>
  <c r="G1038" i="4"/>
  <c r="F1038" i="4"/>
  <c r="D1038" i="4"/>
  <c r="E1038" i="4" s="1"/>
  <c r="C1038" i="4"/>
  <c r="G1037" i="4"/>
  <c r="F1037" i="4"/>
  <c r="E1037" i="4"/>
  <c r="D1037" i="4"/>
  <c r="C1037" i="4"/>
  <c r="G1036" i="4"/>
  <c r="F1036" i="4"/>
  <c r="D1036" i="4"/>
  <c r="E1036" i="4" s="1"/>
  <c r="C1036" i="4"/>
  <c r="G1035" i="4"/>
  <c r="F1035" i="4"/>
  <c r="E1035" i="4"/>
  <c r="D1035" i="4"/>
  <c r="C1035" i="4"/>
  <c r="G1034" i="4"/>
  <c r="F1034" i="4"/>
  <c r="D1034" i="4"/>
  <c r="E1034" i="4" s="1"/>
  <c r="C1034" i="4"/>
  <c r="G1033" i="4"/>
  <c r="F1033" i="4"/>
  <c r="E1033" i="4"/>
  <c r="D1033" i="4"/>
  <c r="C1033" i="4"/>
  <c r="G1032" i="4"/>
  <c r="F1032" i="4"/>
  <c r="D1032" i="4"/>
  <c r="E1032" i="4" s="1"/>
  <c r="C1032" i="4"/>
  <c r="G1031" i="4"/>
  <c r="F1031" i="4"/>
  <c r="E1031" i="4"/>
  <c r="D1031" i="4"/>
  <c r="C1031" i="4"/>
  <c r="G1030" i="4"/>
  <c r="F1030" i="4"/>
  <c r="D1030" i="4"/>
  <c r="E1030" i="4" s="1"/>
  <c r="C1030" i="4"/>
  <c r="G1029" i="4"/>
  <c r="F1029" i="4"/>
  <c r="D1029" i="4"/>
  <c r="E1029" i="4" s="1"/>
  <c r="C1029" i="4"/>
  <c r="G1028" i="4"/>
  <c r="F1028" i="4"/>
  <c r="E1028" i="4"/>
  <c r="D1028" i="4"/>
  <c r="C1028" i="4"/>
  <c r="G1027" i="4"/>
  <c r="F1027" i="4"/>
  <c r="E1027" i="4"/>
  <c r="D1027" i="4"/>
  <c r="C1027" i="4"/>
  <c r="G1026" i="4"/>
  <c r="F1026" i="4"/>
  <c r="D1026" i="4"/>
  <c r="E1026" i="4" s="1"/>
  <c r="C1026" i="4"/>
  <c r="G1025" i="4"/>
  <c r="F1025" i="4"/>
  <c r="E1025" i="4"/>
  <c r="D1025" i="4"/>
  <c r="C1025" i="4"/>
  <c r="G1024" i="4"/>
  <c r="F1024" i="4"/>
  <c r="D1024" i="4"/>
  <c r="E1024" i="4" s="1"/>
  <c r="C1024" i="4"/>
  <c r="G1023" i="4"/>
  <c r="F1023" i="4"/>
  <c r="E1023" i="4"/>
  <c r="D1023" i="4"/>
  <c r="C1023" i="4"/>
  <c r="G1022" i="4"/>
  <c r="F1022" i="4"/>
  <c r="D1022" i="4"/>
  <c r="E1022" i="4" s="1"/>
  <c r="C1022" i="4"/>
  <c r="G1021" i="4"/>
  <c r="F1021" i="4"/>
  <c r="E1021" i="4"/>
  <c r="D1021" i="4"/>
  <c r="C1021" i="4"/>
  <c r="G1020" i="4"/>
  <c r="F1020" i="4"/>
  <c r="D1020" i="4"/>
  <c r="E1020" i="4" s="1"/>
  <c r="C1020" i="4"/>
  <c r="G1019" i="4"/>
  <c r="F1019" i="4"/>
  <c r="E1019" i="4"/>
  <c r="D1019" i="4"/>
  <c r="C1019" i="4"/>
  <c r="G1018" i="4"/>
  <c r="F1018" i="4"/>
  <c r="D1018" i="4"/>
  <c r="E1018" i="4" s="1"/>
  <c r="C1018" i="4"/>
  <c r="G1017" i="4"/>
  <c r="F1017" i="4"/>
  <c r="E1017" i="4"/>
  <c r="D1017" i="4"/>
  <c r="C1017" i="4"/>
  <c r="G1016" i="4"/>
  <c r="F1016" i="4"/>
  <c r="D1016" i="4"/>
  <c r="E1016" i="4" s="1"/>
  <c r="C1016" i="4"/>
  <c r="G1015" i="4"/>
  <c r="F1015" i="4"/>
  <c r="E1015" i="4"/>
  <c r="D1015" i="4"/>
  <c r="C1015" i="4"/>
  <c r="G1014" i="4"/>
  <c r="F1014" i="4"/>
  <c r="D1014" i="4"/>
  <c r="E1014" i="4" s="1"/>
  <c r="C1014" i="4"/>
  <c r="G1013" i="4"/>
  <c r="F1013" i="4"/>
  <c r="D1013" i="4"/>
  <c r="E1013" i="4" s="1"/>
  <c r="C1013" i="4"/>
  <c r="G1012" i="4"/>
  <c r="F1012" i="4"/>
  <c r="E1012" i="4"/>
  <c r="D1012" i="4"/>
  <c r="C1012" i="4"/>
  <c r="G1011" i="4"/>
  <c r="F1011" i="4"/>
  <c r="E1011" i="4"/>
  <c r="D1011" i="4"/>
  <c r="C1011" i="4"/>
  <c r="G1010" i="4"/>
  <c r="F1010" i="4"/>
  <c r="D1010" i="4"/>
  <c r="E1010" i="4" s="1"/>
  <c r="C1010" i="4"/>
  <c r="G1009" i="4"/>
  <c r="F1009" i="4"/>
  <c r="E1009" i="4"/>
  <c r="D1009" i="4"/>
  <c r="C1009" i="4"/>
  <c r="G1008" i="4"/>
  <c r="F1008" i="4"/>
  <c r="D1008" i="4"/>
  <c r="E1008" i="4" s="1"/>
  <c r="C1008" i="4"/>
  <c r="G1007" i="4"/>
  <c r="F1007" i="4"/>
  <c r="E1007" i="4"/>
  <c r="D1007" i="4"/>
  <c r="C1007" i="4"/>
  <c r="G1006" i="4"/>
  <c r="F1006" i="4"/>
  <c r="D1006" i="4"/>
  <c r="E1006" i="4" s="1"/>
  <c r="C1006" i="4"/>
  <c r="G1005" i="4"/>
  <c r="F1005" i="4"/>
  <c r="E1005" i="4"/>
  <c r="D1005" i="4"/>
  <c r="C1005" i="4"/>
  <c r="G1004" i="4"/>
  <c r="F1004" i="4"/>
  <c r="D1004" i="4"/>
  <c r="E1004" i="4" s="1"/>
  <c r="C1004" i="4"/>
  <c r="G1003" i="4"/>
  <c r="F1003" i="4"/>
  <c r="E1003" i="4"/>
  <c r="D1003" i="4"/>
  <c r="C1003" i="4"/>
  <c r="G1002" i="4"/>
  <c r="F1002" i="4"/>
  <c r="D1002" i="4"/>
  <c r="E1002" i="4" s="1"/>
  <c r="C1002" i="4"/>
  <c r="G1001" i="4"/>
  <c r="F1001" i="4"/>
  <c r="E1001" i="4"/>
  <c r="D1001" i="4"/>
  <c r="C1001" i="4"/>
  <c r="G1000" i="4"/>
  <c r="F1000" i="4"/>
  <c r="D1000" i="4"/>
  <c r="E1000" i="4" s="1"/>
  <c r="C1000" i="4"/>
  <c r="G999" i="4"/>
  <c r="F999" i="4"/>
  <c r="E999" i="4"/>
  <c r="D999" i="4"/>
  <c r="C999" i="4"/>
  <c r="G998" i="4"/>
  <c r="F998" i="4"/>
  <c r="D998" i="4"/>
  <c r="E998" i="4" s="1"/>
  <c r="C998" i="4"/>
  <c r="G997" i="4"/>
  <c r="F997" i="4"/>
  <c r="D997" i="4"/>
  <c r="E997" i="4" s="1"/>
  <c r="C997" i="4"/>
  <c r="G996" i="4"/>
  <c r="F996" i="4"/>
  <c r="E996" i="4"/>
  <c r="D996" i="4"/>
  <c r="C996" i="4"/>
  <c r="G995" i="4"/>
  <c r="F995" i="4"/>
  <c r="E995" i="4"/>
  <c r="D995" i="4"/>
  <c r="C995" i="4"/>
  <c r="G994" i="4"/>
  <c r="F994" i="4"/>
  <c r="D994" i="4"/>
  <c r="E994" i="4" s="1"/>
  <c r="C994" i="4"/>
  <c r="G993" i="4"/>
  <c r="F993" i="4"/>
  <c r="E993" i="4"/>
  <c r="D993" i="4"/>
  <c r="C993" i="4"/>
  <c r="G992" i="4"/>
  <c r="F992" i="4"/>
  <c r="D992" i="4"/>
  <c r="E992" i="4" s="1"/>
  <c r="C992" i="4"/>
  <c r="G991" i="4"/>
  <c r="F991" i="4"/>
  <c r="E991" i="4"/>
  <c r="D991" i="4"/>
  <c r="C991" i="4"/>
  <c r="G990" i="4"/>
  <c r="F990" i="4"/>
  <c r="D990" i="4"/>
  <c r="E990" i="4" s="1"/>
  <c r="C990" i="4"/>
  <c r="G989" i="4"/>
  <c r="F989" i="4"/>
  <c r="E989" i="4"/>
  <c r="D989" i="4"/>
  <c r="C989" i="4"/>
  <c r="G988" i="4"/>
  <c r="F988" i="4"/>
  <c r="D988" i="4"/>
  <c r="E988" i="4" s="1"/>
  <c r="C988" i="4"/>
  <c r="G987" i="4"/>
  <c r="F987" i="4"/>
  <c r="E987" i="4"/>
  <c r="D987" i="4"/>
  <c r="C987" i="4"/>
  <c r="G986" i="4"/>
  <c r="F986" i="4"/>
  <c r="D986" i="4"/>
  <c r="E986" i="4" s="1"/>
  <c r="C986" i="4"/>
  <c r="G985" i="4"/>
  <c r="F985" i="4"/>
  <c r="E985" i="4"/>
  <c r="D985" i="4"/>
  <c r="C985" i="4"/>
  <c r="G984" i="4"/>
  <c r="F984" i="4"/>
  <c r="D984" i="4"/>
  <c r="E984" i="4" s="1"/>
  <c r="C984" i="4"/>
  <c r="G983" i="4"/>
  <c r="F983" i="4"/>
  <c r="E983" i="4"/>
  <c r="D983" i="4"/>
  <c r="C983" i="4"/>
  <c r="G982" i="4"/>
  <c r="F982" i="4"/>
  <c r="D982" i="4"/>
  <c r="E982" i="4" s="1"/>
  <c r="C982" i="4"/>
  <c r="G981" i="4"/>
  <c r="F981" i="4"/>
  <c r="D981" i="4"/>
  <c r="E981" i="4" s="1"/>
  <c r="C981" i="4"/>
  <c r="G980" i="4"/>
  <c r="F980" i="4"/>
  <c r="E980" i="4"/>
  <c r="D980" i="4"/>
  <c r="C980" i="4"/>
  <c r="G979" i="4"/>
  <c r="F979" i="4"/>
  <c r="E979" i="4"/>
  <c r="D979" i="4"/>
  <c r="C979" i="4"/>
  <c r="G978" i="4"/>
  <c r="F978" i="4"/>
  <c r="D978" i="4"/>
  <c r="E978" i="4" s="1"/>
  <c r="C978" i="4"/>
  <c r="G977" i="4"/>
  <c r="F977" i="4"/>
  <c r="E977" i="4"/>
  <c r="D977" i="4"/>
  <c r="C977" i="4"/>
  <c r="G976" i="4"/>
  <c r="F976" i="4"/>
  <c r="D976" i="4"/>
  <c r="E976" i="4" s="1"/>
  <c r="C976" i="4"/>
  <c r="G975" i="4"/>
  <c r="F975" i="4"/>
  <c r="E975" i="4"/>
  <c r="D975" i="4"/>
  <c r="C975" i="4"/>
  <c r="G974" i="4"/>
  <c r="F974" i="4"/>
  <c r="D974" i="4"/>
  <c r="E974" i="4" s="1"/>
  <c r="C974" i="4"/>
  <c r="G973" i="4"/>
  <c r="F973" i="4"/>
  <c r="E973" i="4"/>
  <c r="D973" i="4"/>
  <c r="C973" i="4"/>
  <c r="G972" i="4"/>
  <c r="F972" i="4"/>
  <c r="D972" i="4"/>
  <c r="E972" i="4" s="1"/>
  <c r="C972" i="4"/>
  <c r="G971" i="4"/>
  <c r="F971" i="4"/>
  <c r="E971" i="4"/>
  <c r="D971" i="4"/>
  <c r="C971" i="4"/>
  <c r="G970" i="4"/>
  <c r="F970" i="4"/>
  <c r="D970" i="4"/>
  <c r="E970" i="4" s="1"/>
  <c r="C970" i="4"/>
  <c r="G969" i="4"/>
  <c r="F969" i="4"/>
  <c r="E969" i="4"/>
  <c r="D969" i="4"/>
  <c r="C969" i="4"/>
  <c r="G968" i="4"/>
  <c r="F968" i="4"/>
  <c r="D968" i="4"/>
  <c r="E968" i="4" s="1"/>
  <c r="C968" i="4"/>
  <c r="G967" i="4"/>
  <c r="F967" i="4"/>
  <c r="E967" i="4"/>
  <c r="D967" i="4"/>
  <c r="C967" i="4"/>
  <c r="G966" i="4"/>
  <c r="F966" i="4"/>
  <c r="D966" i="4"/>
  <c r="E966" i="4" s="1"/>
  <c r="C966" i="4"/>
  <c r="G965" i="4"/>
  <c r="F965" i="4"/>
  <c r="D965" i="4"/>
  <c r="E965" i="4" s="1"/>
  <c r="C965" i="4"/>
  <c r="G964" i="4"/>
  <c r="F964" i="4"/>
  <c r="E964" i="4"/>
  <c r="D964" i="4"/>
  <c r="C964" i="4"/>
  <c r="G963" i="4"/>
  <c r="F963" i="4"/>
  <c r="E963" i="4"/>
  <c r="D963" i="4"/>
  <c r="C963" i="4"/>
  <c r="G962" i="4"/>
  <c r="F962" i="4"/>
  <c r="D962" i="4"/>
  <c r="E962" i="4" s="1"/>
  <c r="C962" i="4"/>
  <c r="G961" i="4"/>
  <c r="F961" i="4"/>
  <c r="E961" i="4"/>
  <c r="D961" i="4"/>
  <c r="C961" i="4"/>
  <c r="G960" i="4"/>
  <c r="F960" i="4"/>
  <c r="D960" i="4"/>
  <c r="E960" i="4" s="1"/>
  <c r="C960" i="4"/>
  <c r="G959" i="4"/>
  <c r="F959" i="4"/>
  <c r="E959" i="4"/>
  <c r="D959" i="4"/>
  <c r="C959" i="4"/>
  <c r="G958" i="4"/>
  <c r="F958" i="4"/>
  <c r="D958" i="4"/>
  <c r="E958" i="4" s="1"/>
  <c r="C958" i="4"/>
  <c r="G957" i="4"/>
  <c r="F957" i="4"/>
  <c r="E957" i="4"/>
  <c r="D957" i="4"/>
  <c r="C957" i="4"/>
  <c r="G956" i="4"/>
  <c r="F956" i="4"/>
  <c r="D956" i="4"/>
  <c r="E956" i="4" s="1"/>
  <c r="C956" i="4"/>
  <c r="G955" i="4"/>
  <c r="F955" i="4"/>
  <c r="E955" i="4"/>
  <c r="D955" i="4"/>
  <c r="C955" i="4"/>
  <c r="G954" i="4"/>
  <c r="F954" i="4"/>
  <c r="D954" i="4"/>
  <c r="E954" i="4" s="1"/>
  <c r="C954" i="4"/>
  <c r="G953" i="4"/>
  <c r="F953" i="4"/>
  <c r="E953" i="4"/>
  <c r="D953" i="4"/>
  <c r="C953" i="4"/>
  <c r="G952" i="4"/>
  <c r="F952" i="4"/>
  <c r="D952" i="4"/>
  <c r="E952" i="4" s="1"/>
  <c r="C952" i="4"/>
  <c r="G951" i="4"/>
  <c r="F951" i="4"/>
  <c r="E951" i="4"/>
  <c r="D951" i="4"/>
  <c r="C951" i="4"/>
  <c r="G950" i="4"/>
  <c r="F950" i="4"/>
  <c r="D950" i="4"/>
  <c r="E950" i="4" s="1"/>
  <c r="C950" i="4"/>
  <c r="G949" i="4"/>
  <c r="F949" i="4"/>
  <c r="D949" i="4"/>
  <c r="E949" i="4" s="1"/>
  <c r="C949" i="4"/>
  <c r="G948" i="4"/>
  <c r="F948" i="4"/>
  <c r="E948" i="4"/>
  <c r="D948" i="4"/>
  <c r="C948" i="4"/>
  <c r="G947" i="4"/>
  <c r="F947" i="4"/>
  <c r="E947" i="4"/>
  <c r="D947" i="4"/>
  <c r="C947" i="4"/>
  <c r="G946" i="4"/>
  <c r="F946" i="4"/>
  <c r="D946" i="4"/>
  <c r="E946" i="4" s="1"/>
  <c r="C946" i="4"/>
  <c r="G945" i="4"/>
  <c r="F945" i="4"/>
  <c r="E945" i="4"/>
  <c r="D945" i="4"/>
  <c r="C945" i="4"/>
  <c r="G944" i="4"/>
  <c r="F944" i="4"/>
  <c r="D944" i="4"/>
  <c r="E944" i="4" s="1"/>
  <c r="C944" i="4"/>
  <c r="G943" i="4"/>
  <c r="F943" i="4"/>
  <c r="E943" i="4"/>
  <c r="D943" i="4"/>
  <c r="C943" i="4"/>
  <c r="G942" i="4"/>
  <c r="F942" i="4"/>
  <c r="D942" i="4"/>
  <c r="E942" i="4" s="1"/>
  <c r="C942" i="4"/>
  <c r="G941" i="4"/>
  <c r="F941" i="4"/>
  <c r="E941" i="4"/>
  <c r="D941" i="4"/>
  <c r="C941" i="4"/>
  <c r="G940" i="4"/>
  <c r="F940" i="4"/>
  <c r="D940" i="4"/>
  <c r="E940" i="4" s="1"/>
  <c r="C940" i="4"/>
  <c r="G939" i="4"/>
  <c r="F939" i="4"/>
  <c r="E939" i="4"/>
  <c r="D939" i="4"/>
  <c r="C939" i="4"/>
  <c r="G938" i="4"/>
  <c r="F938" i="4"/>
  <c r="D938" i="4"/>
  <c r="E938" i="4" s="1"/>
  <c r="C938" i="4"/>
  <c r="G937" i="4"/>
  <c r="F937" i="4"/>
  <c r="E937" i="4"/>
  <c r="D937" i="4"/>
  <c r="C937" i="4"/>
  <c r="G936" i="4"/>
  <c r="F936" i="4"/>
  <c r="D936" i="4"/>
  <c r="E936" i="4" s="1"/>
  <c r="C936" i="4"/>
  <c r="G935" i="4"/>
  <c r="F935" i="4"/>
  <c r="E935" i="4"/>
  <c r="D935" i="4"/>
  <c r="C935" i="4"/>
  <c r="G934" i="4"/>
  <c r="F934" i="4"/>
  <c r="D934" i="4"/>
  <c r="E934" i="4" s="1"/>
  <c r="C934" i="4"/>
  <c r="G933" i="4"/>
  <c r="F933" i="4"/>
  <c r="D933" i="4"/>
  <c r="E933" i="4" s="1"/>
  <c r="C933" i="4"/>
  <c r="G932" i="4"/>
  <c r="F932" i="4"/>
  <c r="E932" i="4"/>
  <c r="D932" i="4"/>
  <c r="C932" i="4"/>
  <c r="G931" i="4"/>
  <c r="F931" i="4"/>
  <c r="E931" i="4"/>
  <c r="D931" i="4"/>
  <c r="C931" i="4"/>
  <c r="G930" i="4"/>
  <c r="F930" i="4"/>
  <c r="D930" i="4"/>
  <c r="E930" i="4" s="1"/>
  <c r="C930" i="4"/>
  <c r="G929" i="4"/>
  <c r="F929" i="4"/>
  <c r="E929" i="4"/>
  <c r="D929" i="4"/>
  <c r="C929" i="4"/>
  <c r="G928" i="4"/>
  <c r="F928" i="4"/>
  <c r="D928" i="4"/>
  <c r="E928" i="4" s="1"/>
  <c r="C928" i="4"/>
  <c r="G927" i="4"/>
  <c r="F927" i="4"/>
  <c r="E927" i="4"/>
  <c r="D927" i="4"/>
  <c r="C927" i="4"/>
  <c r="G926" i="4"/>
  <c r="F926" i="4"/>
  <c r="D926" i="4"/>
  <c r="E926" i="4" s="1"/>
  <c r="C926" i="4"/>
  <c r="G925" i="4"/>
  <c r="F925" i="4"/>
  <c r="E925" i="4"/>
  <c r="D925" i="4"/>
  <c r="C925" i="4"/>
  <c r="G924" i="4"/>
  <c r="F924" i="4"/>
  <c r="D924" i="4"/>
  <c r="E924" i="4" s="1"/>
  <c r="C924" i="4"/>
  <c r="G923" i="4"/>
  <c r="F923" i="4"/>
  <c r="E923" i="4"/>
  <c r="D923" i="4"/>
  <c r="C923" i="4"/>
  <c r="G922" i="4"/>
  <c r="F922" i="4"/>
  <c r="D922" i="4"/>
  <c r="E922" i="4" s="1"/>
  <c r="C922" i="4"/>
  <c r="G921" i="4"/>
  <c r="F921" i="4"/>
  <c r="E921" i="4"/>
  <c r="D921" i="4"/>
  <c r="C921" i="4"/>
  <c r="G920" i="4"/>
  <c r="F920" i="4"/>
  <c r="D920" i="4"/>
  <c r="E920" i="4" s="1"/>
  <c r="C920" i="4"/>
  <c r="G919" i="4"/>
  <c r="F919" i="4"/>
  <c r="E919" i="4"/>
  <c r="D919" i="4"/>
  <c r="C919" i="4"/>
  <c r="G918" i="4"/>
  <c r="F918" i="4"/>
  <c r="D918" i="4"/>
  <c r="E918" i="4" s="1"/>
  <c r="C918" i="4"/>
  <c r="G917" i="4"/>
  <c r="F917" i="4"/>
  <c r="D917" i="4"/>
  <c r="E917" i="4" s="1"/>
  <c r="C917" i="4"/>
  <c r="G916" i="4"/>
  <c r="F916" i="4"/>
  <c r="E916" i="4"/>
  <c r="D916" i="4"/>
  <c r="C916" i="4"/>
  <c r="G915" i="4"/>
  <c r="F915" i="4"/>
  <c r="E915" i="4"/>
  <c r="D915" i="4"/>
  <c r="C915" i="4"/>
  <c r="G914" i="4"/>
  <c r="F914" i="4"/>
  <c r="D914" i="4"/>
  <c r="E914" i="4" s="1"/>
  <c r="C914" i="4"/>
  <c r="G913" i="4"/>
  <c r="F913" i="4"/>
  <c r="E913" i="4"/>
  <c r="D913" i="4"/>
  <c r="C913" i="4"/>
  <c r="G912" i="4"/>
  <c r="F912" i="4"/>
  <c r="D912" i="4"/>
  <c r="E912" i="4" s="1"/>
  <c r="C912" i="4"/>
  <c r="G911" i="4"/>
  <c r="F911" i="4"/>
  <c r="E911" i="4"/>
  <c r="D911" i="4"/>
  <c r="C911" i="4"/>
  <c r="G910" i="4"/>
  <c r="F910" i="4"/>
  <c r="D910" i="4"/>
  <c r="E910" i="4" s="1"/>
  <c r="C910" i="4"/>
  <c r="G909" i="4"/>
  <c r="F909" i="4"/>
  <c r="E909" i="4"/>
  <c r="D909" i="4"/>
  <c r="C909" i="4"/>
  <c r="G908" i="4"/>
  <c r="F908" i="4"/>
  <c r="D908" i="4"/>
  <c r="E908" i="4" s="1"/>
  <c r="C908" i="4"/>
  <c r="G907" i="4"/>
  <c r="F907" i="4"/>
  <c r="E907" i="4"/>
  <c r="D907" i="4"/>
  <c r="C907" i="4"/>
  <c r="G906" i="4"/>
  <c r="F906" i="4"/>
  <c r="D906" i="4"/>
  <c r="E906" i="4" s="1"/>
  <c r="C906" i="4"/>
  <c r="G905" i="4"/>
  <c r="F905" i="4"/>
  <c r="E905" i="4"/>
  <c r="D905" i="4"/>
  <c r="C905" i="4"/>
  <c r="G904" i="4"/>
  <c r="F904" i="4"/>
  <c r="D904" i="4"/>
  <c r="E904" i="4" s="1"/>
  <c r="C904" i="4"/>
  <c r="G903" i="4"/>
  <c r="F903" i="4"/>
  <c r="E903" i="4"/>
  <c r="D903" i="4"/>
  <c r="C903" i="4"/>
  <c r="G902" i="4"/>
  <c r="F902" i="4"/>
  <c r="D902" i="4"/>
  <c r="E902" i="4" s="1"/>
  <c r="C902" i="4"/>
  <c r="G901" i="4"/>
  <c r="F901" i="4"/>
  <c r="D901" i="4"/>
  <c r="E901" i="4" s="1"/>
  <c r="C901" i="4"/>
  <c r="G900" i="4"/>
  <c r="F900" i="4"/>
  <c r="E900" i="4"/>
  <c r="D900" i="4"/>
  <c r="C900" i="4"/>
  <c r="G899" i="4"/>
  <c r="F899" i="4"/>
  <c r="E899" i="4"/>
  <c r="D899" i="4"/>
  <c r="C899" i="4"/>
  <c r="G898" i="4"/>
  <c r="F898" i="4"/>
  <c r="D898" i="4"/>
  <c r="E898" i="4" s="1"/>
  <c r="C898" i="4"/>
  <c r="G897" i="4"/>
  <c r="F897" i="4"/>
  <c r="E897" i="4"/>
  <c r="D897" i="4"/>
  <c r="C897" i="4"/>
  <c r="G896" i="4"/>
  <c r="F896" i="4"/>
  <c r="D896" i="4"/>
  <c r="E896" i="4" s="1"/>
  <c r="C896" i="4"/>
  <c r="G895" i="4"/>
  <c r="F895" i="4"/>
  <c r="E895" i="4"/>
  <c r="D895" i="4"/>
  <c r="C895" i="4"/>
  <c r="G894" i="4"/>
  <c r="F894" i="4"/>
  <c r="D894" i="4"/>
  <c r="E894" i="4" s="1"/>
  <c r="C894" i="4"/>
  <c r="G893" i="4"/>
  <c r="F893" i="4"/>
  <c r="E893" i="4"/>
  <c r="D893" i="4"/>
  <c r="C893" i="4"/>
  <c r="G892" i="4"/>
  <c r="F892" i="4"/>
  <c r="D892" i="4"/>
  <c r="E892" i="4" s="1"/>
  <c r="C892" i="4"/>
  <c r="G891" i="4"/>
  <c r="F891" i="4"/>
  <c r="E891" i="4"/>
  <c r="D891" i="4"/>
  <c r="C891" i="4"/>
  <c r="G890" i="4"/>
  <c r="F890" i="4"/>
  <c r="D890" i="4"/>
  <c r="E890" i="4" s="1"/>
  <c r="C890" i="4"/>
  <c r="G889" i="4"/>
  <c r="F889" i="4"/>
  <c r="E889" i="4"/>
  <c r="D889" i="4"/>
  <c r="C889" i="4"/>
  <c r="G888" i="4"/>
  <c r="F888" i="4"/>
  <c r="D888" i="4"/>
  <c r="E888" i="4" s="1"/>
  <c r="C888" i="4"/>
  <c r="G887" i="4"/>
  <c r="F887" i="4"/>
  <c r="E887" i="4"/>
  <c r="D887" i="4"/>
  <c r="C887" i="4"/>
  <c r="G886" i="4"/>
  <c r="F886" i="4"/>
  <c r="D886" i="4"/>
  <c r="E886" i="4" s="1"/>
  <c r="C886" i="4"/>
  <c r="G885" i="4"/>
  <c r="F885" i="4"/>
  <c r="D885" i="4"/>
  <c r="E885" i="4" s="1"/>
  <c r="C885" i="4"/>
  <c r="G884" i="4"/>
  <c r="F884" i="4"/>
  <c r="E884" i="4"/>
  <c r="D884" i="4"/>
  <c r="C884" i="4"/>
  <c r="G883" i="4"/>
  <c r="F883" i="4"/>
  <c r="E883" i="4"/>
  <c r="D883" i="4"/>
  <c r="C883" i="4"/>
  <c r="G882" i="4"/>
  <c r="F882" i="4"/>
  <c r="D882" i="4"/>
  <c r="E882" i="4" s="1"/>
  <c r="C882" i="4"/>
  <c r="G881" i="4"/>
  <c r="F881" i="4"/>
  <c r="E881" i="4"/>
  <c r="D881" i="4"/>
  <c r="C881" i="4"/>
  <c r="G880" i="4"/>
  <c r="F880" i="4"/>
  <c r="D880" i="4"/>
  <c r="E880" i="4" s="1"/>
  <c r="C880" i="4"/>
  <c r="G879" i="4"/>
  <c r="F879" i="4"/>
  <c r="E879" i="4"/>
  <c r="D879" i="4"/>
  <c r="C879" i="4"/>
  <c r="G878" i="4"/>
  <c r="F878" i="4"/>
  <c r="D878" i="4"/>
  <c r="E878" i="4" s="1"/>
  <c r="C878" i="4"/>
  <c r="G877" i="4"/>
  <c r="F877" i="4"/>
  <c r="E877" i="4"/>
  <c r="D877" i="4"/>
  <c r="C877" i="4"/>
  <c r="G876" i="4"/>
  <c r="F876" i="4"/>
  <c r="D876" i="4"/>
  <c r="E876" i="4" s="1"/>
  <c r="C876" i="4"/>
  <c r="G875" i="4"/>
  <c r="F875" i="4"/>
  <c r="E875" i="4"/>
  <c r="D875" i="4"/>
  <c r="C875" i="4"/>
  <c r="G874" i="4"/>
  <c r="F874" i="4"/>
  <c r="D874" i="4"/>
  <c r="E874" i="4" s="1"/>
  <c r="C874" i="4"/>
  <c r="G873" i="4"/>
  <c r="F873" i="4"/>
  <c r="E873" i="4"/>
  <c r="D873" i="4"/>
  <c r="C873" i="4"/>
  <c r="G872" i="4"/>
  <c r="F872" i="4"/>
  <c r="D872" i="4"/>
  <c r="E872" i="4" s="1"/>
  <c r="C872" i="4"/>
  <c r="G871" i="4"/>
  <c r="F871" i="4"/>
  <c r="E871" i="4"/>
  <c r="D871" i="4"/>
  <c r="C871" i="4"/>
  <c r="G870" i="4"/>
  <c r="F870" i="4"/>
  <c r="D870" i="4"/>
  <c r="E870" i="4" s="1"/>
  <c r="C870" i="4"/>
  <c r="G869" i="4"/>
  <c r="F869" i="4"/>
  <c r="D869" i="4"/>
  <c r="E869" i="4" s="1"/>
  <c r="C869" i="4"/>
  <c r="G868" i="4"/>
  <c r="F868" i="4"/>
  <c r="E868" i="4"/>
  <c r="D868" i="4"/>
  <c r="C868" i="4"/>
  <c r="G867" i="4"/>
  <c r="F867" i="4"/>
  <c r="E867" i="4"/>
  <c r="D867" i="4"/>
  <c r="C867" i="4"/>
  <c r="G866" i="4"/>
  <c r="F866" i="4"/>
  <c r="D866" i="4"/>
  <c r="E866" i="4" s="1"/>
  <c r="C866" i="4"/>
  <c r="G865" i="4"/>
  <c r="F865" i="4"/>
  <c r="E865" i="4"/>
  <c r="D865" i="4"/>
  <c r="C865" i="4"/>
  <c r="G864" i="4"/>
  <c r="F864" i="4"/>
  <c r="D864" i="4"/>
  <c r="E864" i="4" s="1"/>
  <c r="C864" i="4"/>
  <c r="G863" i="4"/>
  <c r="F863" i="4"/>
  <c r="E863" i="4"/>
  <c r="D863" i="4"/>
  <c r="C863" i="4"/>
  <c r="G862" i="4"/>
  <c r="F862" i="4"/>
  <c r="D862" i="4"/>
  <c r="E862" i="4" s="1"/>
  <c r="C862" i="4"/>
  <c r="G861" i="4"/>
  <c r="F861" i="4"/>
  <c r="E861" i="4"/>
  <c r="D861" i="4"/>
  <c r="C861" i="4"/>
  <c r="G860" i="4"/>
  <c r="F860" i="4"/>
  <c r="D860" i="4"/>
  <c r="E860" i="4" s="1"/>
  <c r="C860" i="4"/>
  <c r="G859" i="4"/>
  <c r="F859" i="4"/>
  <c r="E859" i="4"/>
  <c r="D859" i="4"/>
  <c r="C859" i="4"/>
  <c r="G858" i="4"/>
  <c r="F858" i="4"/>
  <c r="D858" i="4"/>
  <c r="E858" i="4" s="1"/>
  <c r="C858" i="4"/>
  <c r="G857" i="4"/>
  <c r="F857" i="4"/>
  <c r="E857" i="4"/>
  <c r="D857" i="4"/>
  <c r="C857" i="4"/>
  <c r="G856" i="4"/>
  <c r="F856" i="4"/>
  <c r="D856" i="4"/>
  <c r="E856" i="4" s="1"/>
  <c r="C856" i="4"/>
  <c r="G855" i="4"/>
  <c r="F855" i="4"/>
  <c r="E855" i="4"/>
  <c r="D855" i="4"/>
  <c r="C855" i="4"/>
  <c r="G854" i="4"/>
  <c r="F854" i="4"/>
  <c r="D854" i="4"/>
  <c r="E854" i="4" s="1"/>
  <c r="C854" i="4"/>
  <c r="G853" i="4"/>
  <c r="F853" i="4"/>
  <c r="D853" i="4"/>
  <c r="E853" i="4" s="1"/>
  <c r="C853" i="4"/>
  <c r="G852" i="4"/>
  <c r="F852" i="4"/>
  <c r="E852" i="4"/>
  <c r="D852" i="4"/>
  <c r="C852" i="4"/>
  <c r="G851" i="4"/>
  <c r="F851" i="4"/>
  <c r="E851" i="4"/>
  <c r="D851" i="4"/>
  <c r="C851" i="4"/>
  <c r="G850" i="4"/>
  <c r="F850" i="4"/>
  <c r="D850" i="4"/>
  <c r="E850" i="4" s="1"/>
  <c r="C850" i="4"/>
  <c r="G849" i="4"/>
  <c r="F849" i="4"/>
  <c r="E849" i="4"/>
  <c r="D849" i="4"/>
  <c r="C849" i="4"/>
  <c r="G848" i="4"/>
  <c r="F848" i="4"/>
  <c r="D848" i="4"/>
  <c r="E848" i="4" s="1"/>
  <c r="C848" i="4"/>
  <c r="G847" i="4"/>
  <c r="F847" i="4"/>
  <c r="E847" i="4"/>
  <c r="D847" i="4"/>
  <c r="C847" i="4"/>
  <c r="G846" i="4"/>
  <c r="F846" i="4"/>
  <c r="D846" i="4"/>
  <c r="E846" i="4" s="1"/>
  <c r="C846" i="4"/>
  <c r="G845" i="4"/>
  <c r="F845" i="4"/>
  <c r="E845" i="4"/>
  <c r="D845" i="4"/>
  <c r="C845" i="4"/>
  <c r="G844" i="4"/>
  <c r="F844" i="4"/>
  <c r="D844" i="4"/>
  <c r="E844" i="4" s="1"/>
  <c r="C844" i="4"/>
  <c r="G843" i="4"/>
  <c r="F843" i="4"/>
  <c r="E843" i="4"/>
  <c r="D843" i="4"/>
  <c r="C843" i="4"/>
  <c r="G842" i="4"/>
  <c r="F842" i="4"/>
  <c r="D842" i="4"/>
  <c r="E842" i="4" s="1"/>
  <c r="C842" i="4"/>
  <c r="G841" i="4"/>
  <c r="F841" i="4"/>
  <c r="E841" i="4"/>
  <c r="D841" i="4"/>
  <c r="C841" i="4"/>
  <c r="G840" i="4"/>
  <c r="F840" i="4"/>
  <c r="D840" i="4"/>
  <c r="E840" i="4" s="1"/>
  <c r="C840" i="4"/>
  <c r="G839" i="4"/>
  <c r="F839" i="4"/>
  <c r="E839" i="4"/>
  <c r="D839" i="4"/>
  <c r="C839" i="4"/>
  <c r="G838" i="4"/>
  <c r="F838" i="4"/>
  <c r="D838" i="4"/>
  <c r="E838" i="4" s="1"/>
  <c r="C838" i="4"/>
  <c r="G837" i="4"/>
  <c r="F837" i="4"/>
  <c r="D837" i="4"/>
  <c r="E837" i="4" s="1"/>
  <c r="C837" i="4"/>
  <c r="G836" i="4"/>
  <c r="F836" i="4"/>
  <c r="E836" i="4"/>
  <c r="D836" i="4"/>
  <c r="C836" i="4"/>
  <c r="G835" i="4"/>
  <c r="F835" i="4"/>
  <c r="E835" i="4"/>
  <c r="D835" i="4"/>
  <c r="C835" i="4"/>
  <c r="G834" i="4"/>
  <c r="F834" i="4"/>
  <c r="D834" i="4"/>
  <c r="E834" i="4" s="1"/>
  <c r="C834" i="4"/>
  <c r="G833" i="4"/>
  <c r="F833" i="4"/>
  <c r="E833" i="4"/>
  <c r="D833" i="4"/>
  <c r="C833" i="4"/>
  <c r="G832" i="4"/>
  <c r="F832" i="4"/>
  <c r="D832" i="4"/>
  <c r="E832" i="4" s="1"/>
  <c r="C832" i="4"/>
  <c r="G831" i="4"/>
  <c r="F831" i="4"/>
  <c r="E831" i="4"/>
  <c r="D831" i="4"/>
  <c r="C831" i="4"/>
  <c r="G830" i="4"/>
  <c r="F830" i="4"/>
  <c r="D830" i="4"/>
  <c r="E830" i="4" s="1"/>
  <c r="C830" i="4"/>
  <c r="G829" i="4"/>
  <c r="F829" i="4"/>
  <c r="E829" i="4"/>
  <c r="D829" i="4"/>
  <c r="C829" i="4"/>
  <c r="G828" i="4"/>
  <c r="F828" i="4"/>
  <c r="D828" i="4"/>
  <c r="E828" i="4" s="1"/>
  <c r="C828" i="4"/>
  <c r="G827" i="4"/>
  <c r="F827" i="4"/>
  <c r="E827" i="4"/>
  <c r="D827" i="4"/>
  <c r="C827" i="4"/>
  <c r="G826" i="4"/>
  <c r="F826" i="4"/>
  <c r="D826" i="4"/>
  <c r="E826" i="4" s="1"/>
  <c r="C826" i="4"/>
  <c r="G825" i="4"/>
  <c r="F825" i="4"/>
  <c r="E825" i="4"/>
  <c r="D825" i="4"/>
  <c r="C825" i="4"/>
  <c r="G824" i="4"/>
  <c r="F824" i="4"/>
  <c r="D824" i="4"/>
  <c r="E824" i="4" s="1"/>
  <c r="C824" i="4"/>
  <c r="G823" i="4"/>
  <c r="F823" i="4"/>
  <c r="E823" i="4"/>
  <c r="D823" i="4"/>
  <c r="C823" i="4"/>
  <c r="G822" i="4"/>
  <c r="F822" i="4"/>
  <c r="D822" i="4"/>
  <c r="E822" i="4" s="1"/>
  <c r="C822" i="4"/>
  <c r="G821" i="4"/>
  <c r="F821" i="4"/>
  <c r="D821" i="4"/>
  <c r="E821" i="4" s="1"/>
  <c r="C821" i="4"/>
  <c r="G820" i="4"/>
  <c r="F820" i="4"/>
  <c r="E820" i="4"/>
  <c r="D820" i="4"/>
  <c r="C820" i="4"/>
  <c r="G819" i="4"/>
  <c r="F819" i="4"/>
  <c r="E819" i="4"/>
  <c r="D819" i="4"/>
  <c r="C819" i="4"/>
  <c r="G818" i="4"/>
  <c r="F818" i="4"/>
  <c r="D818" i="4"/>
  <c r="E818" i="4" s="1"/>
  <c r="C818" i="4"/>
  <c r="G817" i="4"/>
  <c r="F817" i="4"/>
  <c r="E817" i="4"/>
  <c r="D817" i="4"/>
  <c r="C817" i="4"/>
  <c r="G816" i="4"/>
  <c r="F816" i="4"/>
  <c r="D816" i="4"/>
  <c r="E816" i="4" s="1"/>
  <c r="C816" i="4"/>
  <c r="G815" i="4"/>
  <c r="F815" i="4"/>
  <c r="E815" i="4"/>
  <c r="D815" i="4"/>
  <c r="C815" i="4"/>
  <c r="G814" i="4"/>
  <c r="F814" i="4"/>
  <c r="D814" i="4"/>
  <c r="E814" i="4" s="1"/>
  <c r="C814" i="4"/>
  <c r="G813" i="4"/>
  <c r="F813" i="4"/>
  <c r="E813" i="4"/>
  <c r="D813" i="4"/>
  <c r="C813" i="4"/>
  <c r="G812" i="4"/>
  <c r="F812" i="4"/>
  <c r="D812" i="4"/>
  <c r="E812" i="4" s="1"/>
  <c r="C812" i="4"/>
  <c r="G811" i="4"/>
  <c r="F811" i="4"/>
  <c r="E811" i="4"/>
  <c r="D811" i="4"/>
  <c r="C811" i="4"/>
  <c r="G810" i="4"/>
  <c r="F810" i="4"/>
  <c r="D810" i="4"/>
  <c r="E810" i="4" s="1"/>
  <c r="C810" i="4"/>
  <c r="G809" i="4"/>
  <c r="F809" i="4"/>
  <c r="E809" i="4"/>
  <c r="D809" i="4"/>
  <c r="C809" i="4"/>
  <c r="G808" i="4"/>
  <c r="F808" i="4"/>
  <c r="D808" i="4"/>
  <c r="E808" i="4" s="1"/>
  <c r="C808" i="4"/>
  <c r="G807" i="4"/>
  <c r="F807" i="4"/>
  <c r="E807" i="4"/>
  <c r="D807" i="4"/>
  <c r="C807" i="4"/>
  <c r="G806" i="4"/>
  <c r="F806" i="4"/>
  <c r="D806" i="4"/>
  <c r="E806" i="4" s="1"/>
  <c r="C806" i="4"/>
  <c r="G805" i="4"/>
  <c r="F805" i="4"/>
  <c r="D805" i="4"/>
  <c r="E805" i="4" s="1"/>
  <c r="C805" i="4"/>
  <c r="G804" i="4"/>
  <c r="F804" i="4"/>
  <c r="E804" i="4"/>
  <c r="D804" i="4"/>
  <c r="C804" i="4"/>
  <c r="G803" i="4"/>
  <c r="F803" i="4"/>
  <c r="E803" i="4"/>
  <c r="D803" i="4"/>
  <c r="C803" i="4"/>
  <c r="G802" i="4"/>
  <c r="F802" i="4"/>
  <c r="D802" i="4"/>
  <c r="E802" i="4" s="1"/>
  <c r="C802" i="4"/>
  <c r="G801" i="4"/>
  <c r="F801" i="4"/>
  <c r="E801" i="4"/>
  <c r="D801" i="4"/>
  <c r="C801" i="4"/>
  <c r="G800" i="4"/>
  <c r="F800" i="4"/>
  <c r="D800" i="4"/>
  <c r="E800" i="4" s="1"/>
  <c r="C800" i="4"/>
  <c r="G799" i="4"/>
  <c r="F799" i="4"/>
  <c r="E799" i="4"/>
  <c r="D799" i="4"/>
  <c r="C799" i="4"/>
  <c r="G798" i="4"/>
  <c r="F798" i="4"/>
  <c r="D798" i="4"/>
  <c r="E798" i="4" s="1"/>
  <c r="C798" i="4"/>
  <c r="G797" i="4"/>
  <c r="F797" i="4"/>
  <c r="E797" i="4"/>
  <c r="D797" i="4"/>
  <c r="C797" i="4"/>
  <c r="G796" i="4"/>
  <c r="F796" i="4"/>
  <c r="D796" i="4"/>
  <c r="E796" i="4" s="1"/>
  <c r="C796" i="4"/>
  <c r="G795" i="4"/>
  <c r="F795" i="4"/>
  <c r="E795" i="4"/>
  <c r="D795" i="4"/>
  <c r="C795" i="4"/>
  <c r="G794" i="4"/>
  <c r="F794" i="4"/>
  <c r="D794" i="4"/>
  <c r="E794" i="4" s="1"/>
  <c r="C794" i="4"/>
  <c r="G793" i="4"/>
  <c r="F793" i="4"/>
  <c r="E793" i="4"/>
  <c r="D793" i="4"/>
  <c r="C793" i="4"/>
  <c r="G792" i="4"/>
  <c r="F792" i="4"/>
  <c r="D792" i="4"/>
  <c r="E792" i="4" s="1"/>
  <c r="C792" i="4"/>
  <c r="G791" i="4"/>
  <c r="F791" i="4"/>
  <c r="E791" i="4"/>
  <c r="D791" i="4"/>
  <c r="C791" i="4"/>
  <c r="G790" i="4"/>
  <c r="F790" i="4"/>
  <c r="D790" i="4"/>
  <c r="E790" i="4" s="1"/>
  <c r="C790" i="4"/>
  <c r="G789" i="4"/>
  <c r="F789" i="4"/>
  <c r="D789" i="4"/>
  <c r="E789" i="4" s="1"/>
  <c r="C789" i="4"/>
  <c r="G788" i="4"/>
  <c r="F788" i="4"/>
  <c r="E788" i="4"/>
  <c r="D788" i="4"/>
  <c r="C788" i="4"/>
  <c r="G787" i="4"/>
  <c r="F787" i="4"/>
  <c r="E787" i="4"/>
  <c r="D787" i="4"/>
  <c r="C787" i="4"/>
  <c r="G786" i="4"/>
  <c r="F786" i="4"/>
  <c r="D786" i="4"/>
  <c r="E786" i="4" s="1"/>
  <c r="C786" i="4"/>
  <c r="G785" i="4"/>
  <c r="F785" i="4"/>
  <c r="E785" i="4"/>
  <c r="D785" i="4"/>
  <c r="C785" i="4"/>
  <c r="G784" i="4"/>
  <c r="F784" i="4"/>
  <c r="D784" i="4"/>
  <c r="E784" i="4" s="1"/>
  <c r="C784" i="4"/>
  <c r="G783" i="4"/>
  <c r="F783" i="4"/>
  <c r="E783" i="4"/>
  <c r="D783" i="4"/>
  <c r="C783" i="4"/>
  <c r="G782" i="4"/>
  <c r="F782" i="4"/>
  <c r="D782" i="4"/>
  <c r="E782" i="4" s="1"/>
  <c r="C782" i="4"/>
  <c r="G781" i="4"/>
  <c r="F781" i="4"/>
  <c r="E781" i="4"/>
  <c r="D781" i="4"/>
  <c r="C781" i="4"/>
  <c r="G780" i="4"/>
  <c r="F780" i="4"/>
  <c r="D780" i="4"/>
  <c r="E780" i="4" s="1"/>
  <c r="C780" i="4"/>
  <c r="G779" i="4"/>
  <c r="F779" i="4"/>
  <c r="E779" i="4"/>
  <c r="D779" i="4"/>
  <c r="C779" i="4"/>
  <c r="G778" i="4"/>
  <c r="F778" i="4"/>
  <c r="D778" i="4"/>
  <c r="E778" i="4" s="1"/>
  <c r="C778" i="4"/>
  <c r="G777" i="4"/>
  <c r="F777" i="4"/>
  <c r="E777" i="4"/>
  <c r="D777" i="4"/>
  <c r="C777" i="4"/>
  <c r="G776" i="4"/>
  <c r="F776" i="4"/>
  <c r="D776" i="4"/>
  <c r="E776" i="4" s="1"/>
  <c r="C776" i="4"/>
  <c r="G775" i="4"/>
  <c r="F775" i="4"/>
  <c r="E775" i="4"/>
  <c r="D775" i="4"/>
  <c r="C775" i="4"/>
  <c r="G774" i="4"/>
  <c r="F774" i="4"/>
  <c r="D774" i="4"/>
  <c r="E774" i="4" s="1"/>
  <c r="C774" i="4"/>
  <c r="G773" i="4"/>
  <c r="F773" i="4"/>
  <c r="D773" i="4"/>
  <c r="E773" i="4" s="1"/>
  <c r="C773" i="4"/>
  <c r="G772" i="4"/>
  <c r="F772" i="4"/>
  <c r="E772" i="4"/>
  <c r="D772" i="4"/>
  <c r="C772" i="4"/>
  <c r="G771" i="4"/>
  <c r="F771" i="4"/>
  <c r="E771" i="4"/>
  <c r="D771" i="4"/>
  <c r="C771" i="4"/>
  <c r="G770" i="4"/>
  <c r="F770" i="4"/>
  <c r="D770" i="4"/>
  <c r="E770" i="4" s="1"/>
  <c r="C770" i="4"/>
  <c r="G769" i="4"/>
  <c r="F769" i="4"/>
  <c r="E769" i="4"/>
  <c r="D769" i="4"/>
  <c r="C769" i="4"/>
  <c r="G768" i="4"/>
  <c r="F768" i="4"/>
  <c r="D768" i="4"/>
  <c r="E768" i="4" s="1"/>
  <c r="C768" i="4"/>
  <c r="G767" i="4"/>
  <c r="F767" i="4"/>
  <c r="E767" i="4"/>
  <c r="D767" i="4"/>
  <c r="C767" i="4"/>
  <c r="G766" i="4"/>
  <c r="F766" i="4"/>
  <c r="D766" i="4"/>
  <c r="E766" i="4" s="1"/>
  <c r="C766" i="4"/>
  <c r="G765" i="4"/>
  <c r="F765" i="4"/>
  <c r="E765" i="4"/>
  <c r="D765" i="4"/>
  <c r="C765" i="4"/>
  <c r="G764" i="4"/>
  <c r="F764" i="4"/>
  <c r="D764" i="4"/>
  <c r="E764" i="4" s="1"/>
  <c r="C764" i="4"/>
  <c r="G763" i="4"/>
  <c r="F763" i="4"/>
  <c r="E763" i="4"/>
  <c r="D763" i="4"/>
  <c r="C763" i="4"/>
  <c r="G762" i="4"/>
  <c r="F762" i="4"/>
  <c r="D762" i="4"/>
  <c r="E762" i="4" s="1"/>
  <c r="C762" i="4"/>
  <c r="G761" i="4"/>
  <c r="F761" i="4"/>
  <c r="E761" i="4"/>
  <c r="D761" i="4"/>
  <c r="C761" i="4"/>
  <c r="G760" i="4"/>
  <c r="F760" i="4"/>
  <c r="D760" i="4"/>
  <c r="E760" i="4" s="1"/>
  <c r="C760" i="4"/>
  <c r="G759" i="4"/>
  <c r="F759" i="4"/>
  <c r="E759" i="4"/>
  <c r="D759" i="4"/>
  <c r="C759" i="4"/>
  <c r="G758" i="4"/>
  <c r="F758" i="4"/>
  <c r="D758" i="4"/>
  <c r="E758" i="4" s="1"/>
  <c r="C758" i="4"/>
  <c r="G757" i="4"/>
  <c r="F757" i="4"/>
  <c r="D757" i="4"/>
  <c r="E757" i="4" s="1"/>
  <c r="C757" i="4"/>
  <c r="G756" i="4"/>
  <c r="F756" i="4"/>
  <c r="E756" i="4"/>
  <c r="D756" i="4"/>
  <c r="C756" i="4"/>
  <c r="G755" i="4"/>
  <c r="F755" i="4"/>
  <c r="E755" i="4"/>
  <c r="D755" i="4"/>
  <c r="C755" i="4"/>
  <c r="G754" i="4"/>
  <c r="F754" i="4"/>
  <c r="D754" i="4"/>
  <c r="E754" i="4" s="1"/>
  <c r="C754" i="4"/>
  <c r="G753" i="4"/>
  <c r="F753" i="4"/>
  <c r="E753" i="4"/>
  <c r="D753" i="4"/>
  <c r="C753" i="4"/>
  <c r="G752" i="4"/>
  <c r="F752" i="4"/>
  <c r="D752" i="4"/>
  <c r="E752" i="4" s="1"/>
  <c r="C752" i="4"/>
  <c r="G751" i="4"/>
  <c r="F751" i="4"/>
  <c r="E751" i="4"/>
  <c r="D751" i="4"/>
  <c r="C751" i="4"/>
  <c r="G750" i="4"/>
  <c r="F750" i="4"/>
  <c r="D750" i="4"/>
  <c r="E750" i="4" s="1"/>
  <c r="C750" i="4"/>
  <c r="G749" i="4"/>
  <c r="F749" i="4"/>
  <c r="E749" i="4"/>
  <c r="D749" i="4"/>
  <c r="C749" i="4"/>
  <c r="G748" i="4"/>
  <c r="F748" i="4"/>
  <c r="D748" i="4"/>
  <c r="E748" i="4" s="1"/>
  <c r="C748" i="4"/>
  <c r="G747" i="4"/>
  <c r="F747" i="4"/>
  <c r="E747" i="4"/>
  <c r="D747" i="4"/>
  <c r="C747" i="4"/>
  <c r="G746" i="4"/>
  <c r="F746" i="4"/>
  <c r="D746" i="4"/>
  <c r="E746" i="4" s="1"/>
  <c r="C746" i="4"/>
  <c r="G745" i="4"/>
  <c r="F745" i="4"/>
  <c r="E745" i="4"/>
  <c r="D745" i="4"/>
  <c r="C745" i="4"/>
  <c r="G744" i="4"/>
  <c r="F744" i="4"/>
  <c r="D744" i="4"/>
  <c r="E744" i="4" s="1"/>
  <c r="C744" i="4"/>
  <c r="G743" i="4"/>
  <c r="F743" i="4"/>
  <c r="E743" i="4"/>
  <c r="D743" i="4"/>
  <c r="C743" i="4"/>
  <c r="G742" i="4"/>
  <c r="F742" i="4"/>
  <c r="D742" i="4"/>
  <c r="E742" i="4" s="1"/>
  <c r="C742" i="4"/>
  <c r="G741" i="4"/>
  <c r="F741" i="4"/>
  <c r="D741" i="4"/>
  <c r="E741" i="4" s="1"/>
  <c r="C741" i="4"/>
  <c r="G740" i="4"/>
  <c r="F740" i="4"/>
  <c r="E740" i="4"/>
  <c r="D740" i="4"/>
  <c r="C740" i="4"/>
  <c r="G739" i="4"/>
  <c r="F739" i="4"/>
  <c r="E739" i="4"/>
  <c r="D739" i="4"/>
  <c r="C739" i="4"/>
  <c r="G738" i="4"/>
  <c r="F738" i="4"/>
  <c r="D738" i="4"/>
  <c r="E738" i="4" s="1"/>
  <c r="C738" i="4"/>
  <c r="G737" i="4"/>
  <c r="F737" i="4"/>
  <c r="E737" i="4"/>
  <c r="D737" i="4"/>
  <c r="C737" i="4"/>
  <c r="G736" i="4"/>
  <c r="F736" i="4"/>
  <c r="D736" i="4"/>
  <c r="E736" i="4" s="1"/>
  <c r="C736" i="4"/>
  <c r="G735" i="4"/>
  <c r="F735" i="4"/>
  <c r="E735" i="4"/>
  <c r="D735" i="4"/>
  <c r="C735" i="4"/>
  <c r="G734" i="4"/>
  <c r="F734" i="4"/>
  <c r="D734" i="4"/>
  <c r="E734" i="4" s="1"/>
  <c r="C734" i="4"/>
  <c r="G733" i="4"/>
  <c r="F733" i="4"/>
  <c r="E733" i="4"/>
  <c r="D733" i="4"/>
  <c r="C733" i="4"/>
  <c r="G732" i="4"/>
  <c r="F732" i="4"/>
  <c r="D732" i="4"/>
  <c r="E732" i="4" s="1"/>
  <c r="C732" i="4"/>
  <c r="G731" i="4"/>
  <c r="F731" i="4"/>
  <c r="E731" i="4"/>
  <c r="D731" i="4"/>
  <c r="C731" i="4"/>
  <c r="G730" i="4"/>
  <c r="F730" i="4"/>
  <c r="D730" i="4"/>
  <c r="E730" i="4" s="1"/>
  <c r="C730" i="4"/>
  <c r="G729" i="4"/>
  <c r="F729" i="4"/>
  <c r="E729" i="4"/>
  <c r="D729" i="4"/>
  <c r="C729" i="4"/>
  <c r="G728" i="4"/>
  <c r="F728" i="4"/>
  <c r="D728" i="4"/>
  <c r="E728" i="4" s="1"/>
  <c r="C728" i="4"/>
  <c r="G727" i="4"/>
  <c r="F727" i="4"/>
  <c r="E727" i="4"/>
  <c r="D727" i="4"/>
  <c r="C727" i="4"/>
  <c r="G726" i="4"/>
  <c r="F726" i="4"/>
  <c r="D726" i="4"/>
  <c r="E726" i="4" s="1"/>
  <c r="C726" i="4"/>
  <c r="G725" i="4"/>
  <c r="F725" i="4"/>
  <c r="D725" i="4"/>
  <c r="E725" i="4" s="1"/>
  <c r="C725" i="4"/>
  <c r="G724" i="4"/>
  <c r="F724" i="4"/>
  <c r="E724" i="4"/>
  <c r="D724" i="4"/>
  <c r="C724" i="4"/>
  <c r="G723" i="4"/>
  <c r="F723" i="4"/>
  <c r="E723" i="4"/>
  <c r="D723" i="4"/>
  <c r="C723" i="4"/>
  <c r="G722" i="4"/>
  <c r="F722" i="4"/>
  <c r="D722" i="4"/>
  <c r="E722" i="4" s="1"/>
  <c r="C722" i="4"/>
  <c r="G721" i="4"/>
  <c r="F721" i="4"/>
  <c r="E721" i="4"/>
  <c r="D721" i="4"/>
  <c r="C721" i="4"/>
  <c r="G720" i="4"/>
  <c r="F720" i="4"/>
  <c r="D720" i="4"/>
  <c r="E720" i="4" s="1"/>
  <c r="C720" i="4"/>
  <c r="G719" i="4"/>
  <c r="F719" i="4"/>
  <c r="E719" i="4"/>
  <c r="D719" i="4"/>
  <c r="C719" i="4"/>
  <c r="G718" i="4"/>
  <c r="F718" i="4"/>
  <c r="D718" i="4"/>
  <c r="E718" i="4" s="1"/>
  <c r="C718" i="4"/>
  <c r="G717" i="4"/>
  <c r="F717" i="4"/>
  <c r="E717" i="4"/>
  <c r="D717" i="4"/>
  <c r="C717" i="4"/>
  <c r="G716" i="4"/>
  <c r="F716" i="4"/>
  <c r="D716" i="4"/>
  <c r="E716" i="4" s="1"/>
  <c r="C716" i="4"/>
  <c r="G715" i="4"/>
  <c r="F715" i="4"/>
  <c r="E715" i="4"/>
  <c r="D715" i="4"/>
  <c r="C715" i="4"/>
  <c r="G714" i="4"/>
  <c r="F714" i="4"/>
  <c r="D714" i="4"/>
  <c r="E714" i="4" s="1"/>
  <c r="C714" i="4"/>
  <c r="G713" i="4"/>
  <c r="F713" i="4"/>
  <c r="E713" i="4"/>
  <c r="D713" i="4"/>
  <c r="C713" i="4"/>
  <c r="G712" i="4"/>
  <c r="F712" i="4"/>
  <c r="D712" i="4"/>
  <c r="E712" i="4" s="1"/>
  <c r="C712" i="4"/>
  <c r="G711" i="4"/>
  <c r="F711" i="4"/>
  <c r="E711" i="4"/>
  <c r="D711" i="4"/>
  <c r="C711" i="4"/>
  <c r="G710" i="4"/>
  <c r="F710" i="4"/>
  <c r="D710" i="4"/>
  <c r="E710" i="4" s="1"/>
  <c r="C710" i="4"/>
  <c r="G709" i="4"/>
  <c r="F709" i="4"/>
  <c r="D709" i="4"/>
  <c r="E709" i="4" s="1"/>
  <c r="C709" i="4"/>
  <c r="G708" i="4"/>
  <c r="F708" i="4"/>
  <c r="E708" i="4"/>
  <c r="D708" i="4"/>
  <c r="C708" i="4"/>
  <c r="G707" i="4"/>
  <c r="F707" i="4"/>
  <c r="E707" i="4"/>
  <c r="D707" i="4"/>
  <c r="C707" i="4"/>
  <c r="G706" i="4"/>
  <c r="F706" i="4"/>
  <c r="D706" i="4"/>
  <c r="E706" i="4" s="1"/>
  <c r="C706" i="4"/>
  <c r="G705" i="4"/>
  <c r="F705" i="4"/>
  <c r="E705" i="4"/>
  <c r="D705" i="4"/>
  <c r="C705" i="4"/>
  <c r="G704" i="4"/>
  <c r="F704" i="4"/>
  <c r="D704" i="4"/>
  <c r="E704" i="4" s="1"/>
  <c r="C704" i="4"/>
  <c r="G703" i="4"/>
  <c r="F703" i="4"/>
  <c r="E703" i="4"/>
  <c r="D703" i="4"/>
  <c r="C703" i="4"/>
  <c r="G702" i="4"/>
  <c r="F702" i="4"/>
  <c r="D702" i="4"/>
  <c r="E702" i="4" s="1"/>
  <c r="C702" i="4"/>
  <c r="G701" i="4"/>
  <c r="F701" i="4"/>
  <c r="E701" i="4"/>
  <c r="D701" i="4"/>
  <c r="C701" i="4"/>
  <c r="G700" i="4"/>
  <c r="F700" i="4"/>
  <c r="D700" i="4"/>
  <c r="E700" i="4" s="1"/>
  <c r="C700" i="4"/>
  <c r="G699" i="4"/>
  <c r="F699" i="4"/>
  <c r="E699" i="4"/>
  <c r="D699" i="4"/>
  <c r="C699" i="4"/>
  <c r="G698" i="4"/>
  <c r="F698" i="4"/>
  <c r="D698" i="4"/>
  <c r="E698" i="4" s="1"/>
  <c r="C698" i="4"/>
  <c r="G697" i="4"/>
  <c r="F697" i="4"/>
  <c r="E697" i="4"/>
  <c r="D697" i="4"/>
  <c r="C697" i="4"/>
  <c r="G696" i="4"/>
  <c r="F696" i="4"/>
  <c r="D696" i="4"/>
  <c r="E696" i="4" s="1"/>
  <c r="C696" i="4"/>
  <c r="G695" i="4"/>
  <c r="F695" i="4"/>
  <c r="E695" i="4"/>
  <c r="D695" i="4"/>
  <c r="C695" i="4"/>
  <c r="G694" i="4"/>
  <c r="F694" i="4"/>
  <c r="D694" i="4"/>
  <c r="E694" i="4" s="1"/>
  <c r="C694" i="4"/>
  <c r="G693" i="4"/>
  <c r="F693" i="4"/>
  <c r="D693" i="4"/>
  <c r="E693" i="4" s="1"/>
  <c r="C693" i="4"/>
  <c r="G692" i="4"/>
  <c r="F692" i="4"/>
  <c r="E692" i="4"/>
  <c r="D692" i="4"/>
  <c r="C692" i="4"/>
  <c r="G691" i="4"/>
  <c r="F691" i="4"/>
  <c r="E691" i="4"/>
  <c r="D691" i="4"/>
  <c r="C691" i="4"/>
  <c r="G690" i="4"/>
  <c r="F690" i="4"/>
  <c r="D690" i="4"/>
  <c r="E690" i="4" s="1"/>
  <c r="C690" i="4"/>
  <c r="G689" i="4"/>
  <c r="F689" i="4"/>
  <c r="E689" i="4"/>
  <c r="D689" i="4"/>
  <c r="C689" i="4"/>
  <c r="G688" i="4"/>
  <c r="F688" i="4"/>
  <c r="D688" i="4"/>
  <c r="E688" i="4" s="1"/>
  <c r="C688" i="4"/>
  <c r="G687" i="4"/>
  <c r="F687" i="4"/>
  <c r="E687" i="4"/>
  <c r="D687" i="4"/>
  <c r="C687" i="4"/>
  <c r="G686" i="4"/>
  <c r="F686" i="4"/>
  <c r="D686" i="4"/>
  <c r="E686" i="4" s="1"/>
  <c r="C686" i="4"/>
  <c r="G685" i="4"/>
  <c r="F685" i="4"/>
  <c r="E685" i="4"/>
  <c r="D685" i="4"/>
  <c r="C685" i="4"/>
  <c r="G684" i="4"/>
  <c r="F684" i="4"/>
  <c r="D684" i="4"/>
  <c r="E684" i="4" s="1"/>
  <c r="C684" i="4"/>
  <c r="G683" i="4"/>
  <c r="F683" i="4"/>
  <c r="E683" i="4"/>
  <c r="D683" i="4"/>
  <c r="C683" i="4"/>
  <c r="G682" i="4"/>
  <c r="F682" i="4"/>
  <c r="D682" i="4"/>
  <c r="E682" i="4" s="1"/>
  <c r="C682" i="4"/>
  <c r="G681" i="4"/>
  <c r="F681" i="4"/>
  <c r="E681" i="4"/>
  <c r="D681" i="4"/>
  <c r="C681" i="4"/>
  <c r="G680" i="4"/>
  <c r="F680" i="4"/>
  <c r="D680" i="4"/>
  <c r="E680" i="4" s="1"/>
  <c r="C680" i="4"/>
  <c r="G679" i="4"/>
  <c r="F679" i="4"/>
  <c r="E679" i="4"/>
  <c r="D679" i="4"/>
  <c r="C679" i="4"/>
  <c r="G678" i="4"/>
  <c r="F678" i="4"/>
  <c r="D678" i="4"/>
  <c r="E678" i="4" s="1"/>
  <c r="C678" i="4"/>
  <c r="G677" i="4"/>
  <c r="F677" i="4"/>
  <c r="D677" i="4"/>
  <c r="E677" i="4" s="1"/>
  <c r="C677" i="4"/>
  <c r="G676" i="4"/>
  <c r="F676" i="4"/>
  <c r="E676" i="4"/>
  <c r="D676" i="4"/>
  <c r="C676" i="4"/>
  <c r="G675" i="4"/>
  <c r="F675" i="4"/>
  <c r="E675" i="4"/>
  <c r="D675" i="4"/>
  <c r="C675" i="4"/>
  <c r="G674" i="4"/>
  <c r="F674" i="4"/>
  <c r="D674" i="4"/>
  <c r="E674" i="4" s="1"/>
  <c r="C674" i="4"/>
  <c r="G673" i="4"/>
  <c r="F673" i="4"/>
  <c r="E673" i="4"/>
  <c r="D673" i="4"/>
  <c r="C673" i="4"/>
  <c r="G672" i="4"/>
  <c r="F672" i="4"/>
  <c r="D672" i="4"/>
  <c r="E672" i="4" s="1"/>
  <c r="C672" i="4"/>
  <c r="G671" i="4"/>
  <c r="F671" i="4"/>
  <c r="E671" i="4"/>
  <c r="D671" i="4"/>
  <c r="C671" i="4"/>
  <c r="G670" i="4"/>
  <c r="F670" i="4"/>
  <c r="D670" i="4"/>
  <c r="E670" i="4" s="1"/>
  <c r="C670" i="4"/>
  <c r="G669" i="4"/>
  <c r="F669" i="4"/>
  <c r="E669" i="4"/>
  <c r="D669" i="4"/>
  <c r="C669" i="4"/>
  <c r="G668" i="4"/>
  <c r="F668" i="4"/>
  <c r="D668" i="4"/>
  <c r="E668" i="4" s="1"/>
  <c r="C668" i="4"/>
  <c r="G667" i="4"/>
  <c r="F667" i="4"/>
  <c r="E667" i="4"/>
  <c r="D667" i="4"/>
  <c r="C667" i="4"/>
  <c r="G666" i="4"/>
  <c r="F666" i="4"/>
  <c r="D666" i="4"/>
  <c r="E666" i="4" s="1"/>
  <c r="C666" i="4"/>
  <c r="G665" i="4"/>
  <c r="F665" i="4"/>
  <c r="E665" i="4"/>
  <c r="D665" i="4"/>
  <c r="C665" i="4"/>
  <c r="G664" i="4"/>
  <c r="F664" i="4"/>
  <c r="D664" i="4"/>
  <c r="E664" i="4" s="1"/>
  <c r="C664" i="4"/>
  <c r="G663" i="4"/>
  <c r="F663" i="4"/>
  <c r="E663" i="4"/>
  <c r="D663" i="4"/>
  <c r="C663" i="4"/>
  <c r="G662" i="4"/>
  <c r="F662" i="4"/>
  <c r="D662" i="4"/>
  <c r="E662" i="4" s="1"/>
  <c r="C662" i="4"/>
  <c r="G661" i="4"/>
  <c r="F661" i="4"/>
  <c r="D661" i="4"/>
  <c r="E661" i="4" s="1"/>
  <c r="C661" i="4"/>
  <c r="G660" i="4"/>
  <c r="F660" i="4"/>
  <c r="E660" i="4"/>
  <c r="D660" i="4"/>
  <c r="C660" i="4"/>
  <c r="G659" i="4"/>
  <c r="F659" i="4"/>
  <c r="E659" i="4"/>
  <c r="D659" i="4"/>
  <c r="C659" i="4"/>
  <c r="G658" i="4"/>
  <c r="F658" i="4"/>
  <c r="D658" i="4"/>
  <c r="E658" i="4" s="1"/>
  <c r="C658" i="4"/>
  <c r="G657" i="4"/>
  <c r="F657" i="4"/>
  <c r="E657" i="4"/>
  <c r="D657" i="4"/>
  <c r="C657" i="4"/>
  <c r="G656" i="4"/>
  <c r="F656" i="4"/>
  <c r="D656" i="4"/>
  <c r="E656" i="4" s="1"/>
  <c r="C656" i="4"/>
  <c r="G655" i="4"/>
  <c r="F655" i="4"/>
  <c r="E655" i="4"/>
  <c r="D655" i="4"/>
  <c r="C655" i="4"/>
  <c r="G654" i="4"/>
  <c r="F654" i="4"/>
  <c r="D654" i="4"/>
  <c r="E654" i="4" s="1"/>
  <c r="C654" i="4"/>
  <c r="G653" i="4"/>
  <c r="F653" i="4"/>
  <c r="E653" i="4"/>
  <c r="D653" i="4"/>
  <c r="C653" i="4"/>
  <c r="G652" i="4"/>
  <c r="F652" i="4"/>
  <c r="D652" i="4"/>
  <c r="E652" i="4" s="1"/>
  <c r="C652" i="4"/>
  <c r="G651" i="4"/>
  <c r="F651" i="4"/>
  <c r="E651" i="4"/>
  <c r="D651" i="4"/>
  <c r="C651" i="4"/>
  <c r="G650" i="4"/>
  <c r="F650" i="4"/>
  <c r="D650" i="4"/>
  <c r="E650" i="4" s="1"/>
  <c r="C650" i="4"/>
  <c r="G649" i="4"/>
  <c r="F649" i="4"/>
  <c r="E649" i="4"/>
  <c r="D649" i="4"/>
  <c r="C649" i="4"/>
  <c r="G648" i="4"/>
  <c r="F648" i="4"/>
  <c r="D648" i="4"/>
  <c r="E648" i="4" s="1"/>
  <c r="C648" i="4"/>
  <c r="G647" i="4"/>
  <c r="F647" i="4"/>
  <c r="E647" i="4"/>
  <c r="D647" i="4"/>
  <c r="C647" i="4"/>
  <c r="G646" i="4"/>
  <c r="F646" i="4"/>
  <c r="D646" i="4"/>
  <c r="E646" i="4" s="1"/>
  <c r="C646" i="4"/>
  <c r="G645" i="4"/>
  <c r="F645" i="4"/>
  <c r="D645" i="4"/>
  <c r="E645" i="4" s="1"/>
  <c r="C645" i="4"/>
  <c r="G644" i="4"/>
  <c r="F644" i="4"/>
  <c r="E644" i="4"/>
  <c r="D644" i="4"/>
  <c r="C644" i="4"/>
  <c r="G643" i="4"/>
  <c r="F643" i="4"/>
  <c r="E643" i="4"/>
  <c r="D643" i="4"/>
  <c r="C643" i="4"/>
  <c r="G642" i="4"/>
  <c r="F642" i="4"/>
  <c r="D642" i="4"/>
  <c r="E642" i="4" s="1"/>
  <c r="C642" i="4"/>
  <c r="G641" i="4"/>
  <c r="F641" i="4"/>
  <c r="E641" i="4"/>
  <c r="D641" i="4"/>
  <c r="C641" i="4"/>
  <c r="G640" i="4"/>
  <c r="F640" i="4"/>
  <c r="D640" i="4"/>
  <c r="E640" i="4" s="1"/>
  <c r="C640" i="4"/>
  <c r="G639" i="4"/>
  <c r="F639" i="4"/>
  <c r="E639" i="4"/>
  <c r="D639" i="4"/>
  <c r="C639" i="4"/>
  <c r="G638" i="4"/>
  <c r="F638" i="4"/>
  <c r="D638" i="4"/>
  <c r="E638" i="4" s="1"/>
  <c r="C638" i="4"/>
  <c r="G637" i="4"/>
  <c r="F637" i="4"/>
  <c r="E637" i="4"/>
  <c r="D637" i="4"/>
  <c r="C637" i="4"/>
  <c r="G636" i="4"/>
  <c r="F636" i="4"/>
  <c r="D636" i="4"/>
  <c r="E636" i="4" s="1"/>
  <c r="C636" i="4"/>
  <c r="G635" i="4"/>
  <c r="F635" i="4"/>
  <c r="E635" i="4"/>
  <c r="D635" i="4"/>
  <c r="C635" i="4"/>
  <c r="G634" i="4"/>
  <c r="F634" i="4"/>
  <c r="D634" i="4"/>
  <c r="E634" i="4" s="1"/>
  <c r="C634" i="4"/>
  <c r="G633" i="4"/>
  <c r="F633" i="4"/>
  <c r="E633" i="4"/>
  <c r="D633" i="4"/>
  <c r="C633" i="4"/>
  <c r="G632" i="4"/>
  <c r="F632" i="4"/>
  <c r="D632" i="4"/>
  <c r="E632" i="4" s="1"/>
  <c r="C632" i="4"/>
  <c r="G631" i="4"/>
  <c r="F631" i="4"/>
  <c r="E631" i="4"/>
  <c r="D631" i="4"/>
  <c r="C631" i="4"/>
  <c r="G630" i="4"/>
  <c r="F630" i="4"/>
  <c r="D630" i="4"/>
  <c r="E630" i="4" s="1"/>
  <c r="C630" i="4"/>
  <c r="G629" i="4"/>
  <c r="F629" i="4"/>
  <c r="D629" i="4"/>
  <c r="E629" i="4" s="1"/>
  <c r="C629" i="4"/>
  <c r="G628" i="4"/>
  <c r="F628" i="4"/>
  <c r="E628" i="4"/>
  <c r="D628" i="4"/>
  <c r="C628" i="4"/>
  <c r="G627" i="4"/>
  <c r="F627" i="4"/>
  <c r="E627" i="4"/>
  <c r="D627" i="4"/>
  <c r="C627" i="4"/>
  <c r="G626" i="4"/>
  <c r="F626" i="4"/>
  <c r="D626" i="4"/>
  <c r="E626" i="4" s="1"/>
  <c r="C626" i="4"/>
  <c r="G625" i="4"/>
  <c r="F625" i="4"/>
  <c r="E625" i="4"/>
  <c r="D625" i="4"/>
  <c r="C625" i="4"/>
  <c r="G624" i="4"/>
  <c r="F624" i="4"/>
  <c r="D624" i="4"/>
  <c r="E624" i="4" s="1"/>
  <c r="C624" i="4"/>
  <c r="G623" i="4"/>
  <c r="F623" i="4"/>
  <c r="E623" i="4"/>
  <c r="D623" i="4"/>
  <c r="C623" i="4"/>
  <c r="G622" i="4"/>
  <c r="F622" i="4"/>
  <c r="D622" i="4"/>
  <c r="E622" i="4" s="1"/>
  <c r="C622" i="4"/>
  <c r="G621" i="4"/>
  <c r="F621" i="4"/>
  <c r="E621" i="4"/>
  <c r="D621" i="4"/>
  <c r="C621" i="4"/>
  <c r="G620" i="4"/>
  <c r="F620" i="4"/>
  <c r="D620" i="4"/>
  <c r="E620" i="4" s="1"/>
  <c r="C620" i="4"/>
  <c r="G619" i="4"/>
  <c r="F619" i="4"/>
  <c r="E619" i="4"/>
  <c r="D619" i="4"/>
  <c r="C619" i="4"/>
  <c r="G618" i="4"/>
  <c r="F618" i="4"/>
  <c r="D618" i="4"/>
  <c r="E618" i="4" s="1"/>
  <c r="C618" i="4"/>
  <c r="G617" i="4"/>
  <c r="F617" i="4"/>
  <c r="E617" i="4"/>
  <c r="D617" i="4"/>
  <c r="C617" i="4"/>
  <c r="G616" i="4"/>
  <c r="F616" i="4"/>
  <c r="D616" i="4"/>
  <c r="E616" i="4" s="1"/>
  <c r="C616" i="4"/>
  <c r="G615" i="4"/>
  <c r="F615" i="4"/>
  <c r="E615" i="4"/>
  <c r="D615" i="4"/>
  <c r="C615" i="4"/>
  <c r="G614" i="4"/>
  <c r="F614" i="4"/>
  <c r="D614" i="4"/>
  <c r="E614" i="4" s="1"/>
  <c r="C614" i="4"/>
  <c r="G613" i="4"/>
  <c r="F613" i="4"/>
  <c r="D613" i="4"/>
  <c r="E613" i="4" s="1"/>
  <c r="C613" i="4"/>
  <c r="G612" i="4"/>
  <c r="F612" i="4"/>
  <c r="E612" i="4"/>
  <c r="D612" i="4"/>
  <c r="C612" i="4"/>
  <c r="G611" i="4"/>
  <c r="F611" i="4"/>
  <c r="E611" i="4"/>
  <c r="D611" i="4"/>
  <c r="C611" i="4"/>
  <c r="G610" i="4"/>
  <c r="F610" i="4"/>
  <c r="D610" i="4"/>
  <c r="E610" i="4" s="1"/>
  <c r="C610" i="4"/>
  <c r="G609" i="4"/>
  <c r="F609" i="4"/>
  <c r="E609" i="4"/>
  <c r="D609" i="4"/>
  <c r="C609" i="4"/>
  <c r="G608" i="4"/>
  <c r="F608" i="4"/>
  <c r="D608" i="4"/>
  <c r="E608" i="4" s="1"/>
  <c r="C608" i="4"/>
  <c r="G607" i="4"/>
  <c r="F607" i="4"/>
  <c r="E607" i="4"/>
  <c r="D607" i="4"/>
  <c r="C607" i="4"/>
  <c r="G606" i="4"/>
  <c r="F606" i="4"/>
  <c r="D606" i="4"/>
  <c r="E606" i="4" s="1"/>
  <c r="C606" i="4"/>
  <c r="G605" i="4"/>
  <c r="F605" i="4"/>
  <c r="E605" i="4"/>
  <c r="D605" i="4"/>
  <c r="C605" i="4"/>
  <c r="G604" i="4"/>
  <c r="F604" i="4"/>
  <c r="D604" i="4"/>
  <c r="E604" i="4" s="1"/>
  <c r="C604" i="4"/>
  <c r="G603" i="4"/>
  <c r="F603" i="4"/>
  <c r="E603" i="4"/>
  <c r="D603" i="4"/>
  <c r="C603" i="4"/>
  <c r="G602" i="4"/>
  <c r="F602" i="4"/>
  <c r="D602" i="4"/>
  <c r="E602" i="4" s="1"/>
  <c r="C602" i="4"/>
  <c r="G601" i="4"/>
  <c r="F601" i="4"/>
  <c r="E601" i="4"/>
  <c r="D601" i="4"/>
  <c r="C601" i="4"/>
  <c r="G600" i="4"/>
  <c r="F600" i="4"/>
  <c r="D600" i="4"/>
  <c r="E600" i="4" s="1"/>
  <c r="C600" i="4"/>
  <c r="G599" i="4"/>
  <c r="F599" i="4"/>
  <c r="E599" i="4"/>
  <c r="D599" i="4"/>
  <c r="C599" i="4"/>
  <c r="G598" i="4"/>
  <c r="F598" i="4"/>
  <c r="D598" i="4"/>
  <c r="E598" i="4" s="1"/>
  <c r="C598" i="4"/>
  <c r="G597" i="4"/>
  <c r="F597" i="4"/>
  <c r="D597" i="4"/>
  <c r="E597" i="4" s="1"/>
  <c r="C597" i="4"/>
  <c r="G596" i="4"/>
  <c r="F596" i="4"/>
  <c r="E596" i="4"/>
  <c r="D596" i="4"/>
  <c r="C596" i="4"/>
  <c r="G595" i="4"/>
  <c r="F595" i="4"/>
  <c r="E595" i="4"/>
  <c r="D595" i="4"/>
  <c r="C595" i="4"/>
  <c r="G594" i="4"/>
  <c r="F594" i="4"/>
  <c r="D594" i="4"/>
  <c r="E594" i="4" s="1"/>
  <c r="C594" i="4"/>
  <c r="G593" i="4"/>
  <c r="F593" i="4"/>
  <c r="E593" i="4"/>
  <c r="D593" i="4"/>
  <c r="C593" i="4"/>
  <c r="G592" i="4"/>
  <c r="F592" i="4"/>
  <c r="D592" i="4"/>
  <c r="E592" i="4" s="1"/>
  <c r="C592" i="4"/>
  <c r="G591" i="4"/>
  <c r="F591" i="4"/>
  <c r="E591" i="4"/>
  <c r="D591" i="4"/>
  <c r="C591" i="4"/>
  <c r="G590" i="4"/>
  <c r="F590" i="4"/>
  <c r="D590" i="4"/>
  <c r="E590" i="4" s="1"/>
  <c r="C590" i="4"/>
  <c r="G589" i="4"/>
  <c r="F589" i="4"/>
  <c r="E589" i="4"/>
  <c r="D589" i="4"/>
  <c r="C589" i="4"/>
  <c r="G588" i="4"/>
  <c r="F588" i="4"/>
  <c r="D588" i="4"/>
  <c r="E588" i="4" s="1"/>
  <c r="C588" i="4"/>
  <c r="G587" i="4"/>
  <c r="F587" i="4"/>
  <c r="E587" i="4"/>
  <c r="D587" i="4"/>
  <c r="C587" i="4"/>
  <c r="G586" i="4"/>
  <c r="F586" i="4"/>
  <c r="D586" i="4"/>
  <c r="E586" i="4" s="1"/>
  <c r="C586" i="4"/>
  <c r="G585" i="4"/>
  <c r="F585" i="4"/>
  <c r="E585" i="4"/>
  <c r="D585" i="4"/>
  <c r="C585" i="4"/>
  <c r="G584" i="4"/>
  <c r="F584" i="4"/>
  <c r="D584" i="4"/>
  <c r="E584" i="4" s="1"/>
  <c r="C584" i="4"/>
  <c r="G583" i="4"/>
  <c r="F583" i="4"/>
  <c r="E583" i="4"/>
  <c r="D583" i="4"/>
  <c r="C583" i="4"/>
  <c r="G582" i="4"/>
  <c r="F582" i="4"/>
  <c r="D582" i="4"/>
  <c r="E582" i="4" s="1"/>
  <c r="C582" i="4"/>
  <c r="G581" i="4"/>
  <c r="F581" i="4"/>
  <c r="D581" i="4"/>
  <c r="E581" i="4" s="1"/>
  <c r="C581" i="4"/>
  <c r="G580" i="4"/>
  <c r="F580" i="4"/>
  <c r="E580" i="4"/>
  <c r="D580" i="4"/>
  <c r="C580" i="4"/>
  <c r="G579" i="4"/>
  <c r="F579" i="4"/>
  <c r="E579" i="4"/>
  <c r="D579" i="4"/>
  <c r="C579" i="4"/>
  <c r="G578" i="4"/>
  <c r="F578" i="4"/>
  <c r="D578" i="4"/>
  <c r="E578" i="4" s="1"/>
  <c r="C578" i="4"/>
  <c r="G577" i="4"/>
  <c r="F577" i="4"/>
  <c r="E577" i="4"/>
  <c r="D577" i="4"/>
  <c r="C577" i="4"/>
  <c r="G576" i="4"/>
  <c r="F576" i="4"/>
  <c r="D576" i="4"/>
  <c r="E576" i="4" s="1"/>
  <c r="C576" i="4"/>
  <c r="G575" i="4"/>
  <c r="F575" i="4"/>
  <c r="E575" i="4"/>
  <c r="D575" i="4"/>
  <c r="C575" i="4"/>
  <c r="G574" i="4"/>
  <c r="F574" i="4"/>
  <c r="D574" i="4"/>
  <c r="E574" i="4" s="1"/>
  <c r="C574" i="4"/>
  <c r="G573" i="4"/>
  <c r="F573" i="4"/>
  <c r="E573" i="4"/>
  <c r="D573" i="4"/>
  <c r="C573" i="4"/>
  <c r="G572" i="4"/>
  <c r="F572" i="4"/>
  <c r="D572" i="4"/>
  <c r="E572" i="4" s="1"/>
  <c r="C572" i="4"/>
  <c r="G571" i="4"/>
  <c r="F571" i="4"/>
  <c r="E571" i="4"/>
  <c r="D571" i="4"/>
  <c r="C571" i="4"/>
  <c r="G570" i="4"/>
  <c r="F570" i="4"/>
  <c r="D570" i="4"/>
  <c r="E570" i="4" s="1"/>
  <c r="C570" i="4"/>
  <c r="G569" i="4"/>
  <c r="F569" i="4"/>
  <c r="E569" i="4"/>
  <c r="D569" i="4"/>
  <c r="C569" i="4"/>
  <c r="G568" i="4"/>
  <c r="F568" i="4"/>
  <c r="D568" i="4"/>
  <c r="E568" i="4" s="1"/>
  <c r="C568" i="4"/>
  <c r="G567" i="4"/>
  <c r="F567" i="4"/>
  <c r="E567" i="4"/>
  <c r="D567" i="4"/>
  <c r="C567" i="4"/>
  <c r="G566" i="4"/>
  <c r="F566" i="4"/>
  <c r="D566" i="4"/>
  <c r="E566" i="4" s="1"/>
  <c r="C566" i="4"/>
  <c r="G565" i="4"/>
  <c r="F565" i="4"/>
  <c r="D565" i="4"/>
  <c r="E565" i="4" s="1"/>
  <c r="C565" i="4"/>
  <c r="G564" i="4"/>
  <c r="F564" i="4"/>
  <c r="E564" i="4"/>
  <c r="D564" i="4"/>
  <c r="C564" i="4"/>
  <c r="G563" i="4"/>
  <c r="F563" i="4"/>
  <c r="E563" i="4"/>
  <c r="D563" i="4"/>
  <c r="C563" i="4"/>
  <c r="G562" i="4"/>
  <c r="F562" i="4"/>
  <c r="D562" i="4"/>
  <c r="E562" i="4" s="1"/>
  <c r="C562" i="4"/>
  <c r="G561" i="4"/>
  <c r="F561" i="4"/>
  <c r="E561" i="4"/>
  <c r="D561" i="4"/>
  <c r="C561" i="4"/>
  <c r="G560" i="4"/>
  <c r="F560" i="4"/>
  <c r="D560" i="4"/>
  <c r="E560" i="4" s="1"/>
  <c r="C560" i="4"/>
  <c r="G559" i="4"/>
  <c r="F559" i="4"/>
  <c r="E559" i="4"/>
  <c r="D559" i="4"/>
  <c r="C559" i="4"/>
  <c r="G558" i="4"/>
  <c r="F558" i="4"/>
  <c r="D558" i="4"/>
  <c r="E558" i="4" s="1"/>
  <c r="C558" i="4"/>
  <c r="G557" i="4"/>
  <c r="F557" i="4"/>
  <c r="E557" i="4"/>
  <c r="D557" i="4"/>
  <c r="C557" i="4"/>
  <c r="G556" i="4"/>
  <c r="F556" i="4"/>
  <c r="D556" i="4"/>
  <c r="E556" i="4" s="1"/>
  <c r="C556" i="4"/>
  <c r="G555" i="4"/>
  <c r="F555" i="4"/>
  <c r="E555" i="4"/>
  <c r="D555" i="4"/>
  <c r="C555" i="4"/>
  <c r="G554" i="4"/>
  <c r="F554" i="4"/>
  <c r="D554" i="4"/>
  <c r="E554" i="4" s="1"/>
  <c r="C554" i="4"/>
  <c r="G553" i="4"/>
  <c r="F553" i="4"/>
  <c r="E553" i="4"/>
  <c r="D553" i="4"/>
  <c r="C553" i="4"/>
  <c r="G552" i="4"/>
  <c r="F552" i="4"/>
  <c r="D552" i="4"/>
  <c r="E552" i="4" s="1"/>
  <c r="C552" i="4"/>
  <c r="G551" i="4"/>
  <c r="F551" i="4"/>
  <c r="E551" i="4"/>
  <c r="D551" i="4"/>
  <c r="C551" i="4"/>
  <c r="G550" i="4"/>
  <c r="F550" i="4"/>
  <c r="D550" i="4"/>
  <c r="E550" i="4" s="1"/>
  <c r="C550" i="4"/>
  <c r="G549" i="4"/>
  <c r="F549" i="4"/>
  <c r="D549" i="4"/>
  <c r="E549" i="4" s="1"/>
  <c r="C549" i="4"/>
  <c r="G548" i="4"/>
  <c r="F548" i="4"/>
  <c r="E548" i="4"/>
  <c r="D548" i="4"/>
  <c r="C548" i="4"/>
  <c r="G547" i="4"/>
  <c r="F547" i="4"/>
  <c r="E547" i="4"/>
  <c r="D547" i="4"/>
  <c r="C547" i="4"/>
  <c r="G546" i="4"/>
  <c r="F546" i="4"/>
  <c r="D546" i="4"/>
  <c r="E546" i="4" s="1"/>
  <c r="C546" i="4"/>
  <c r="G545" i="4"/>
  <c r="F545" i="4"/>
  <c r="E545" i="4"/>
  <c r="D545" i="4"/>
  <c r="C545" i="4"/>
  <c r="G544" i="4"/>
  <c r="F544" i="4"/>
  <c r="D544" i="4"/>
  <c r="E544" i="4" s="1"/>
  <c r="C544" i="4"/>
  <c r="G543" i="4"/>
  <c r="F543" i="4"/>
  <c r="E543" i="4"/>
  <c r="D543" i="4"/>
  <c r="C543" i="4"/>
  <c r="G542" i="4"/>
  <c r="F542" i="4"/>
  <c r="D542" i="4"/>
  <c r="E542" i="4" s="1"/>
  <c r="C542" i="4"/>
  <c r="G541" i="4"/>
  <c r="F541" i="4"/>
  <c r="E541" i="4"/>
  <c r="D541" i="4"/>
  <c r="C541" i="4"/>
  <c r="G540" i="4"/>
  <c r="F540" i="4"/>
  <c r="D540" i="4"/>
  <c r="E540" i="4" s="1"/>
  <c r="C540" i="4"/>
  <c r="G539" i="4"/>
  <c r="F539" i="4"/>
  <c r="E539" i="4"/>
  <c r="D539" i="4"/>
  <c r="C539" i="4"/>
  <c r="G538" i="4"/>
  <c r="F538" i="4"/>
  <c r="D538" i="4"/>
  <c r="E538" i="4" s="1"/>
  <c r="C538" i="4"/>
  <c r="G537" i="4"/>
  <c r="F537" i="4"/>
  <c r="E537" i="4"/>
  <c r="D537" i="4"/>
  <c r="C537" i="4"/>
  <c r="G536" i="4"/>
  <c r="F536" i="4"/>
  <c r="D536" i="4"/>
  <c r="E536" i="4" s="1"/>
  <c r="C536" i="4"/>
  <c r="G535" i="4"/>
  <c r="F535" i="4"/>
  <c r="E535" i="4"/>
  <c r="D535" i="4"/>
  <c r="C535" i="4"/>
  <c r="G534" i="4"/>
  <c r="F534" i="4"/>
  <c r="D534" i="4"/>
  <c r="E534" i="4" s="1"/>
  <c r="C534" i="4"/>
  <c r="G533" i="4"/>
  <c r="F533" i="4"/>
  <c r="D533" i="4"/>
  <c r="E533" i="4" s="1"/>
  <c r="C533" i="4"/>
  <c r="G532" i="4"/>
  <c r="F532" i="4"/>
  <c r="E532" i="4"/>
  <c r="D532" i="4"/>
  <c r="C532" i="4"/>
  <c r="G531" i="4"/>
  <c r="F531" i="4"/>
  <c r="E531" i="4"/>
  <c r="D531" i="4"/>
  <c r="C531" i="4"/>
  <c r="G530" i="4"/>
  <c r="F530" i="4"/>
  <c r="D530" i="4"/>
  <c r="E530" i="4" s="1"/>
  <c r="C530" i="4"/>
  <c r="G529" i="4"/>
  <c r="F529" i="4"/>
  <c r="E529" i="4"/>
  <c r="D529" i="4"/>
  <c r="C529" i="4"/>
  <c r="G528" i="4"/>
  <c r="F528" i="4"/>
  <c r="D528" i="4"/>
  <c r="E528" i="4" s="1"/>
  <c r="C528" i="4"/>
  <c r="G527" i="4"/>
  <c r="F527" i="4"/>
  <c r="E527" i="4"/>
  <c r="D527" i="4"/>
  <c r="C527" i="4"/>
  <c r="G526" i="4"/>
  <c r="F526" i="4"/>
  <c r="D526" i="4"/>
  <c r="E526" i="4" s="1"/>
  <c r="C526" i="4"/>
  <c r="G525" i="4"/>
  <c r="F525" i="4"/>
  <c r="E525" i="4"/>
  <c r="D525" i="4"/>
  <c r="C525" i="4"/>
  <c r="G524" i="4"/>
  <c r="F524" i="4"/>
  <c r="D524" i="4"/>
  <c r="E524" i="4" s="1"/>
  <c r="C524" i="4"/>
  <c r="G523" i="4"/>
  <c r="F523" i="4"/>
  <c r="E523" i="4"/>
  <c r="D523" i="4"/>
  <c r="C523" i="4"/>
  <c r="G522" i="4"/>
  <c r="F522" i="4"/>
  <c r="D522" i="4"/>
  <c r="E522" i="4" s="1"/>
  <c r="C522" i="4"/>
  <c r="G521" i="4"/>
  <c r="F521" i="4"/>
  <c r="E521" i="4"/>
  <c r="D521" i="4"/>
  <c r="C521" i="4"/>
  <c r="G520" i="4"/>
  <c r="F520" i="4"/>
  <c r="D520" i="4"/>
  <c r="E520" i="4" s="1"/>
  <c r="C520" i="4"/>
  <c r="G519" i="4"/>
  <c r="F519" i="4"/>
  <c r="E519" i="4"/>
  <c r="D519" i="4"/>
  <c r="C519" i="4"/>
  <c r="G518" i="4"/>
  <c r="F518" i="4"/>
  <c r="D518" i="4"/>
  <c r="E518" i="4" s="1"/>
  <c r="C518" i="4"/>
  <c r="G517" i="4"/>
  <c r="F517" i="4"/>
  <c r="D517" i="4"/>
  <c r="E517" i="4" s="1"/>
  <c r="C517" i="4"/>
  <c r="G516" i="4"/>
  <c r="F516" i="4"/>
  <c r="E516" i="4"/>
  <c r="D516" i="4"/>
  <c r="C516" i="4"/>
  <c r="G515" i="4"/>
  <c r="F515" i="4"/>
  <c r="E515" i="4"/>
  <c r="D515" i="4"/>
  <c r="C515" i="4"/>
  <c r="G514" i="4"/>
  <c r="F514" i="4"/>
  <c r="D514" i="4"/>
  <c r="E514" i="4" s="1"/>
  <c r="C514" i="4"/>
  <c r="G513" i="4"/>
  <c r="F513" i="4"/>
  <c r="E513" i="4"/>
  <c r="D513" i="4"/>
  <c r="C513" i="4"/>
  <c r="G512" i="4"/>
  <c r="F512" i="4"/>
  <c r="D512" i="4"/>
  <c r="E512" i="4" s="1"/>
  <c r="C512" i="4"/>
  <c r="G511" i="4"/>
  <c r="F511" i="4"/>
  <c r="E511" i="4"/>
  <c r="D511" i="4"/>
  <c r="C511" i="4"/>
  <c r="G510" i="4"/>
  <c r="F510" i="4"/>
  <c r="D510" i="4"/>
  <c r="E510" i="4" s="1"/>
  <c r="C510" i="4"/>
  <c r="G509" i="4"/>
  <c r="F509" i="4"/>
  <c r="E509" i="4"/>
  <c r="D509" i="4"/>
  <c r="C509" i="4"/>
  <c r="G508" i="4"/>
  <c r="F508" i="4"/>
  <c r="D508" i="4"/>
  <c r="E508" i="4" s="1"/>
  <c r="C508" i="4"/>
  <c r="G507" i="4"/>
  <c r="F507" i="4"/>
  <c r="E507" i="4"/>
  <c r="D507" i="4"/>
  <c r="C507" i="4"/>
  <c r="G506" i="4"/>
  <c r="F506" i="4"/>
  <c r="D506" i="4"/>
  <c r="E506" i="4" s="1"/>
  <c r="C506" i="4"/>
  <c r="G505" i="4"/>
  <c r="F505" i="4"/>
  <c r="E505" i="4"/>
  <c r="D505" i="4"/>
  <c r="C505" i="4"/>
  <c r="G504" i="4"/>
  <c r="F504" i="4"/>
  <c r="D504" i="4"/>
  <c r="E504" i="4" s="1"/>
  <c r="C504" i="4"/>
  <c r="G503" i="4"/>
  <c r="F503" i="4"/>
  <c r="E503" i="4"/>
  <c r="D503" i="4"/>
  <c r="C503" i="4"/>
  <c r="G502" i="4"/>
  <c r="F502" i="4"/>
  <c r="D502" i="4"/>
  <c r="E502" i="4" s="1"/>
  <c r="C502" i="4"/>
  <c r="G501" i="4"/>
  <c r="F501" i="4"/>
  <c r="D501" i="4"/>
  <c r="E501" i="4" s="1"/>
  <c r="C501" i="4"/>
  <c r="G500" i="4"/>
  <c r="F500" i="4"/>
  <c r="E500" i="4"/>
  <c r="D500" i="4"/>
  <c r="C500" i="4"/>
  <c r="G499" i="4"/>
  <c r="F499" i="4"/>
  <c r="E499" i="4"/>
  <c r="D499" i="4"/>
  <c r="C499" i="4"/>
  <c r="G498" i="4"/>
  <c r="F498" i="4"/>
  <c r="D498" i="4"/>
  <c r="E498" i="4" s="1"/>
  <c r="C498" i="4"/>
  <c r="G497" i="4"/>
  <c r="F497" i="4"/>
  <c r="E497" i="4"/>
  <c r="D497" i="4"/>
  <c r="C497" i="4"/>
  <c r="G496" i="4"/>
  <c r="F496" i="4"/>
  <c r="D496" i="4"/>
  <c r="E496" i="4" s="1"/>
  <c r="C496" i="4"/>
  <c r="G495" i="4"/>
  <c r="F495" i="4"/>
  <c r="E495" i="4"/>
  <c r="D495" i="4"/>
  <c r="C495" i="4"/>
  <c r="G494" i="4"/>
  <c r="F494" i="4"/>
  <c r="D494" i="4"/>
  <c r="E494" i="4" s="1"/>
  <c r="C494" i="4"/>
  <c r="G493" i="4"/>
  <c r="F493" i="4"/>
  <c r="E493" i="4"/>
  <c r="D493" i="4"/>
  <c r="C493" i="4"/>
  <c r="G492" i="4"/>
  <c r="F492" i="4"/>
  <c r="D492" i="4"/>
  <c r="E492" i="4" s="1"/>
  <c r="C492" i="4"/>
  <c r="G491" i="4"/>
  <c r="F491" i="4"/>
  <c r="E491" i="4"/>
  <c r="D491" i="4"/>
  <c r="C491" i="4"/>
  <c r="G490" i="4"/>
  <c r="F490" i="4"/>
  <c r="D490" i="4"/>
  <c r="E490" i="4" s="1"/>
  <c r="C490" i="4"/>
  <c r="G489" i="4"/>
  <c r="F489" i="4"/>
  <c r="E489" i="4"/>
  <c r="D489" i="4"/>
  <c r="C489" i="4"/>
  <c r="G488" i="4"/>
  <c r="F488" i="4"/>
  <c r="D488" i="4"/>
  <c r="E488" i="4" s="1"/>
  <c r="C488" i="4"/>
  <c r="G487" i="4"/>
  <c r="F487" i="4"/>
  <c r="E487" i="4"/>
  <c r="D487" i="4"/>
  <c r="C487" i="4"/>
  <c r="G486" i="4"/>
  <c r="F486" i="4"/>
  <c r="D486" i="4"/>
  <c r="E486" i="4" s="1"/>
  <c r="C486" i="4"/>
  <c r="G485" i="4"/>
  <c r="F485" i="4"/>
  <c r="D485" i="4"/>
  <c r="E485" i="4" s="1"/>
  <c r="C485" i="4"/>
  <c r="G484" i="4"/>
  <c r="F484" i="4"/>
  <c r="E484" i="4"/>
  <c r="D484" i="4"/>
  <c r="C484" i="4"/>
  <c r="G483" i="4"/>
  <c r="F483" i="4"/>
  <c r="E483" i="4"/>
  <c r="D483" i="4"/>
  <c r="C483" i="4"/>
  <c r="G482" i="4"/>
  <c r="F482" i="4"/>
  <c r="D482" i="4"/>
  <c r="E482" i="4" s="1"/>
  <c r="C482" i="4"/>
  <c r="G481" i="4"/>
  <c r="F481" i="4"/>
  <c r="E481" i="4"/>
  <c r="D481" i="4"/>
  <c r="C481" i="4"/>
  <c r="G480" i="4"/>
  <c r="F480" i="4"/>
  <c r="D480" i="4"/>
  <c r="E480" i="4" s="1"/>
  <c r="C480" i="4"/>
  <c r="G479" i="4"/>
  <c r="F479" i="4"/>
  <c r="E479" i="4"/>
  <c r="D479" i="4"/>
  <c r="C479" i="4"/>
  <c r="G478" i="4"/>
  <c r="F478" i="4"/>
  <c r="D478" i="4"/>
  <c r="E478" i="4" s="1"/>
  <c r="C478" i="4"/>
  <c r="G477" i="4"/>
  <c r="F477" i="4"/>
  <c r="E477" i="4"/>
  <c r="D477" i="4"/>
  <c r="C477" i="4"/>
  <c r="G476" i="4"/>
  <c r="F476" i="4"/>
  <c r="D476" i="4"/>
  <c r="E476" i="4" s="1"/>
  <c r="C476" i="4"/>
  <c r="G475" i="4"/>
  <c r="F475" i="4"/>
  <c r="E475" i="4"/>
  <c r="D475" i="4"/>
  <c r="C475" i="4"/>
  <c r="G474" i="4"/>
  <c r="F474" i="4"/>
  <c r="D474" i="4"/>
  <c r="E474" i="4" s="1"/>
  <c r="C474" i="4"/>
  <c r="G473" i="4"/>
  <c r="F473" i="4"/>
  <c r="E473" i="4"/>
  <c r="D473" i="4"/>
  <c r="C473" i="4"/>
  <c r="G472" i="4"/>
  <c r="F472" i="4"/>
  <c r="D472" i="4"/>
  <c r="E472" i="4" s="1"/>
  <c r="C472" i="4"/>
  <c r="G471" i="4"/>
  <c r="F471" i="4"/>
  <c r="E471" i="4"/>
  <c r="D471" i="4"/>
  <c r="C471" i="4"/>
  <c r="G470" i="4"/>
  <c r="F470" i="4"/>
  <c r="D470" i="4"/>
  <c r="E470" i="4" s="1"/>
  <c r="C470" i="4"/>
  <c r="G469" i="4"/>
  <c r="F469" i="4"/>
  <c r="D469" i="4"/>
  <c r="E469" i="4" s="1"/>
  <c r="C469" i="4"/>
  <c r="G468" i="4"/>
  <c r="F468" i="4"/>
  <c r="E468" i="4"/>
  <c r="D468" i="4"/>
  <c r="C468" i="4"/>
  <c r="G467" i="4"/>
  <c r="F467" i="4"/>
  <c r="E467" i="4"/>
  <c r="D467" i="4"/>
  <c r="C467" i="4"/>
  <c r="G466" i="4"/>
  <c r="F466" i="4"/>
  <c r="D466" i="4"/>
  <c r="E466" i="4" s="1"/>
  <c r="C466" i="4"/>
  <c r="G465" i="4"/>
  <c r="F465" i="4"/>
  <c r="E465" i="4"/>
  <c r="D465" i="4"/>
  <c r="C465" i="4"/>
  <c r="G464" i="4"/>
  <c r="F464" i="4"/>
  <c r="D464" i="4"/>
  <c r="E464" i="4" s="1"/>
  <c r="C464" i="4"/>
  <c r="G463" i="4"/>
  <c r="F463" i="4"/>
  <c r="E463" i="4"/>
  <c r="D463" i="4"/>
  <c r="C463" i="4"/>
  <c r="G462" i="4"/>
  <c r="F462" i="4"/>
  <c r="D462" i="4"/>
  <c r="E462" i="4" s="1"/>
  <c r="C462" i="4"/>
  <c r="G461" i="4"/>
  <c r="F461" i="4"/>
  <c r="E461" i="4"/>
  <c r="D461" i="4"/>
  <c r="C461" i="4"/>
  <c r="G460" i="4"/>
  <c r="F460" i="4"/>
  <c r="D460" i="4"/>
  <c r="E460" i="4" s="1"/>
  <c r="C460" i="4"/>
  <c r="G459" i="4"/>
  <c r="F459" i="4"/>
  <c r="E459" i="4"/>
  <c r="D459" i="4"/>
  <c r="C459" i="4"/>
  <c r="G458" i="4"/>
  <c r="F458" i="4"/>
  <c r="D458" i="4"/>
  <c r="E458" i="4" s="1"/>
  <c r="C458" i="4"/>
  <c r="G457" i="4"/>
  <c r="F457" i="4"/>
  <c r="E457" i="4"/>
  <c r="D457" i="4"/>
  <c r="C457" i="4"/>
  <c r="G456" i="4"/>
  <c r="F456" i="4"/>
  <c r="D456" i="4"/>
  <c r="E456" i="4" s="1"/>
  <c r="C456" i="4"/>
  <c r="G455" i="4"/>
  <c r="F455" i="4"/>
  <c r="E455" i="4"/>
  <c r="D455" i="4"/>
  <c r="C455" i="4"/>
  <c r="G454" i="4"/>
  <c r="F454" i="4"/>
  <c r="D454" i="4"/>
  <c r="E454" i="4" s="1"/>
  <c r="C454" i="4"/>
  <c r="G453" i="4"/>
  <c r="F453" i="4"/>
  <c r="D453" i="4"/>
  <c r="E453" i="4" s="1"/>
  <c r="C453" i="4"/>
  <c r="G452" i="4"/>
  <c r="F452" i="4"/>
  <c r="E452" i="4"/>
  <c r="D452" i="4"/>
  <c r="C452" i="4"/>
  <c r="G451" i="4"/>
  <c r="F451" i="4"/>
  <c r="E451" i="4"/>
  <c r="D451" i="4"/>
  <c r="C451" i="4"/>
  <c r="G450" i="4"/>
  <c r="F450" i="4"/>
  <c r="D450" i="4"/>
  <c r="E450" i="4" s="1"/>
  <c r="C450" i="4"/>
  <c r="G449" i="4"/>
  <c r="F449" i="4"/>
  <c r="E449" i="4"/>
  <c r="D449" i="4"/>
  <c r="C449" i="4"/>
  <c r="G448" i="4"/>
  <c r="F448" i="4"/>
  <c r="D448" i="4"/>
  <c r="E448" i="4" s="1"/>
  <c r="C448" i="4"/>
  <c r="G447" i="4"/>
  <c r="F447" i="4"/>
  <c r="E447" i="4"/>
  <c r="D447" i="4"/>
  <c r="C447" i="4"/>
  <c r="G446" i="4"/>
  <c r="F446" i="4"/>
  <c r="D446" i="4"/>
  <c r="E446" i="4" s="1"/>
  <c r="C446" i="4"/>
  <c r="G445" i="4"/>
  <c r="F445" i="4"/>
  <c r="E445" i="4"/>
  <c r="D445" i="4"/>
  <c r="C445" i="4"/>
  <c r="G444" i="4"/>
  <c r="F444" i="4"/>
  <c r="D444" i="4"/>
  <c r="E444" i="4" s="1"/>
  <c r="C444" i="4"/>
  <c r="G443" i="4"/>
  <c r="F443" i="4"/>
  <c r="E443" i="4"/>
  <c r="D443" i="4"/>
  <c r="C443" i="4"/>
  <c r="G442" i="4"/>
  <c r="F442" i="4"/>
  <c r="D442" i="4"/>
  <c r="E442" i="4" s="1"/>
  <c r="C442" i="4"/>
  <c r="G441" i="4"/>
  <c r="F441" i="4"/>
  <c r="E441" i="4"/>
  <c r="D441" i="4"/>
  <c r="C441" i="4"/>
  <c r="G440" i="4"/>
  <c r="F440" i="4"/>
  <c r="D440" i="4"/>
  <c r="E440" i="4" s="1"/>
  <c r="C440" i="4"/>
  <c r="G439" i="4"/>
  <c r="F439" i="4"/>
  <c r="E439" i="4"/>
  <c r="D439" i="4"/>
  <c r="C439" i="4"/>
  <c r="G438" i="4"/>
  <c r="F438" i="4"/>
  <c r="D438" i="4"/>
  <c r="E438" i="4" s="1"/>
  <c r="C438" i="4"/>
  <c r="G437" i="4"/>
  <c r="F437" i="4"/>
  <c r="D437" i="4"/>
  <c r="E437" i="4" s="1"/>
  <c r="C437" i="4"/>
  <c r="G436" i="4"/>
  <c r="F436" i="4"/>
  <c r="E436" i="4"/>
  <c r="D436" i="4"/>
  <c r="C436" i="4"/>
  <c r="G435" i="4"/>
  <c r="F435" i="4"/>
  <c r="E435" i="4"/>
  <c r="D435" i="4"/>
  <c r="C435" i="4"/>
  <c r="G434" i="4"/>
  <c r="F434" i="4"/>
  <c r="D434" i="4"/>
  <c r="E434" i="4" s="1"/>
  <c r="C434" i="4"/>
  <c r="G433" i="4"/>
  <c r="F433" i="4"/>
  <c r="E433" i="4"/>
  <c r="D433" i="4"/>
  <c r="C433" i="4"/>
  <c r="G432" i="4"/>
  <c r="F432" i="4"/>
  <c r="D432" i="4"/>
  <c r="E432" i="4" s="1"/>
  <c r="C432" i="4"/>
  <c r="G431" i="4"/>
  <c r="F431" i="4"/>
  <c r="E431" i="4"/>
  <c r="D431" i="4"/>
  <c r="C431" i="4"/>
  <c r="G430" i="4"/>
  <c r="F430" i="4"/>
  <c r="D430" i="4"/>
  <c r="E430" i="4" s="1"/>
  <c r="C430" i="4"/>
  <c r="G429" i="4"/>
  <c r="F429" i="4"/>
  <c r="E429" i="4"/>
  <c r="D429" i="4"/>
  <c r="C429" i="4"/>
  <c r="G428" i="4"/>
  <c r="F428" i="4"/>
  <c r="D428" i="4"/>
  <c r="E428" i="4" s="1"/>
  <c r="C428" i="4"/>
  <c r="G427" i="4"/>
  <c r="F427" i="4"/>
  <c r="E427" i="4"/>
  <c r="D427" i="4"/>
  <c r="C427" i="4"/>
  <c r="G426" i="4"/>
  <c r="F426" i="4"/>
  <c r="D426" i="4"/>
  <c r="E426" i="4" s="1"/>
  <c r="C426" i="4"/>
  <c r="G425" i="4"/>
  <c r="F425" i="4"/>
  <c r="E425" i="4"/>
  <c r="D425" i="4"/>
  <c r="C425" i="4"/>
  <c r="G424" i="4"/>
  <c r="F424" i="4"/>
  <c r="D424" i="4"/>
  <c r="E424" i="4" s="1"/>
  <c r="C424" i="4"/>
  <c r="G423" i="4"/>
  <c r="F423" i="4"/>
  <c r="E423" i="4"/>
  <c r="D423" i="4"/>
  <c r="C423" i="4"/>
  <c r="G422" i="4"/>
  <c r="F422" i="4"/>
  <c r="D422" i="4"/>
  <c r="E422" i="4" s="1"/>
  <c r="C422" i="4"/>
  <c r="G421" i="4"/>
  <c r="F421" i="4"/>
  <c r="D421" i="4"/>
  <c r="E421" i="4" s="1"/>
  <c r="C421" i="4"/>
  <c r="G420" i="4"/>
  <c r="F420" i="4"/>
  <c r="E420" i="4"/>
  <c r="D420" i="4"/>
  <c r="C420" i="4"/>
  <c r="G419" i="4"/>
  <c r="F419" i="4"/>
  <c r="E419" i="4"/>
  <c r="D419" i="4"/>
  <c r="C419" i="4"/>
  <c r="G418" i="4"/>
  <c r="F418" i="4"/>
  <c r="D418" i="4"/>
  <c r="E418" i="4" s="1"/>
  <c r="C418" i="4"/>
  <c r="G417" i="4"/>
  <c r="F417" i="4"/>
  <c r="E417" i="4"/>
  <c r="D417" i="4"/>
  <c r="C417" i="4"/>
  <c r="G416" i="4"/>
  <c r="F416" i="4"/>
  <c r="D416" i="4"/>
  <c r="E416" i="4" s="1"/>
  <c r="C416" i="4"/>
  <c r="G415" i="4"/>
  <c r="F415" i="4"/>
  <c r="E415" i="4"/>
  <c r="D415" i="4"/>
  <c r="C415" i="4"/>
  <c r="G414" i="4"/>
  <c r="F414" i="4"/>
  <c r="D414" i="4"/>
  <c r="E414" i="4" s="1"/>
  <c r="C414" i="4"/>
  <c r="G413" i="4"/>
  <c r="F413" i="4"/>
  <c r="E413" i="4"/>
  <c r="D413" i="4"/>
  <c r="C413" i="4"/>
  <c r="G412" i="4"/>
  <c r="F412" i="4"/>
  <c r="D412" i="4"/>
  <c r="E412" i="4" s="1"/>
  <c r="C412" i="4"/>
  <c r="G411" i="4"/>
  <c r="F411" i="4"/>
  <c r="E411" i="4"/>
  <c r="D411" i="4"/>
  <c r="C411" i="4"/>
  <c r="G410" i="4"/>
  <c r="F410" i="4"/>
  <c r="D410" i="4"/>
  <c r="E410" i="4" s="1"/>
  <c r="C410" i="4"/>
  <c r="G409" i="4"/>
  <c r="F409" i="4"/>
  <c r="E409" i="4"/>
  <c r="D409" i="4"/>
  <c r="C409" i="4"/>
  <c r="G408" i="4"/>
  <c r="F408" i="4"/>
  <c r="E408" i="4"/>
  <c r="D408" i="4"/>
  <c r="C408" i="4"/>
  <c r="G407" i="4"/>
  <c r="F407" i="4"/>
  <c r="E407" i="4"/>
  <c r="D407" i="4"/>
  <c r="C407" i="4"/>
  <c r="G406" i="4"/>
  <c r="F406" i="4"/>
  <c r="D406" i="4"/>
  <c r="E406" i="4" s="1"/>
  <c r="C406" i="4"/>
  <c r="G405" i="4"/>
  <c r="F405" i="4"/>
  <c r="D405" i="4"/>
  <c r="E405" i="4" s="1"/>
  <c r="C405" i="4"/>
  <c r="G404" i="4"/>
  <c r="F404" i="4"/>
  <c r="E404" i="4"/>
  <c r="D404" i="4"/>
  <c r="C404" i="4"/>
  <c r="G403" i="4"/>
  <c r="F403" i="4"/>
  <c r="E403" i="4"/>
  <c r="D403" i="4"/>
  <c r="C403" i="4"/>
  <c r="G402" i="4"/>
  <c r="F402" i="4"/>
  <c r="D402" i="4"/>
  <c r="E402" i="4" s="1"/>
  <c r="C402" i="4"/>
  <c r="G401" i="4"/>
  <c r="F401" i="4"/>
  <c r="E401" i="4"/>
  <c r="D401" i="4"/>
  <c r="C401" i="4"/>
  <c r="G400" i="4"/>
  <c r="F400" i="4"/>
  <c r="D400" i="4"/>
  <c r="E400" i="4" s="1"/>
  <c r="C400" i="4"/>
  <c r="G399" i="4"/>
  <c r="F399" i="4"/>
  <c r="E399" i="4"/>
  <c r="D399" i="4"/>
  <c r="C399" i="4"/>
  <c r="G398" i="4"/>
  <c r="F398" i="4"/>
  <c r="D398" i="4"/>
  <c r="E398" i="4" s="1"/>
  <c r="C398" i="4"/>
  <c r="G397" i="4"/>
  <c r="F397" i="4"/>
  <c r="E397" i="4"/>
  <c r="D397" i="4"/>
  <c r="C397" i="4"/>
  <c r="G396" i="4"/>
  <c r="F396" i="4"/>
  <c r="D396" i="4"/>
  <c r="E396" i="4" s="1"/>
  <c r="C396" i="4"/>
  <c r="G395" i="4"/>
  <c r="F395" i="4"/>
  <c r="E395" i="4"/>
  <c r="D395" i="4"/>
  <c r="C395" i="4"/>
  <c r="G394" i="4"/>
  <c r="F394" i="4"/>
  <c r="D394" i="4"/>
  <c r="E394" i="4" s="1"/>
  <c r="C394" i="4"/>
  <c r="G393" i="4"/>
  <c r="F393" i="4"/>
  <c r="E393" i="4"/>
  <c r="D393" i="4"/>
  <c r="C393" i="4"/>
  <c r="G392" i="4"/>
  <c r="F392" i="4"/>
  <c r="D392" i="4"/>
  <c r="E392" i="4" s="1"/>
  <c r="C392" i="4"/>
  <c r="G391" i="4"/>
  <c r="F391" i="4"/>
  <c r="E391" i="4"/>
  <c r="D391" i="4"/>
  <c r="C391" i="4"/>
  <c r="G390" i="4"/>
  <c r="F390" i="4"/>
  <c r="D390" i="4"/>
  <c r="E390" i="4" s="1"/>
  <c r="C390" i="4"/>
  <c r="G389" i="4"/>
  <c r="F389" i="4"/>
  <c r="D389" i="4"/>
  <c r="E389" i="4" s="1"/>
  <c r="C389" i="4"/>
  <c r="G388" i="4"/>
  <c r="F388" i="4"/>
  <c r="E388" i="4"/>
  <c r="D388" i="4"/>
  <c r="C388" i="4"/>
  <c r="G387" i="4"/>
  <c r="F387" i="4"/>
  <c r="E387" i="4"/>
  <c r="D387" i="4"/>
  <c r="C387" i="4"/>
  <c r="G386" i="4"/>
  <c r="F386" i="4"/>
  <c r="D386" i="4"/>
  <c r="E386" i="4" s="1"/>
  <c r="C386" i="4"/>
  <c r="G385" i="4"/>
  <c r="F385" i="4"/>
  <c r="D385" i="4"/>
  <c r="E385" i="4" s="1"/>
  <c r="C385" i="4"/>
  <c r="G384" i="4"/>
  <c r="F384" i="4"/>
  <c r="D384" i="4"/>
  <c r="E384" i="4" s="1"/>
  <c r="C384" i="4"/>
  <c r="G383" i="4"/>
  <c r="F383" i="4"/>
  <c r="E383" i="4"/>
  <c r="D383" i="4"/>
  <c r="C383" i="4"/>
  <c r="G382" i="4"/>
  <c r="F382" i="4"/>
  <c r="D382" i="4"/>
  <c r="E382" i="4" s="1"/>
  <c r="C382" i="4"/>
  <c r="G381" i="4"/>
  <c r="F381" i="4"/>
  <c r="E381" i="4"/>
  <c r="D381" i="4"/>
  <c r="C381" i="4"/>
  <c r="G380" i="4"/>
  <c r="F380" i="4"/>
  <c r="D380" i="4"/>
  <c r="E380" i="4" s="1"/>
  <c r="C380" i="4"/>
  <c r="G379" i="4"/>
  <c r="F379" i="4"/>
  <c r="E379" i="4"/>
  <c r="D379" i="4"/>
  <c r="C379" i="4"/>
  <c r="G378" i="4"/>
  <c r="F378" i="4"/>
  <c r="D378" i="4"/>
  <c r="E378" i="4" s="1"/>
  <c r="C378" i="4"/>
  <c r="G377" i="4"/>
  <c r="F377" i="4"/>
  <c r="E377" i="4"/>
  <c r="D377" i="4"/>
  <c r="C377" i="4"/>
  <c r="G376" i="4"/>
  <c r="F376" i="4"/>
  <c r="D376" i="4"/>
  <c r="E376" i="4" s="1"/>
  <c r="C376" i="4"/>
  <c r="G375" i="4"/>
  <c r="F375" i="4"/>
  <c r="E375" i="4"/>
  <c r="D375" i="4"/>
  <c r="C375" i="4"/>
  <c r="G374" i="4"/>
  <c r="F374" i="4"/>
  <c r="D374" i="4"/>
  <c r="E374" i="4" s="1"/>
  <c r="C374" i="4"/>
  <c r="G373" i="4"/>
  <c r="F373" i="4"/>
  <c r="D373" i="4"/>
  <c r="E373" i="4" s="1"/>
  <c r="C373" i="4"/>
  <c r="G372" i="4"/>
  <c r="F372" i="4"/>
  <c r="E372" i="4"/>
  <c r="D372" i="4"/>
  <c r="C372" i="4"/>
  <c r="G371" i="4"/>
  <c r="F371" i="4"/>
  <c r="E371" i="4"/>
  <c r="D371" i="4"/>
  <c r="C371" i="4"/>
  <c r="G370" i="4"/>
  <c r="F370" i="4"/>
  <c r="D370" i="4"/>
  <c r="E370" i="4" s="1"/>
  <c r="C370" i="4"/>
  <c r="G369" i="4"/>
  <c r="F369" i="4"/>
  <c r="D369" i="4"/>
  <c r="E369" i="4" s="1"/>
  <c r="C369" i="4"/>
  <c r="G368" i="4"/>
  <c r="F368" i="4"/>
  <c r="D368" i="4"/>
  <c r="E368" i="4" s="1"/>
  <c r="C368" i="4"/>
  <c r="G367" i="4"/>
  <c r="F367" i="4"/>
  <c r="E367" i="4"/>
  <c r="D367" i="4"/>
  <c r="C367" i="4"/>
  <c r="G366" i="4"/>
  <c r="F366" i="4"/>
  <c r="D366" i="4"/>
  <c r="E366" i="4" s="1"/>
  <c r="C366" i="4"/>
  <c r="G365" i="4"/>
  <c r="F365" i="4"/>
  <c r="E365" i="4"/>
  <c r="D365" i="4"/>
  <c r="C365" i="4"/>
  <c r="G364" i="4"/>
  <c r="F364" i="4"/>
  <c r="D364" i="4"/>
  <c r="E364" i="4" s="1"/>
  <c r="C364" i="4"/>
  <c r="G363" i="4"/>
  <c r="F363" i="4"/>
  <c r="E363" i="4"/>
  <c r="D363" i="4"/>
  <c r="C363" i="4"/>
  <c r="G362" i="4"/>
  <c r="F362" i="4"/>
  <c r="D362" i="4"/>
  <c r="E362" i="4" s="1"/>
  <c r="C362" i="4"/>
  <c r="G361" i="4"/>
  <c r="F361" i="4"/>
  <c r="E361" i="4"/>
  <c r="D361" i="4"/>
  <c r="C361" i="4"/>
  <c r="G360" i="4"/>
  <c r="F360" i="4"/>
  <c r="E360" i="4"/>
  <c r="D360" i="4"/>
  <c r="C360" i="4"/>
  <c r="G359" i="4"/>
  <c r="F359" i="4"/>
  <c r="E359" i="4"/>
  <c r="D359" i="4"/>
  <c r="C359" i="4"/>
  <c r="G358" i="4"/>
  <c r="F358" i="4"/>
  <c r="D358" i="4"/>
  <c r="E358" i="4" s="1"/>
  <c r="C358" i="4"/>
  <c r="G357" i="4"/>
  <c r="F357" i="4"/>
  <c r="D357" i="4"/>
  <c r="E357" i="4" s="1"/>
  <c r="C357" i="4"/>
  <c r="G356" i="4"/>
  <c r="F356" i="4"/>
  <c r="E356" i="4"/>
  <c r="D356" i="4"/>
  <c r="C356" i="4"/>
  <c r="G355" i="4"/>
  <c r="F355" i="4"/>
  <c r="E355" i="4"/>
  <c r="D355" i="4"/>
  <c r="C355" i="4"/>
  <c r="G354" i="4"/>
  <c r="F354" i="4"/>
  <c r="D354" i="4"/>
  <c r="E354" i="4" s="1"/>
  <c r="C354" i="4"/>
  <c r="G353" i="4"/>
  <c r="F353" i="4"/>
  <c r="E353" i="4"/>
  <c r="D353" i="4"/>
  <c r="C353" i="4"/>
  <c r="G352" i="4"/>
  <c r="F352" i="4"/>
  <c r="E352" i="4"/>
  <c r="D352" i="4"/>
  <c r="C352" i="4"/>
  <c r="G351" i="4"/>
  <c r="F351" i="4"/>
  <c r="E351" i="4"/>
  <c r="D351" i="4"/>
  <c r="C351" i="4"/>
  <c r="G350" i="4"/>
  <c r="F350" i="4"/>
  <c r="D350" i="4"/>
  <c r="E350" i="4" s="1"/>
  <c r="C350" i="4"/>
  <c r="G349" i="4"/>
  <c r="F349" i="4"/>
  <c r="E349" i="4"/>
  <c r="D349" i="4"/>
  <c r="C349" i="4"/>
  <c r="G348" i="4"/>
  <c r="F348" i="4"/>
  <c r="D348" i="4"/>
  <c r="E348" i="4" s="1"/>
  <c r="C348" i="4"/>
  <c r="G347" i="4"/>
  <c r="F347" i="4"/>
  <c r="E347" i="4"/>
  <c r="D347" i="4"/>
  <c r="C347" i="4"/>
  <c r="G346" i="4"/>
  <c r="F346" i="4"/>
  <c r="D346" i="4"/>
  <c r="E346" i="4" s="1"/>
  <c r="C346" i="4"/>
  <c r="G345" i="4"/>
  <c r="F345" i="4"/>
  <c r="E345" i="4"/>
  <c r="D345" i="4"/>
  <c r="C345" i="4"/>
  <c r="G344" i="4"/>
  <c r="F344" i="4"/>
  <c r="E344" i="4"/>
  <c r="D344" i="4"/>
  <c r="C344" i="4"/>
  <c r="G343" i="4"/>
  <c r="F343" i="4"/>
  <c r="E343" i="4"/>
  <c r="D343" i="4"/>
  <c r="C343" i="4"/>
  <c r="G342" i="4"/>
  <c r="F342" i="4"/>
  <c r="D342" i="4"/>
  <c r="E342" i="4" s="1"/>
  <c r="C342" i="4"/>
  <c r="G341" i="4"/>
  <c r="F341" i="4"/>
  <c r="E341" i="4"/>
  <c r="D341" i="4"/>
  <c r="C341" i="4"/>
  <c r="G340" i="4"/>
  <c r="F340" i="4"/>
  <c r="E340" i="4"/>
  <c r="D340" i="4"/>
  <c r="C340" i="4"/>
  <c r="G339" i="4"/>
  <c r="F339" i="4"/>
  <c r="E339" i="4"/>
  <c r="D339" i="4"/>
  <c r="C339" i="4"/>
  <c r="G338" i="4"/>
  <c r="F338" i="4"/>
  <c r="D338" i="4"/>
  <c r="E338" i="4" s="1"/>
  <c r="C338" i="4"/>
  <c r="G337" i="4"/>
  <c r="F337" i="4"/>
  <c r="D337" i="4"/>
  <c r="E337" i="4" s="1"/>
  <c r="C337" i="4"/>
  <c r="G336" i="4"/>
  <c r="F336" i="4"/>
  <c r="E336" i="4"/>
  <c r="D336" i="4"/>
  <c r="C336" i="4"/>
  <c r="G335" i="4"/>
  <c r="F335" i="4"/>
  <c r="E335" i="4"/>
  <c r="D335" i="4"/>
  <c r="C335" i="4"/>
  <c r="G334" i="4"/>
  <c r="F334" i="4"/>
  <c r="D334" i="4"/>
  <c r="E334" i="4" s="1"/>
  <c r="C334" i="4"/>
  <c r="G333" i="4"/>
  <c r="F333" i="4"/>
  <c r="D333" i="4"/>
  <c r="E333" i="4" s="1"/>
  <c r="C333" i="4"/>
  <c r="G332" i="4"/>
  <c r="F332" i="4"/>
  <c r="D332" i="4"/>
  <c r="E332" i="4" s="1"/>
  <c r="C332" i="4"/>
  <c r="G331" i="4"/>
  <c r="F331" i="4"/>
  <c r="E331" i="4"/>
  <c r="D331" i="4"/>
  <c r="C331" i="4"/>
  <c r="G330" i="4"/>
  <c r="F330" i="4"/>
  <c r="D330" i="4"/>
  <c r="E330" i="4" s="1"/>
  <c r="C330" i="4"/>
  <c r="G329" i="4"/>
  <c r="F329" i="4"/>
  <c r="E329" i="4"/>
  <c r="D329" i="4"/>
  <c r="C329" i="4"/>
  <c r="G328" i="4"/>
  <c r="F328" i="4"/>
  <c r="E328" i="4"/>
  <c r="D328" i="4"/>
  <c r="C328" i="4"/>
  <c r="G327" i="4"/>
  <c r="F327" i="4"/>
  <c r="E327" i="4"/>
  <c r="D327" i="4"/>
  <c r="C327" i="4"/>
  <c r="G326" i="4"/>
  <c r="F326" i="4"/>
  <c r="D326" i="4"/>
  <c r="E326" i="4" s="1"/>
  <c r="C326" i="4"/>
  <c r="G325" i="4"/>
  <c r="F325" i="4"/>
  <c r="E325" i="4"/>
  <c r="D325" i="4"/>
  <c r="C325" i="4"/>
  <c r="G324" i="4"/>
  <c r="F324" i="4"/>
  <c r="E324" i="4"/>
  <c r="D324" i="4"/>
  <c r="C324" i="4"/>
  <c r="G323" i="4"/>
  <c r="F323" i="4"/>
  <c r="E323" i="4"/>
  <c r="D323" i="4"/>
  <c r="C323" i="4"/>
  <c r="G322" i="4"/>
  <c r="F322" i="4"/>
  <c r="D322" i="4"/>
  <c r="E322" i="4" s="1"/>
  <c r="C322" i="4"/>
  <c r="G321" i="4"/>
  <c r="F321" i="4"/>
  <c r="D321" i="4"/>
  <c r="E321" i="4" s="1"/>
  <c r="C321" i="4"/>
  <c r="G320" i="4"/>
  <c r="F320" i="4"/>
  <c r="D320" i="4"/>
  <c r="E320" i="4" s="1"/>
  <c r="C320" i="4"/>
  <c r="G319" i="4"/>
  <c r="F319" i="4"/>
  <c r="E319" i="4"/>
  <c r="D319" i="4"/>
  <c r="C319" i="4"/>
  <c r="G318" i="4"/>
  <c r="F318" i="4"/>
  <c r="D318" i="4"/>
  <c r="E318" i="4" s="1"/>
  <c r="C318" i="4"/>
  <c r="G317" i="4"/>
  <c r="F317" i="4"/>
  <c r="D317" i="4"/>
  <c r="E317" i="4" s="1"/>
  <c r="C317" i="4"/>
  <c r="G316" i="4"/>
  <c r="F316" i="4"/>
  <c r="D316" i="4"/>
  <c r="E316" i="4" s="1"/>
  <c r="C316" i="4"/>
  <c r="G315" i="4"/>
  <c r="F315" i="4"/>
  <c r="E315" i="4"/>
  <c r="D315" i="4"/>
  <c r="C315" i="4"/>
  <c r="G314" i="4"/>
  <c r="F314" i="4"/>
  <c r="D314" i="4"/>
  <c r="E314" i="4" s="1"/>
  <c r="C314" i="4"/>
  <c r="G313" i="4"/>
  <c r="F313" i="4"/>
  <c r="E313" i="4"/>
  <c r="D313" i="4"/>
  <c r="C313" i="4"/>
  <c r="G312" i="4"/>
  <c r="F312" i="4"/>
  <c r="E312" i="4"/>
  <c r="D312" i="4"/>
  <c r="C312" i="4"/>
  <c r="G311" i="4"/>
  <c r="F311" i="4"/>
  <c r="E311" i="4"/>
  <c r="D311" i="4"/>
  <c r="C311" i="4"/>
  <c r="G310" i="4"/>
  <c r="F310" i="4"/>
  <c r="D310" i="4"/>
  <c r="E310" i="4" s="1"/>
  <c r="C310" i="4"/>
  <c r="G309" i="4"/>
  <c r="F309" i="4"/>
  <c r="D309" i="4"/>
  <c r="E309" i="4" s="1"/>
  <c r="C309" i="4"/>
  <c r="G308" i="4"/>
  <c r="F308" i="4"/>
  <c r="E308" i="4"/>
  <c r="D308" i="4"/>
  <c r="C308" i="4"/>
  <c r="G307" i="4"/>
  <c r="F307" i="4"/>
  <c r="E307" i="4"/>
  <c r="D307" i="4"/>
  <c r="C307" i="4"/>
  <c r="G306" i="4"/>
  <c r="F306" i="4"/>
  <c r="D306" i="4"/>
  <c r="E306" i="4" s="1"/>
  <c r="C306" i="4"/>
  <c r="G305" i="4"/>
  <c r="F305" i="4"/>
  <c r="E305" i="4"/>
  <c r="D305" i="4"/>
  <c r="C305" i="4"/>
  <c r="G304" i="4"/>
  <c r="F304" i="4"/>
  <c r="D304" i="4"/>
  <c r="E304" i="4" s="1"/>
  <c r="C304" i="4"/>
  <c r="G303" i="4"/>
  <c r="F303" i="4"/>
  <c r="E303" i="4"/>
  <c r="D303" i="4"/>
  <c r="C303" i="4"/>
  <c r="G302" i="4"/>
  <c r="F302" i="4"/>
  <c r="D302" i="4"/>
  <c r="E302" i="4" s="1"/>
  <c r="C302" i="4"/>
  <c r="G301" i="4"/>
  <c r="F301" i="4"/>
  <c r="D301" i="4"/>
  <c r="E301" i="4" s="1"/>
  <c r="C301" i="4"/>
  <c r="G300" i="4"/>
  <c r="F300" i="4"/>
  <c r="D300" i="4"/>
  <c r="E300" i="4" s="1"/>
  <c r="C300" i="4"/>
  <c r="G299" i="4"/>
  <c r="F299" i="4"/>
  <c r="E299" i="4"/>
  <c r="D299" i="4"/>
  <c r="C299" i="4"/>
  <c r="G298" i="4"/>
  <c r="F298" i="4"/>
  <c r="D298" i="4"/>
  <c r="E298" i="4" s="1"/>
  <c r="C298" i="4"/>
  <c r="G297" i="4"/>
  <c r="F297" i="4"/>
  <c r="E297" i="4"/>
  <c r="D297" i="4"/>
  <c r="C297" i="4"/>
  <c r="G296" i="4"/>
  <c r="F296" i="4"/>
  <c r="D296" i="4"/>
  <c r="E296" i="4" s="1"/>
  <c r="C296" i="4"/>
  <c r="G295" i="4"/>
  <c r="F295" i="4"/>
  <c r="E295" i="4"/>
  <c r="D295" i="4"/>
  <c r="C295" i="4"/>
  <c r="G294" i="4"/>
  <c r="F294" i="4"/>
  <c r="D294" i="4"/>
  <c r="E294" i="4" s="1"/>
  <c r="C294" i="4"/>
  <c r="G293" i="4"/>
  <c r="F293" i="4"/>
  <c r="D293" i="4"/>
  <c r="E293" i="4" s="1"/>
  <c r="C293" i="4"/>
  <c r="G292" i="4"/>
  <c r="F292" i="4"/>
  <c r="D292" i="4"/>
  <c r="E292" i="4" s="1"/>
  <c r="C292" i="4"/>
  <c r="G291" i="4"/>
  <c r="F291" i="4"/>
  <c r="E291" i="4"/>
  <c r="D291" i="4"/>
  <c r="C291" i="4"/>
  <c r="G290" i="4"/>
  <c r="F290" i="4"/>
  <c r="D290" i="4"/>
  <c r="E290" i="4" s="1"/>
  <c r="C290" i="4"/>
  <c r="G289" i="4"/>
  <c r="F289" i="4"/>
  <c r="D289" i="4"/>
  <c r="E289" i="4" s="1"/>
  <c r="C289" i="4"/>
  <c r="G288" i="4"/>
  <c r="F288" i="4"/>
  <c r="E288" i="4"/>
  <c r="D288" i="4"/>
  <c r="C288" i="4"/>
  <c r="G287" i="4"/>
  <c r="F287" i="4"/>
  <c r="E287" i="4"/>
  <c r="D287" i="4"/>
  <c r="C287" i="4"/>
  <c r="G286" i="4"/>
  <c r="F286" i="4"/>
  <c r="D286" i="4"/>
  <c r="E286" i="4" s="1"/>
  <c r="C286" i="4"/>
  <c r="G285" i="4"/>
  <c r="F285" i="4"/>
  <c r="D285" i="4"/>
  <c r="E285" i="4" s="1"/>
  <c r="C285" i="4"/>
  <c r="G284" i="4"/>
  <c r="F284" i="4"/>
  <c r="D284" i="4"/>
  <c r="E284" i="4" s="1"/>
  <c r="C284" i="4"/>
  <c r="G283" i="4"/>
  <c r="F283" i="4"/>
  <c r="E283" i="4"/>
  <c r="D283" i="4"/>
  <c r="C283" i="4"/>
  <c r="G282" i="4"/>
  <c r="F282" i="4"/>
  <c r="D282" i="4"/>
  <c r="E282" i="4" s="1"/>
  <c r="C282" i="4"/>
  <c r="G281" i="4"/>
  <c r="F281" i="4"/>
  <c r="E281" i="4"/>
  <c r="D281" i="4"/>
  <c r="C281" i="4"/>
  <c r="G280" i="4"/>
  <c r="F280" i="4"/>
  <c r="D280" i="4"/>
  <c r="E280" i="4" s="1"/>
  <c r="C280" i="4"/>
  <c r="G279" i="4"/>
  <c r="F279" i="4"/>
  <c r="E279" i="4"/>
  <c r="D279" i="4"/>
  <c r="C279" i="4"/>
  <c r="G278" i="4"/>
  <c r="F278" i="4"/>
  <c r="D278" i="4"/>
  <c r="E278" i="4" s="1"/>
  <c r="C278" i="4"/>
  <c r="G277" i="4"/>
  <c r="F277" i="4"/>
  <c r="D277" i="4"/>
  <c r="E277" i="4" s="1"/>
  <c r="C277" i="4"/>
  <c r="G276" i="4"/>
  <c r="F276" i="4"/>
  <c r="D276" i="4"/>
  <c r="E276" i="4" s="1"/>
  <c r="C276" i="4"/>
  <c r="G275" i="4"/>
  <c r="F275" i="4"/>
  <c r="E275" i="4"/>
  <c r="D275" i="4"/>
  <c r="C275" i="4"/>
  <c r="G274" i="4"/>
  <c r="F274" i="4"/>
  <c r="D274" i="4"/>
  <c r="E274" i="4" s="1"/>
  <c r="C274" i="4"/>
  <c r="G273" i="4"/>
  <c r="F273" i="4"/>
  <c r="D273" i="4"/>
  <c r="E273" i="4" s="1"/>
  <c r="C273" i="4"/>
  <c r="G272" i="4"/>
  <c r="F272" i="4"/>
  <c r="D272" i="4"/>
  <c r="E272" i="4" s="1"/>
  <c r="C272" i="4"/>
  <c r="G271" i="4"/>
  <c r="F271" i="4"/>
  <c r="E271" i="4"/>
  <c r="D271" i="4"/>
  <c r="C271" i="4"/>
  <c r="G270" i="4"/>
  <c r="F270" i="4"/>
  <c r="D270" i="4"/>
  <c r="E270" i="4" s="1"/>
  <c r="C270" i="4"/>
  <c r="G269" i="4"/>
  <c r="F269" i="4"/>
  <c r="E269" i="4"/>
  <c r="D269" i="4"/>
  <c r="C269" i="4"/>
  <c r="G268" i="4"/>
  <c r="F268" i="4"/>
  <c r="D268" i="4"/>
  <c r="E268" i="4" s="1"/>
  <c r="C268" i="4"/>
  <c r="G267" i="4"/>
  <c r="F267" i="4"/>
  <c r="E267" i="4"/>
  <c r="D267" i="4"/>
  <c r="C267" i="4"/>
  <c r="G266" i="4"/>
  <c r="F266" i="4"/>
  <c r="D266" i="4"/>
  <c r="E266" i="4" s="1"/>
  <c r="C266" i="4"/>
  <c r="G265" i="4"/>
  <c r="F265" i="4"/>
  <c r="E265" i="4"/>
  <c r="D265" i="4"/>
  <c r="C265" i="4"/>
  <c r="G264" i="4"/>
  <c r="F264" i="4"/>
  <c r="E264" i="4"/>
  <c r="D264" i="4"/>
  <c r="C264" i="4"/>
  <c r="G263" i="4"/>
  <c r="F263" i="4"/>
  <c r="E263" i="4"/>
  <c r="D263" i="4"/>
  <c r="C263" i="4"/>
  <c r="G262" i="4"/>
  <c r="F262" i="4"/>
  <c r="D262" i="4"/>
  <c r="E262" i="4" s="1"/>
  <c r="C262" i="4"/>
  <c r="G261" i="4"/>
  <c r="F261" i="4"/>
  <c r="D261" i="4"/>
  <c r="E261" i="4" s="1"/>
  <c r="C261" i="4"/>
  <c r="G260" i="4"/>
  <c r="F260" i="4"/>
  <c r="D260" i="4"/>
  <c r="E260" i="4" s="1"/>
  <c r="C260" i="4"/>
  <c r="G259" i="4"/>
  <c r="F259" i="4"/>
  <c r="E259" i="4"/>
  <c r="D259" i="4"/>
  <c r="C259" i="4"/>
  <c r="G258" i="4"/>
  <c r="F258" i="4"/>
  <c r="D258" i="4"/>
  <c r="E258" i="4" s="1"/>
  <c r="C258" i="4"/>
  <c r="G257" i="4"/>
  <c r="F257" i="4"/>
  <c r="E257" i="4"/>
  <c r="D257" i="4"/>
  <c r="C257" i="4"/>
  <c r="G256" i="4"/>
  <c r="F256" i="4"/>
  <c r="D256" i="4"/>
  <c r="E256" i="4" s="1"/>
  <c r="C256" i="4"/>
  <c r="G255" i="4"/>
  <c r="F255" i="4"/>
  <c r="E255" i="4"/>
  <c r="D255" i="4"/>
  <c r="C255" i="4"/>
  <c r="G254" i="4"/>
  <c r="F254" i="4"/>
  <c r="D254" i="4"/>
  <c r="E254" i="4" s="1"/>
  <c r="C254" i="4"/>
  <c r="G253" i="4"/>
  <c r="F253" i="4"/>
  <c r="E253" i="4"/>
  <c r="D253" i="4"/>
  <c r="C253" i="4"/>
  <c r="G252" i="4"/>
  <c r="F252" i="4"/>
  <c r="D252" i="4"/>
  <c r="E252" i="4" s="1"/>
  <c r="C252" i="4"/>
  <c r="G251" i="4"/>
  <c r="F251" i="4"/>
  <c r="E251" i="4"/>
  <c r="D251" i="4"/>
  <c r="C251" i="4"/>
  <c r="G250" i="4"/>
  <c r="F250" i="4"/>
  <c r="D250" i="4"/>
  <c r="E250" i="4" s="1"/>
  <c r="C250" i="4"/>
  <c r="G249" i="4"/>
  <c r="F249" i="4"/>
  <c r="E249" i="4"/>
  <c r="D249" i="4"/>
  <c r="C249" i="4"/>
  <c r="G248" i="4"/>
  <c r="F248" i="4"/>
  <c r="D248" i="4"/>
  <c r="E248" i="4" s="1"/>
  <c r="C248" i="4"/>
  <c r="G247" i="4"/>
  <c r="F247" i="4"/>
  <c r="E247" i="4"/>
  <c r="D247" i="4"/>
  <c r="C247" i="4"/>
  <c r="G246" i="4"/>
  <c r="F246" i="4"/>
  <c r="D246" i="4"/>
  <c r="E246" i="4" s="1"/>
  <c r="C246" i="4"/>
  <c r="G245" i="4"/>
  <c r="F245" i="4"/>
  <c r="E245" i="4"/>
  <c r="D245" i="4"/>
  <c r="C245" i="4"/>
  <c r="G244" i="4"/>
  <c r="F244" i="4"/>
  <c r="D244" i="4"/>
  <c r="E244" i="4" s="1"/>
  <c r="C244" i="4"/>
  <c r="G243" i="4"/>
  <c r="F243" i="4"/>
  <c r="E243" i="4"/>
  <c r="D243" i="4"/>
  <c r="C243" i="4"/>
  <c r="G242" i="4"/>
  <c r="F242" i="4"/>
  <c r="D242" i="4"/>
  <c r="E242" i="4" s="1"/>
  <c r="C242" i="4"/>
  <c r="G241" i="4"/>
  <c r="F241" i="4"/>
  <c r="E241" i="4"/>
  <c r="D241" i="4"/>
  <c r="C241" i="4"/>
  <c r="G240" i="4"/>
  <c r="F240" i="4"/>
  <c r="E240" i="4"/>
  <c r="D240" i="4"/>
  <c r="C240" i="4"/>
  <c r="G239" i="4"/>
  <c r="F239" i="4"/>
  <c r="E239" i="4"/>
  <c r="D239" i="4"/>
  <c r="C239" i="4"/>
  <c r="G238" i="4"/>
  <c r="F238" i="4"/>
  <c r="D238" i="4"/>
  <c r="E238" i="4" s="1"/>
  <c r="C238" i="4"/>
  <c r="G237" i="4"/>
  <c r="F237" i="4"/>
  <c r="E237" i="4"/>
  <c r="D237" i="4"/>
  <c r="C237" i="4"/>
  <c r="G236" i="4"/>
  <c r="F236" i="4"/>
  <c r="D236" i="4"/>
  <c r="E236" i="4" s="1"/>
  <c r="C236" i="4"/>
  <c r="G235" i="4"/>
  <c r="F235" i="4"/>
  <c r="E235" i="4"/>
  <c r="D235" i="4"/>
  <c r="C235" i="4"/>
  <c r="G234" i="4"/>
  <c r="F234" i="4"/>
  <c r="D234" i="4"/>
  <c r="E234" i="4" s="1"/>
  <c r="C234" i="4"/>
  <c r="G233" i="4"/>
  <c r="F233" i="4"/>
  <c r="E233" i="4"/>
  <c r="D233" i="4"/>
  <c r="C233" i="4"/>
  <c r="G232" i="4"/>
  <c r="F232" i="4"/>
  <c r="D232" i="4"/>
  <c r="E232" i="4" s="1"/>
  <c r="C232" i="4"/>
  <c r="G231" i="4"/>
  <c r="F231" i="4"/>
  <c r="E231" i="4"/>
  <c r="D231" i="4"/>
  <c r="C231" i="4"/>
  <c r="G230" i="4"/>
  <c r="F230" i="4"/>
  <c r="D230" i="4"/>
  <c r="E230" i="4" s="1"/>
  <c r="C230" i="4"/>
  <c r="G229" i="4"/>
  <c r="F229" i="4"/>
  <c r="E229" i="4"/>
  <c r="D229" i="4"/>
  <c r="C229" i="4"/>
  <c r="G228" i="4"/>
  <c r="F228" i="4"/>
  <c r="E228" i="4"/>
  <c r="D228" i="4"/>
  <c r="C228" i="4"/>
  <c r="G227" i="4"/>
  <c r="F227" i="4"/>
  <c r="E227" i="4"/>
  <c r="D227" i="4"/>
  <c r="C227" i="4"/>
  <c r="G226" i="4"/>
  <c r="F226" i="4"/>
  <c r="D226" i="4"/>
  <c r="E226" i="4" s="1"/>
  <c r="C226" i="4"/>
  <c r="G225" i="4"/>
  <c r="F225" i="4"/>
  <c r="E225" i="4"/>
  <c r="D225" i="4"/>
  <c r="C225" i="4"/>
  <c r="G224" i="4"/>
  <c r="F224" i="4"/>
  <c r="E224" i="4"/>
  <c r="D224" i="4"/>
  <c r="C224" i="4"/>
  <c r="G223" i="4"/>
  <c r="F223" i="4"/>
  <c r="E223" i="4"/>
  <c r="D223" i="4"/>
  <c r="C223" i="4"/>
  <c r="G222" i="4"/>
  <c r="F222" i="4"/>
  <c r="D222" i="4"/>
  <c r="E222" i="4" s="1"/>
  <c r="C222" i="4"/>
  <c r="G221" i="4"/>
  <c r="F221" i="4"/>
  <c r="D221" i="4"/>
  <c r="E221" i="4" s="1"/>
  <c r="C221" i="4"/>
  <c r="G220" i="4"/>
  <c r="F220" i="4"/>
  <c r="D220" i="4"/>
  <c r="E220" i="4" s="1"/>
  <c r="C220" i="4"/>
  <c r="G219" i="4"/>
  <c r="F219" i="4"/>
  <c r="E219" i="4"/>
  <c r="D219" i="4"/>
  <c r="C219" i="4"/>
  <c r="G218" i="4"/>
  <c r="F218" i="4"/>
  <c r="D218" i="4"/>
  <c r="E218" i="4" s="1"/>
  <c r="C218" i="4"/>
  <c r="G217" i="4"/>
  <c r="F217" i="4"/>
  <c r="E217" i="4"/>
  <c r="D217" i="4"/>
  <c r="C217" i="4"/>
  <c r="G216" i="4"/>
  <c r="F216" i="4"/>
  <c r="E216" i="4"/>
  <c r="D216" i="4"/>
  <c r="C216" i="4"/>
  <c r="G215" i="4"/>
  <c r="F215" i="4"/>
  <c r="E215" i="4"/>
  <c r="D215" i="4"/>
  <c r="C215" i="4"/>
  <c r="G214" i="4"/>
  <c r="F214" i="4"/>
  <c r="D214" i="4"/>
  <c r="E214" i="4" s="1"/>
  <c r="C214" i="4"/>
  <c r="G213" i="4"/>
  <c r="F213" i="4"/>
  <c r="E213" i="4"/>
  <c r="D213" i="4"/>
  <c r="C213" i="4"/>
  <c r="G212" i="4"/>
  <c r="F212" i="4"/>
  <c r="E212" i="4"/>
  <c r="D212" i="4"/>
  <c r="C212" i="4"/>
  <c r="G211" i="4"/>
  <c r="F211" i="4"/>
  <c r="E211" i="4"/>
  <c r="D211" i="4"/>
  <c r="C211" i="4"/>
  <c r="G210" i="4"/>
  <c r="F210" i="4"/>
  <c r="D210" i="4"/>
  <c r="E210" i="4" s="1"/>
  <c r="C210" i="4"/>
  <c r="G209" i="4"/>
  <c r="F209" i="4"/>
  <c r="E209" i="4"/>
  <c r="D209" i="4"/>
  <c r="C209" i="4"/>
  <c r="G208" i="4"/>
  <c r="F208" i="4"/>
  <c r="E208" i="4"/>
  <c r="D208" i="4"/>
  <c r="C208" i="4"/>
  <c r="G207" i="4"/>
  <c r="F207" i="4"/>
  <c r="E207" i="4"/>
  <c r="D207" i="4"/>
  <c r="C207" i="4"/>
  <c r="G206" i="4"/>
  <c r="F206" i="4"/>
  <c r="D206" i="4"/>
  <c r="E206" i="4" s="1"/>
  <c r="C206" i="4"/>
  <c r="G205" i="4"/>
  <c r="F205" i="4"/>
  <c r="D205" i="4"/>
  <c r="E205" i="4" s="1"/>
  <c r="C205" i="4"/>
  <c r="G204" i="4"/>
  <c r="F204" i="4"/>
  <c r="D204" i="4"/>
  <c r="E204" i="4" s="1"/>
  <c r="C204" i="4"/>
  <c r="G203" i="4"/>
  <c r="F203" i="4"/>
  <c r="E203" i="4"/>
  <c r="D203" i="4"/>
  <c r="C203" i="4"/>
  <c r="G202" i="4"/>
  <c r="F202" i="4"/>
  <c r="D202" i="4"/>
  <c r="E202" i="4" s="1"/>
  <c r="C202" i="4"/>
  <c r="G201" i="4"/>
  <c r="F201" i="4"/>
  <c r="E201" i="4"/>
  <c r="D201" i="4"/>
  <c r="C201" i="4"/>
  <c r="G200" i="4"/>
  <c r="F200" i="4"/>
  <c r="E200" i="4"/>
  <c r="D200" i="4"/>
  <c r="C200" i="4"/>
  <c r="G199" i="4"/>
  <c r="F199" i="4"/>
  <c r="E199" i="4"/>
  <c r="D199" i="4"/>
  <c r="C199" i="4"/>
  <c r="G198" i="4"/>
  <c r="F198" i="4"/>
  <c r="D198" i="4"/>
  <c r="E198" i="4" s="1"/>
  <c r="C198" i="4"/>
  <c r="G197" i="4"/>
  <c r="F197" i="4"/>
  <c r="D197" i="4"/>
  <c r="E197" i="4" s="1"/>
  <c r="C197" i="4"/>
  <c r="G196" i="4"/>
  <c r="F196" i="4"/>
  <c r="E196" i="4"/>
  <c r="D196" i="4"/>
  <c r="C196" i="4"/>
  <c r="G195" i="4"/>
  <c r="F195" i="4"/>
  <c r="E195" i="4"/>
  <c r="D195" i="4"/>
  <c r="C195" i="4"/>
  <c r="G194" i="4"/>
  <c r="F194" i="4"/>
  <c r="D194" i="4"/>
  <c r="E194" i="4" s="1"/>
  <c r="C194" i="4"/>
  <c r="G193" i="4"/>
  <c r="F193" i="4"/>
  <c r="D193" i="4"/>
  <c r="E193" i="4" s="1"/>
  <c r="C193" i="4"/>
  <c r="G192" i="4"/>
  <c r="F192" i="4"/>
  <c r="E192" i="4"/>
  <c r="D192" i="4"/>
  <c r="C192" i="4"/>
  <c r="G191" i="4"/>
  <c r="F191" i="4"/>
  <c r="E191" i="4"/>
  <c r="D191" i="4"/>
  <c r="C191" i="4"/>
  <c r="G190" i="4"/>
  <c r="F190" i="4"/>
  <c r="D190" i="4"/>
  <c r="E190" i="4" s="1"/>
  <c r="C190" i="4"/>
  <c r="G189" i="4"/>
  <c r="F189" i="4"/>
  <c r="E189" i="4"/>
  <c r="D189" i="4"/>
  <c r="C189" i="4"/>
  <c r="G188" i="4"/>
  <c r="F188" i="4"/>
  <c r="D188" i="4"/>
  <c r="E188" i="4" s="1"/>
  <c r="C188" i="4"/>
  <c r="G187" i="4"/>
  <c r="F187" i="4"/>
  <c r="E187" i="4"/>
  <c r="D187" i="4"/>
  <c r="C187" i="4"/>
  <c r="G186" i="4"/>
  <c r="F186" i="4"/>
  <c r="D186" i="4"/>
  <c r="E186" i="4" s="1"/>
  <c r="C186" i="4"/>
  <c r="G185" i="4"/>
  <c r="F185" i="4"/>
  <c r="E185" i="4"/>
  <c r="D185" i="4"/>
  <c r="C185" i="4"/>
  <c r="G184" i="4"/>
  <c r="F184" i="4"/>
  <c r="E184" i="4"/>
  <c r="D184" i="4"/>
  <c r="C184" i="4"/>
  <c r="G183" i="4"/>
  <c r="F183" i="4"/>
  <c r="E183" i="4"/>
  <c r="D183" i="4"/>
  <c r="C183" i="4"/>
  <c r="G182" i="4"/>
  <c r="F182" i="4"/>
  <c r="D182" i="4"/>
  <c r="E182" i="4" s="1"/>
  <c r="C182" i="4"/>
  <c r="G181" i="4"/>
  <c r="F181" i="4"/>
  <c r="D181" i="4"/>
  <c r="E181" i="4" s="1"/>
  <c r="C181" i="4"/>
  <c r="G180" i="4"/>
  <c r="F180" i="4"/>
  <c r="D180" i="4"/>
  <c r="E180" i="4" s="1"/>
  <c r="C180" i="4"/>
  <c r="G179" i="4"/>
  <c r="F179" i="4"/>
  <c r="E179" i="4"/>
  <c r="D179" i="4"/>
  <c r="C179" i="4"/>
  <c r="G178" i="4"/>
  <c r="F178" i="4"/>
  <c r="D178" i="4"/>
  <c r="E178" i="4" s="1"/>
  <c r="C178" i="4"/>
  <c r="G177" i="4"/>
  <c r="F177" i="4"/>
  <c r="D177" i="4"/>
  <c r="E177" i="4" s="1"/>
  <c r="C177" i="4"/>
  <c r="G176" i="4"/>
  <c r="F176" i="4"/>
  <c r="D176" i="4"/>
  <c r="E176" i="4" s="1"/>
  <c r="C176" i="4"/>
  <c r="G175" i="4"/>
  <c r="F175" i="4"/>
  <c r="E175" i="4"/>
  <c r="D175" i="4"/>
  <c r="C175" i="4"/>
  <c r="G174" i="4"/>
  <c r="F174" i="4"/>
  <c r="D174" i="4"/>
  <c r="E174" i="4" s="1"/>
  <c r="C174" i="4"/>
  <c r="G173" i="4"/>
  <c r="F173" i="4"/>
  <c r="D173" i="4"/>
  <c r="E173" i="4" s="1"/>
  <c r="C173" i="4"/>
  <c r="G172" i="4"/>
  <c r="F172" i="4"/>
  <c r="D172" i="4"/>
  <c r="E172" i="4" s="1"/>
  <c r="C172" i="4"/>
  <c r="G171" i="4"/>
  <c r="F171" i="4"/>
  <c r="E171" i="4"/>
  <c r="D171" i="4"/>
  <c r="C171" i="4"/>
  <c r="G170" i="4"/>
  <c r="F170" i="4"/>
  <c r="D170" i="4"/>
  <c r="E170" i="4" s="1"/>
  <c r="C170" i="4"/>
  <c r="G169" i="4"/>
  <c r="F169" i="4"/>
  <c r="E169" i="4"/>
  <c r="D169" i="4"/>
  <c r="C169" i="4"/>
  <c r="G168" i="4"/>
  <c r="F168" i="4"/>
  <c r="E168" i="4"/>
  <c r="D168" i="4"/>
  <c r="C168" i="4"/>
  <c r="G167" i="4"/>
  <c r="F167" i="4"/>
  <c r="E167" i="4"/>
  <c r="D167" i="4"/>
  <c r="C167" i="4"/>
  <c r="G166" i="4"/>
  <c r="F166" i="4"/>
  <c r="D166" i="4"/>
  <c r="E166" i="4" s="1"/>
  <c r="C166" i="4"/>
  <c r="G165" i="4"/>
  <c r="F165" i="4"/>
  <c r="E165" i="4"/>
  <c r="D165" i="4"/>
  <c r="C165" i="4"/>
  <c r="G164" i="4"/>
  <c r="F164" i="4"/>
  <c r="D164" i="4"/>
  <c r="E164" i="4" s="1"/>
  <c r="C164" i="4"/>
  <c r="G163" i="4"/>
  <c r="F163" i="4"/>
  <c r="E163" i="4"/>
  <c r="D163" i="4"/>
  <c r="C163" i="4"/>
  <c r="G162" i="4"/>
  <c r="F162" i="4"/>
  <c r="D162" i="4"/>
  <c r="E162" i="4" s="1"/>
  <c r="C162" i="4"/>
  <c r="G161" i="4"/>
  <c r="F161" i="4"/>
  <c r="D161" i="4"/>
  <c r="E161" i="4" s="1"/>
  <c r="C161" i="4"/>
  <c r="G160" i="4"/>
  <c r="F160" i="4"/>
  <c r="D160" i="4"/>
  <c r="E160" i="4" s="1"/>
  <c r="C160" i="4"/>
  <c r="G159" i="4"/>
  <c r="F159" i="4"/>
  <c r="E159" i="4"/>
  <c r="D159" i="4"/>
  <c r="C159" i="4"/>
  <c r="G158" i="4"/>
  <c r="F158" i="4"/>
  <c r="D158" i="4"/>
  <c r="E158" i="4" s="1"/>
  <c r="C158" i="4"/>
  <c r="G157" i="4"/>
  <c r="F157" i="4"/>
  <c r="D157" i="4"/>
  <c r="E157" i="4" s="1"/>
  <c r="C157" i="4"/>
  <c r="G156" i="4"/>
  <c r="F156" i="4"/>
  <c r="D156" i="4"/>
  <c r="E156" i="4" s="1"/>
  <c r="C156" i="4"/>
  <c r="G155" i="4"/>
  <c r="F155" i="4"/>
  <c r="E155" i="4"/>
  <c r="D155" i="4"/>
  <c r="C155" i="4"/>
  <c r="G154" i="4"/>
  <c r="F154" i="4"/>
  <c r="D154" i="4"/>
  <c r="E154" i="4" s="1"/>
  <c r="C154" i="4"/>
  <c r="G153" i="4"/>
  <c r="F153" i="4"/>
  <c r="E153" i="4"/>
  <c r="D153" i="4"/>
  <c r="C153" i="4"/>
  <c r="G152" i="4"/>
  <c r="F152" i="4"/>
  <c r="D152" i="4"/>
  <c r="E152" i="4" s="1"/>
  <c r="C152" i="4"/>
  <c r="G151" i="4"/>
  <c r="F151" i="4"/>
  <c r="E151" i="4"/>
  <c r="D151" i="4"/>
  <c r="C151" i="4"/>
  <c r="G150" i="4"/>
  <c r="F150" i="4"/>
  <c r="D150" i="4"/>
  <c r="E150" i="4" s="1"/>
  <c r="C150" i="4"/>
  <c r="G149" i="4"/>
  <c r="F149" i="4"/>
  <c r="D149" i="4"/>
  <c r="E149" i="4" s="1"/>
  <c r="C149" i="4"/>
  <c r="G148" i="4"/>
  <c r="F148" i="4"/>
  <c r="E148" i="4"/>
  <c r="D148" i="4"/>
  <c r="C148" i="4"/>
  <c r="G147" i="4"/>
  <c r="F147" i="4"/>
  <c r="E147" i="4"/>
  <c r="D147" i="4"/>
  <c r="C147" i="4"/>
  <c r="G146" i="4"/>
  <c r="F146" i="4"/>
  <c r="D146" i="4"/>
  <c r="E146" i="4" s="1"/>
  <c r="C146" i="4"/>
  <c r="G145" i="4"/>
  <c r="F145" i="4"/>
  <c r="D145" i="4"/>
  <c r="E145" i="4" s="1"/>
  <c r="C145" i="4"/>
  <c r="G144" i="4"/>
  <c r="F144" i="4"/>
  <c r="D144" i="4"/>
  <c r="E144" i="4" s="1"/>
  <c r="C144" i="4"/>
  <c r="G143" i="4"/>
  <c r="F143" i="4"/>
  <c r="E143" i="4"/>
  <c r="D143" i="4"/>
  <c r="C143" i="4"/>
  <c r="G142" i="4"/>
  <c r="F142" i="4"/>
  <c r="D142" i="4"/>
  <c r="E142" i="4" s="1"/>
  <c r="C142" i="4"/>
  <c r="G141" i="4"/>
  <c r="F141" i="4"/>
  <c r="E141" i="4"/>
  <c r="D141" i="4"/>
  <c r="C141" i="4"/>
  <c r="G140" i="4"/>
  <c r="F140" i="4"/>
  <c r="D140" i="4"/>
  <c r="E140" i="4" s="1"/>
  <c r="C140" i="4"/>
  <c r="G139" i="4"/>
  <c r="F139" i="4"/>
  <c r="E139" i="4"/>
  <c r="D139" i="4"/>
  <c r="C139" i="4"/>
  <c r="G138" i="4"/>
  <c r="F138" i="4"/>
  <c r="D138" i="4"/>
  <c r="E138" i="4" s="1"/>
  <c r="C138" i="4"/>
  <c r="G137" i="4"/>
  <c r="F137" i="4"/>
  <c r="E137" i="4"/>
  <c r="D137" i="4"/>
  <c r="C137" i="4"/>
  <c r="G136" i="4"/>
  <c r="F136" i="4"/>
  <c r="D136" i="4"/>
  <c r="E136" i="4" s="1"/>
  <c r="C136" i="4"/>
  <c r="G135" i="4"/>
  <c r="F135" i="4"/>
  <c r="E135" i="4"/>
  <c r="D135" i="4"/>
  <c r="C135" i="4"/>
  <c r="G134" i="4"/>
  <c r="F134" i="4"/>
  <c r="D134" i="4"/>
  <c r="E134" i="4" s="1"/>
  <c r="C134" i="4"/>
  <c r="G133" i="4"/>
  <c r="F133" i="4"/>
  <c r="D133" i="4"/>
  <c r="E133" i="4" s="1"/>
  <c r="C133" i="4"/>
  <c r="G132" i="4"/>
  <c r="F132" i="4"/>
  <c r="D132" i="4"/>
  <c r="E132" i="4" s="1"/>
  <c r="C132" i="4"/>
  <c r="G131" i="4"/>
  <c r="F131" i="4"/>
  <c r="E131" i="4"/>
  <c r="D131" i="4"/>
  <c r="C131" i="4"/>
  <c r="G130" i="4"/>
  <c r="F130" i="4"/>
  <c r="D130" i="4"/>
  <c r="E130" i="4" s="1"/>
  <c r="C130" i="4"/>
  <c r="G129" i="4"/>
  <c r="F129" i="4"/>
  <c r="E129" i="4"/>
  <c r="D129" i="4"/>
  <c r="C129" i="4"/>
  <c r="G128" i="4"/>
  <c r="F128" i="4"/>
  <c r="D128" i="4"/>
  <c r="E128" i="4" s="1"/>
  <c r="C128" i="4"/>
  <c r="G127" i="4"/>
  <c r="F127" i="4"/>
  <c r="E127" i="4"/>
  <c r="D127" i="4"/>
  <c r="C127" i="4"/>
  <c r="G126" i="4"/>
  <c r="F126" i="4"/>
  <c r="D126" i="4"/>
  <c r="E126" i="4" s="1"/>
  <c r="C126" i="4"/>
  <c r="G125" i="4"/>
  <c r="F125" i="4"/>
  <c r="E125" i="4"/>
  <c r="D125" i="4"/>
  <c r="C125" i="4"/>
  <c r="G124" i="4"/>
  <c r="F124" i="4"/>
  <c r="D124" i="4"/>
  <c r="E124" i="4" s="1"/>
  <c r="C124" i="4"/>
  <c r="G123" i="4"/>
  <c r="F123" i="4"/>
  <c r="E123" i="4"/>
  <c r="D123" i="4"/>
  <c r="C123" i="4"/>
  <c r="G122" i="4"/>
  <c r="F122" i="4"/>
  <c r="D122" i="4"/>
  <c r="E122" i="4" s="1"/>
  <c r="C122" i="4"/>
  <c r="G121" i="4"/>
  <c r="F121" i="4"/>
  <c r="E121" i="4"/>
  <c r="D121" i="4"/>
  <c r="C121" i="4"/>
  <c r="G120" i="4"/>
  <c r="F120" i="4"/>
  <c r="D120" i="4"/>
  <c r="E120" i="4" s="1"/>
  <c r="C120" i="4"/>
  <c r="G119" i="4"/>
  <c r="F119" i="4"/>
  <c r="E119" i="4"/>
  <c r="D119" i="4"/>
  <c r="C119" i="4"/>
  <c r="G118" i="4"/>
  <c r="F118" i="4"/>
  <c r="D118" i="4"/>
  <c r="E118" i="4" s="1"/>
  <c r="C118" i="4"/>
  <c r="G117" i="4"/>
  <c r="F117" i="4"/>
  <c r="E117" i="4"/>
  <c r="D117" i="4"/>
  <c r="C117" i="4"/>
  <c r="G116" i="4"/>
  <c r="F116" i="4"/>
  <c r="D116" i="4"/>
  <c r="E116" i="4" s="1"/>
  <c r="C116" i="4"/>
  <c r="G115" i="4"/>
  <c r="F115" i="4"/>
  <c r="E115" i="4"/>
  <c r="D115" i="4"/>
  <c r="C115" i="4"/>
  <c r="G114" i="4"/>
  <c r="F114" i="4"/>
  <c r="D114" i="4"/>
  <c r="E114" i="4" s="1"/>
  <c r="C114" i="4"/>
  <c r="G113" i="4"/>
  <c r="F113" i="4"/>
  <c r="E113" i="4"/>
  <c r="D113" i="4"/>
  <c r="C113" i="4"/>
  <c r="G112" i="4"/>
  <c r="F112" i="4"/>
  <c r="E112" i="4"/>
  <c r="D112" i="4"/>
  <c r="C112" i="4"/>
  <c r="G111" i="4"/>
  <c r="F111" i="4"/>
  <c r="E111" i="4"/>
  <c r="D111" i="4"/>
  <c r="C111" i="4"/>
  <c r="G110" i="4"/>
  <c r="F110" i="4"/>
  <c r="D110" i="4"/>
  <c r="E110" i="4" s="1"/>
  <c r="C110" i="4"/>
  <c r="G109" i="4"/>
  <c r="F109" i="4"/>
  <c r="E109" i="4"/>
  <c r="D109" i="4"/>
  <c r="C109" i="4"/>
  <c r="G108" i="4"/>
  <c r="F108" i="4"/>
  <c r="D108" i="4"/>
  <c r="E108" i="4" s="1"/>
  <c r="C108" i="4"/>
  <c r="G107" i="4"/>
  <c r="F107" i="4"/>
  <c r="E107" i="4"/>
  <c r="D107" i="4"/>
  <c r="C107" i="4"/>
  <c r="G106" i="4"/>
  <c r="F106" i="4"/>
  <c r="D106" i="4"/>
  <c r="E106" i="4" s="1"/>
  <c r="C106" i="4"/>
  <c r="G105" i="4"/>
  <c r="F105" i="4"/>
  <c r="E105" i="4"/>
  <c r="D105" i="4"/>
  <c r="C105" i="4"/>
  <c r="G104" i="4"/>
  <c r="F104" i="4"/>
  <c r="D104" i="4"/>
  <c r="E104" i="4" s="1"/>
  <c r="C104" i="4"/>
  <c r="G103" i="4"/>
  <c r="F103" i="4"/>
  <c r="E103" i="4"/>
  <c r="D103" i="4"/>
  <c r="C103" i="4"/>
  <c r="G102" i="4"/>
  <c r="F102" i="4"/>
  <c r="D102" i="4"/>
  <c r="E102" i="4" s="1"/>
  <c r="C102" i="4"/>
  <c r="G101" i="4"/>
  <c r="F101" i="4"/>
  <c r="D101" i="4"/>
  <c r="E101" i="4" s="1"/>
  <c r="C101" i="4"/>
  <c r="G100" i="4"/>
  <c r="F100" i="4"/>
  <c r="E100" i="4"/>
  <c r="D100" i="4"/>
  <c r="C100" i="4"/>
  <c r="G99" i="4"/>
  <c r="F99" i="4"/>
  <c r="E99" i="4"/>
  <c r="D99" i="4"/>
  <c r="C99" i="4"/>
  <c r="G98" i="4"/>
  <c r="F98" i="4"/>
  <c r="D98" i="4"/>
  <c r="E98" i="4" s="1"/>
  <c r="C98" i="4"/>
  <c r="G97" i="4"/>
  <c r="F97" i="4"/>
  <c r="E97" i="4"/>
  <c r="D97" i="4"/>
  <c r="C97" i="4"/>
  <c r="G96" i="4"/>
  <c r="F96" i="4"/>
  <c r="E96" i="4"/>
  <c r="D96" i="4"/>
  <c r="C96" i="4"/>
  <c r="G95" i="4"/>
  <c r="F95" i="4"/>
  <c r="E95" i="4"/>
  <c r="D95" i="4"/>
  <c r="C95" i="4"/>
  <c r="G94" i="4"/>
  <c r="F94" i="4"/>
  <c r="D94" i="4"/>
  <c r="E94" i="4" s="1"/>
  <c r="C94" i="4"/>
  <c r="G93" i="4"/>
  <c r="F93" i="4"/>
  <c r="E93" i="4"/>
  <c r="D93" i="4"/>
  <c r="C93" i="4"/>
  <c r="G92" i="4"/>
  <c r="F92" i="4"/>
  <c r="D92" i="4"/>
  <c r="E92" i="4" s="1"/>
  <c r="C92" i="4"/>
  <c r="G91" i="4"/>
  <c r="F91" i="4"/>
  <c r="E91" i="4"/>
  <c r="D91" i="4"/>
  <c r="C91" i="4"/>
  <c r="G90" i="4"/>
  <c r="F90" i="4"/>
  <c r="D90" i="4"/>
  <c r="E90" i="4" s="1"/>
  <c r="C90" i="4"/>
  <c r="G89" i="4"/>
  <c r="F89" i="4"/>
  <c r="E89" i="4"/>
  <c r="D89" i="4"/>
  <c r="C89" i="4"/>
  <c r="G88" i="4"/>
  <c r="F88" i="4"/>
  <c r="E88" i="4"/>
  <c r="D88" i="4"/>
  <c r="C88" i="4"/>
  <c r="G87" i="4"/>
  <c r="F87" i="4"/>
  <c r="E87" i="4"/>
  <c r="D87" i="4"/>
  <c r="C87" i="4"/>
  <c r="G86" i="4"/>
  <c r="F86" i="4"/>
  <c r="D86" i="4"/>
  <c r="E86" i="4" s="1"/>
  <c r="C86" i="4"/>
  <c r="G85" i="4"/>
  <c r="F85" i="4"/>
  <c r="E85" i="4"/>
  <c r="D85" i="4"/>
  <c r="C85" i="4"/>
  <c r="G84" i="4"/>
  <c r="F84" i="4"/>
  <c r="D84" i="4"/>
  <c r="E84" i="4" s="1"/>
  <c r="C84" i="4"/>
  <c r="G83" i="4"/>
  <c r="F83" i="4"/>
  <c r="E83" i="4"/>
  <c r="D83" i="4"/>
  <c r="C83" i="4"/>
  <c r="G82" i="4"/>
  <c r="F82" i="4"/>
  <c r="D82" i="4"/>
  <c r="E82" i="4" s="1"/>
  <c r="C82" i="4"/>
  <c r="G81" i="4"/>
  <c r="F81" i="4"/>
  <c r="D81" i="4"/>
  <c r="E81" i="4" s="1"/>
  <c r="C81" i="4"/>
  <c r="G80" i="4"/>
  <c r="F80" i="4"/>
  <c r="E80" i="4"/>
  <c r="D80" i="4"/>
  <c r="C80" i="4"/>
  <c r="G79" i="4"/>
  <c r="F79" i="4"/>
  <c r="E79" i="4"/>
  <c r="D79" i="4"/>
  <c r="C79" i="4"/>
  <c r="G78" i="4"/>
  <c r="F78" i="4"/>
  <c r="D78" i="4"/>
  <c r="E78" i="4" s="1"/>
  <c r="C78" i="4"/>
  <c r="G77" i="4"/>
  <c r="F77" i="4"/>
  <c r="D77" i="4"/>
  <c r="E77" i="4" s="1"/>
  <c r="C77" i="4"/>
  <c r="G76" i="4"/>
  <c r="F76" i="4"/>
  <c r="E76" i="4"/>
  <c r="D76" i="4"/>
  <c r="C76" i="4"/>
  <c r="G75" i="4"/>
  <c r="F75" i="4"/>
  <c r="E75" i="4"/>
  <c r="D75" i="4"/>
  <c r="C75" i="4"/>
  <c r="G74" i="4"/>
  <c r="F74" i="4"/>
  <c r="D74" i="4"/>
  <c r="E74" i="4" s="1"/>
  <c r="C74" i="4"/>
  <c r="G73" i="4"/>
  <c r="F73" i="4"/>
  <c r="E73" i="4"/>
  <c r="D73" i="4"/>
  <c r="C73" i="4"/>
  <c r="G72" i="4"/>
  <c r="F72" i="4"/>
  <c r="D72" i="4"/>
  <c r="E72" i="4" s="1"/>
  <c r="C72" i="4"/>
  <c r="G71" i="4"/>
  <c r="F71" i="4"/>
  <c r="E71" i="4"/>
  <c r="D71" i="4"/>
  <c r="C71" i="4"/>
  <c r="G70" i="4"/>
  <c r="F70" i="4"/>
  <c r="D70" i="4"/>
  <c r="E70" i="4" s="1"/>
  <c r="C70" i="4"/>
  <c r="G69" i="4"/>
  <c r="F69" i="4"/>
  <c r="D69" i="4"/>
  <c r="E69" i="4" s="1"/>
  <c r="C69" i="4"/>
  <c r="G68" i="4"/>
  <c r="F68" i="4"/>
  <c r="D68" i="4"/>
  <c r="E68" i="4" s="1"/>
  <c r="C68" i="4"/>
  <c r="G67" i="4"/>
  <c r="F67" i="4"/>
  <c r="E67" i="4"/>
  <c r="D67" i="4"/>
  <c r="C67" i="4"/>
  <c r="G66" i="4"/>
  <c r="F66" i="4"/>
  <c r="D66" i="4"/>
  <c r="E66" i="4" s="1"/>
  <c r="C66" i="4"/>
  <c r="G65" i="4"/>
  <c r="F65" i="4"/>
  <c r="D65" i="4"/>
  <c r="E65" i="4" s="1"/>
  <c r="C65" i="4"/>
  <c r="G64" i="4"/>
  <c r="F64" i="4"/>
  <c r="D64" i="4"/>
  <c r="E64" i="4" s="1"/>
  <c r="C64" i="4"/>
  <c r="G63" i="4"/>
  <c r="F63" i="4"/>
  <c r="E63" i="4"/>
  <c r="D63" i="4"/>
  <c r="C63" i="4"/>
  <c r="G62" i="4"/>
  <c r="F62" i="4"/>
  <c r="D62" i="4"/>
  <c r="E62" i="4" s="1"/>
  <c r="C62" i="4"/>
  <c r="G61" i="4"/>
  <c r="F61" i="4"/>
  <c r="D61" i="4"/>
  <c r="E61" i="4" s="1"/>
  <c r="C61" i="4"/>
  <c r="G60" i="4"/>
  <c r="F60" i="4"/>
  <c r="E60" i="4"/>
  <c r="D60" i="4"/>
  <c r="C60" i="4"/>
  <c r="G59" i="4"/>
  <c r="F59" i="4"/>
  <c r="E59" i="4"/>
  <c r="D59" i="4"/>
  <c r="C59" i="4"/>
  <c r="G58" i="4"/>
  <c r="F58" i="4"/>
  <c r="D58" i="4"/>
  <c r="E58" i="4" s="1"/>
  <c r="C58" i="4"/>
  <c r="G57" i="4"/>
  <c r="F57" i="4"/>
  <c r="D57" i="4"/>
  <c r="E57" i="4" s="1"/>
  <c r="C57" i="4"/>
  <c r="G56" i="4"/>
  <c r="F56" i="4"/>
  <c r="E56" i="4"/>
  <c r="D56" i="4"/>
  <c r="C56" i="4"/>
  <c r="G55" i="4"/>
  <c r="F55" i="4"/>
  <c r="E55" i="4"/>
  <c r="D55" i="4"/>
  <c r="C55" i="4"/>
  <c r="G54" i="4"/>
  <c r="F54" i="4"/>
  <c r="D54" i="4"/>
  <c r="E54" i="4" s="1"/>
  <c r="C54" i="4"/>
  <c r="G53" i="4"/>
  <c r="F53" i="4"/>
  <c r="E53" i="4"/>
  <c r="D53" i="4"/>
  <c r="C53" i="4"/>
  <c r="G52" i="4"/>
  <c r="F52" i="4"/>
  <c r="D52" i="4"/>
  <c r="E52" i="4" s="1"/>
  <c r="C52" i="4"/>
  <c r="G51" i="4"/>
  <c r="F51" i="4"/>
  <c r="E51" i="4"/>
  <c r="D51" i="4"/>
  <c r="C51" i="4"/>
  <c r="G50" i="4"/>
  <c r="F50" i="4"/>
  <c r="D50" i="4"/>
  <c r="E50" i="4" s="1"/>
  <c r="C50" i="4"/>
  <c r="G49" i="4"/>
  <c r="F49" i="4"/>
  <c r="D49" i="4"/>
  <c r="E49" i="4" s="1"/>
  <c r="C49" i="4"/>
  <c r="G48" i="4"/>
  <c r="F48" i="4"/>
  <c r="D48" i="4"/>
  <c r="E48" i="4" s="1"/>
  <c r="C48" i="4"/>
  <c r="G47" i="4"/>
  <c r="F47" i="4"/>
  <c r="E47" i="4"/>
  <c r="D47" i="4"/>
  <c r="C47" i="4"/>
  <c r="G46" i="4"/>
  <c r="F46" i="4"/>
  <c r="E46" i="4"/>
  <c r="D46" i="4"/>
  <c r="C46" i="4"/>
  <c r="G45" i="4"/>
  <c r="F45" i="4"/>
  <c r="E45" i="4"/>
  <c r="D45" i="4"/>
  <c r="C45" i="4"/>
  <c r="G44" i="4"/>
  <c r="F44" i="4"/>
  <c r="D44" i="4"/>
  <c r="E44" i="4" s="1"/>
  <c r="C44" i="4"/>
  <c r="G43" i="4"/>
  <c r="F43" i="4"/>
  <c r="E43" i="4"/>
  <c r="D43" i="4"/>
  <c r="C43" i="4"/>
  <c r="G42" i="4"/>
  <c r="F42" i="4"/>
  <c r="D42" i="4"/>
  <c r="E42" i="4" s="1"/>
  <c r="C42" i="4"/>
  <c r="G41" i="4"/>
  <c r="F41" i="4"/>
  <c r="D41" i="4"/>
  <c r="E41" i="4" s="1"/>
  <c r="C41" i="4"/>
  <c r="G40" i="4"/>
  <c r="F40" i="4"/>
  <c r="E40" i="4"/>
  <c r="D40" i="4"/>
  <c r="C40" i="4"/>
  <c r="G39" i="4"/>
  <c r="F39" i="4"/>
  <c r="E39" i="4"/>
  <c r="D39" i="4"/>
  <c r="C39" i="4"/>
  <c r="G38" i="4"/>
  <c r="F38" i="4"/>
  <c r="E38" i="4"/>
  <c r="D38" i="4"/>
  <c r="C38" i="4"/>
  <c r="G37" i="4"/>
  <c r="F37" i="4"/>
  <c r="D37" i="4"/>
  <c r="E37" i="4" s="1"/>
  <c r="C37" i="4"/>
  <c r="G36" i="4"/>
  <c r="F36" i="4"/>
  <c r="D36" i="4"/>
  <c r="E36" i="4" s="1"/>
  <c r="C36" i="4"/>
  <c r="G35" i="4"/>
  <c r="F35" i="4"/>
  <c r="D35" i="4"/>
  <c r="E35" i="4" s="1"/>
  <c r="C35" i="4"/>
  <c r="G34" i="4"/>
  <c r="F34" i="4"/>
  <c r="D34" i="4"/>
  <c r="E34" i="4" s="1"/>
  <c r="C34" i="4"/>
  <c r="G33" i="4"/>
  <c r="F33" i="4"/>
  <c r="E33" i="4"/>
  <c r="D33" i="4"/>
  <c r="C33" i="4"/>
  <c r="G32" i="4"/>
  <c r="F32" i="4"/>
  <c r="D32" i="4"/>
  <c r="E32" i="4" s="1"/>
  <c r="C32" i="4"/>
  <c r="G31" i="4"/>
  <c r="F31" i="4"/>
  <c r="E31" i="4"/>
  <c r="D31" i="4"/>
  <c r="C31" i="4"/>
  <c r="G30" i="4"/>
  <c r="F30" i="4"/>
  <c r="D30" i="4"/>
  <c r="E30" i="4" s="1"/>
  <c r="C30" i="4"/>
  <c r="G29" i="4"/>
  <c r="F29" i="4"/>
  <c r="D29" i="4"/>
  <c r="E29" i="4" s="1"/>
  <c r="C29" i="4"/>
  <c r="G28" i="4"/>
  <c r="F28" i="4"/>
  <c r="D28" i="4"/>
  <c r="E28" i="4" s="1"/>
  <c r="C28" i="4"/>
  <c r="G27" i="4"/>
  <c r="F27" i="4"/>
  <c r="E27" i="4"/>
  <c r="D27" i="4"/>
  <c r="C27" i="4"/>
  <c r="G26" i="4"/>
  <c r="F26" i="4"/>
  <c r="D26" i="4"/>
  <c r="E26" i="4" s="1"/>
  <c r="C26" i="4"/>
  <c r="G25" i="4"/>
  <c r="F25" i="4"/>
  <c r="D25" i="4"/>
  <c r="E25" i="4" s="1"/>
  <c r="C25" i="4"/>
  <c r="G24" i="4"/>
  <c r="F24" i="4"/>
  <c r="D24" i="4"/>
  <c r="E24" i="4" s="1"/>
  <c r="C24" i="4"/>
  <c r="G23" i="4"/>
  <c r="F23" i="4"/>
  <c r="E23" i="4"/>
  <c r="D23" i="4"/>
  <c r="C23" i="4"/>
  <c r="G22" i="4"/>
  <c r="F22" i="4"/>
  <c r="E22" i="4"/>
  <c r="D22" i="4"/>
  <c r="C22" i="4"/>
  <c r="G21" i="4"/>
  <c r="F21" i="4"/>
  <c r="D21" i="4"/>
  <c r="E21" i="4" s="1"/>
  <c r="C21" i="4"/>
  <c r="G20" i="4"/>
  <c r="F20" i="4"/>
  <c r="E20" i="4"/>
  <c r="D20" i="4"/>
  <c r="C20" i="4"/>
  <c r="G19" i="4"/>
  <c r="F19" i="4"/>
  <c r="D19" i="4"/>
  <c r="E19" i="4" s="1"/>
  <c r="C19" i="4"/>
  <c r="G18" i="4"/>
  <c r="F18" i="4"/>
  <c r="D18" i="4"/>
  <c r="E18" i="4" s="1"/>
  <c r="C18" i="4"/>
  <c r="G17" i="4"/>
  <c r="F17" i="4"/>
  <c r="E17" i="4"/>
  <c r="D17" i="4"/>
  <c r="C17" i="4"/>
  <c r="G16" i="4"/>
  <c r="F16" i="4"/>
  <c r="E16" i="4"/>
  <c r="D16" i="4"/>
  <c r="C16" i="4"/>
  <c r="G15" i="4"/>
  <c r="F15" i="4"/>
  <c r="E15" i="4"/>
  <c r="D15" i="4"/>
  <c r="C15" i="4"/>
  <c r="G14" i="4"/>
  <c r="F14" i="4"/>
  <c r="D14" i="4"/>
  <c r="E14" i="4" s="1"/>
  <c r="C14" i="4"/>
  <c r="G13" i="4"/>
  <c r="F13" i="4"/>
  <c r="D13" i="4"/>
  <c r="E13" i="4" s="1"/>
  <c r="C13" i="4"/>
  <c r="G12" i="4"/>
  <c r="F12" i="4"/>
  <c r="D12" i="4"/>
  <c r="E12" i="4" s="1"/>
  <c r="C12" i="4"/>
  <c r="G11" i="4"/>
  <c r="F11" i="4"/>
  <c r="D11" i="4"/>
  <c r="E11" i="4" s="1"/>
  <c r="C11" i="4"/>
  <c r="G10" i="4"/>
  <c r="F10" i="4"/>
  <c r="D10" i="4"/>
  <c r="E10" i="4" s="1"/>
  <c r="C10" i="4"/>
  <c r="G9" i="4"/>
  <c r="F9" i="4"/>
  <c r="D9" i="4"/>
  <c r="E9" i="4" s="1"/>
  <c r="C9" i="4"/>
  <c r="G8" i="4"/>
  <c r="F8" i="4"/>
  <c r="D8" i="4"/>
  <c r="E8" i="4" s="1"/>
  <c r="C8" i="4"/>
  <c r="G7" i="4"/>
  <c r="F7" i="4"/>
  <c r="E7" i="4"/>
  <c r="D7" i="4"/>
  <c r="C7" i="4"/>
  <c r="G6" i="4"/>
  <c r="F6" i="4"/>
  <c r="D6" i="4"/>
  <c r="E6" i="4" s="1"/>
  <c r="C6" i="4"/>
  <c r="G5" i="4"/>
  <c r="F5" i="4"/>
  <c r="D5" i="4"/>
  <c r="E5" i="4" s="1"/>
  <c r="C5" i="4"/>
  <c r="C14" i="1" s="1"/>
  <c r="G4" i="4"/>
  <c r="F4" i="4"/>
  <c r="E4" i="4"/>
  <c r="D4" i="4"/>
  <c r="C4" i="4"/>
  <c r="G3" i="4"/>
  <c r="F3" i="4"/>
  <c r="E3" i="4"/>
  <c r="D3" i="4"/>
  <c r="C3" i="4"/>
  <c r="G2" i="4"/>
  <c r="F2" i="4"/>
  <c r="D2" i="4"/>
  <c r="E2" i="4" s="1"/>
  <c r="D17" i="1"/>
  <c r="D16" i="1"/>
  <c r="D13" i="1"/>
  <c r="C13" i="1"/>
  <c r="D12" i="1"/>
  <c r="C12" i="1"/>
  <c r="C17" i="1" s="1"/>
  <c r="C16" i="1" l="1"/>
  <c r="C15" i="1"/>
  <c r="C17" i="6"/>
  <c r="B56" i="6"/>
  <c r="D56" i="6" s="1"/>
  <c r="B52" i="6"/>
  <c r="B48" i="6"/>
  <c r="B44" i="6"/>
  <c r="B40" i="6"/>
  <c r="B36" i="6"/>
  <c r="B32" i="6"/>
  <c r="B28" i="6"/>
  <c r="B24" i="6"/>
  <c r="B20" i="6"/>
  <c r="B16" i="6"/>
  <c r="D16" i="6" s="1"/>
  <c r="B12" i="6"/>
  <c r="D12" i="6" s="1"/>
  <c r="B8" i="6"/>
  <c r="B4" i="6"/>
  <c r="B55" i="6"/>
  <c r="B51" i="6"/>
  <c r="D51" i="6" s="1"/>
  <c r="B47" i="6"/>
  <c r="B43" i="6"/>
  <c r="B39" i="6"/>
  <c r="B35" i="6"/>
  <c r="B31" i="6"/>
  <c r="B27" i="6"/>
  <c r="B23" i="6"/>
  <c r="B19" i="6"/>
  <c r="B15" i="6"/>
  <c r="B11" i="6"/>
  <c r="B7" i="6"/>
  <c r="D7" i="6" s="1"/>
  <c r="B3" i="6"/>
  <c r="D3" i="6" s="1"/>
  <c r="B2" i="6"/>
  <c r="B54" i="6"/>
  <c r="B50" i="6"/>
  <c r="B46" i="6"/>
  <c r="B42" i="6"/>
  <c r="B38" i="6"/>
  <c r="D38" i="6" s="1"/>
  <c r="B34" i="6"/>
  <c r="B30" i="6"/>
  <c r="B26" i="6"/>
  <c r="B22" i="6"/>
  <c r="B18" i="6"/>
  <c r="B14" i="6"/>
  <c r="B10" i="6"/>
  <c r="B6" i="6"/>
  <c r="D6" i="6" s="1"/>
  <c r="B53" i="6"/>
  <c r="D53" i="6" s="1"/>
  <c r="B49" i="6"/>
  <c r="D49" i="6" s="1"/>
  <c r="B45" i="6"/>
  <c r="D45" i="6" s="1"/>
  <c r="B41" i="6"/>
  <c r="D41" i="6" s="1"/>
  <c r="B37" i="6"/>
  <c r="D37" i="6" s="1"/>
  <c r="B33" i="6"/>
  <c r="D33" i="6" s="1"/>
  <c r="B29" i="6"/>
  <c r="D29" i="6" s="1"/>
  <c r="B25" i="6"/>
  <c r="D25" i="6" s="1"/>
  <c r="B21" i="6"/>
  <c r="D21" i="6" s="1"/>
  <c r="B17" i="6"/>
  <c r="B13" i="6"/>
  <c r="B9" i="6"/>
  <c r="D9" i="6" s="1"/>
  <c r="B5" i="6"/>
  <c r="D5" i="6" s="1"/>
  <c r="C5" i="6"/>
  <c r="D14" i="1"/>
  <c r="D15" i="1" s="1"/>
  <c r="C15" i="6"/>
  <c r="C16" i="6"/>
  <c r="E16" i="6" s="1"/>
  <c r="C44" i="6"/>
  <c r="E44" i="6" s="1"/>
  <c r="C40" i="6"/>
  <c r="C36" i="6"/>
  <c r="C32" i="6"/>
  <c r="C28" i="6"/>
  <c r="C39" i="6"/>
  <c r="C35" i="6"/>
  <c r="C50" i="6"/>
  <c r="C46" i="6"/>
  <c r="C42" i="6"/>
  <c r="E42" i="6" s="1"/>
  <c r="C38" i="6"/>
  <c r="C41" i="6"/>
  <c r="E41" i="6" s="1"/>
  <c r="C37" i="6"/>
  <c r="E37" i="6" s="1"/>
  <c r="C33" i="6"/>
  <c r="E33" i="6" s="1"/>
  <c r="C29" i="6"/>
  <c r="E29" i="6" s="1"/>
  <c r="C18" i="6"/>
  <c r="E18" i="6" s="1"/>
  <c r="C3" i="6"/>
  <c r="E3" i="6" s="1"/>
  <c r="C19" i="6"/>
  <c r="C4" i="6"/>
  <c r="C20" i="6"/>
  <c r="C21" i="6"/>
  <c r="E21" i="6" s="1"/>
  <c r="C6" i="6"/>
  <c r="E6" i="6" s="1"/>
  <c r="C22" i="6"/>
  <c r="E22" i="6" s="1"/>
  <c r="C7" i="6"/>
  <c r="E7" i="6" s="1"/>
  <c r="C23" i="6"/>
  <c r="C8" i="6"/>
  <c r="E8" i="6" s="1"/>
  <c r="C24" i="6"/>
  <c r="E24" i="6" s="1"/>
  <c r="C9" i="6"/>
  <c r="C25" i="6"/>
  <c r="E25" i="6" s="1"/>
  <c r="C10" i="6"/>
  <c r="C26" i="6"/>
  <c r="E26" i="6" s="1"/>
  <c r="C56" i="6"/>
  <c r="E56" i="6" s="1"/>
  <c r="C52" i="6"/>
  <c r="E52" i="6" s="1"/>
  <c r="C48" i="6"/>
  <c r="C55" i="6"/>
  <c r="C51" i="6"/>
  <c r="E51" i="6" s="1"/>
  <c r="C47" i="6"/>
  <c r="E47" i="6" s="1"/>
  <c r="C43" i="6"/>
  <c r="E43" i="6" s="1"/>
  <c r="C2" i="6"/>
  <c r="C54" i="6"/>
  <c r="E54" i="6" s="1"/>
  <c r="C53" i="6"/>
  <c r="C49" i="6"/>
  <c r="E49" i="6" s="1"/>
  <c r="C45" i="6"/>
  <c r="C11" i="6"/>
  <c r="E11" i="6" s="1"/>
  <c r="C27" i="6"/>
  <c r="C12" i="6"/>
  <c r="C30" i="6"/>
  <c r="E30" i="6" s="1"/>
  <c r="C13" i="6"/>
  <c r="E13" i="6" s="1"/>
  <c r="C31" i="6"/>
  <c r="E31" i="6" s="1"/>
  <c r="C14" i="6"/>
  <c r="C34" i="6"/>
  <c r="E34" i="6" s="1"/>
  <c r="E15" i="6" l="1"/>
  <c r="D11" i="6"/>
  <c r="D20" i="6"/>
  <c r="E12" i="6"/>
  <c r="E10" i="6"/>
  <c r="D10" i="6"/>
  <c r="D15" i="6"/>
  <c r="D24" i="6"/>
  <c r="E27" i="6"/>
  <c r="E5" i="6"/>
  <c r="D14" i="6"/>
  <c r="D19" i="6"/>
  <c r="D28" i="6"/>
  <c r="E9" i="6"/>
  <c r="D18" i="6"/>
  <c r="D23" i="6"/>
  <c r="D32" i="6"/>
  <c r="E45" i="6"/>
  <c r="E38" i="6"/>
  <c r="D22" i="6"/>
  <c r="D27" i="6"/>
  <c r="D36" i="6"/>
  <c r="D13" i="6"/>
  <c r="D26" i="6"/>
  <c r="D31" i="6"/>
  <c r="D40" i="6"/>
  <c r="E53" i="6"/>
  <c r="E23" i="6"/>
  <c r="E46" i="6"/>
  <c r="D17" i="6"/>
  <c r="D30" i="6"/>
  <c r="D35" i="6"/>
  <c r="D44" i="6"/>
  <c r="E50" i="6"/>
  <c r="D34" i="6"/>
  <c r="D39" i="6"/>
  <c r="D48" i="6"/>
  <c r="E35" i="6"/>
  <c r="D43" i="6"/>
  <c r="D52" i="6"/>
  <c r="E39" i="6"/>
  <c r="D42" i="6"/>
  <c r="D47" i="6"/>
  <c r="E28" i="6"/>
  <c r="D46" i="6"/>
  <c r="E17" i="6"/>
  <c r="E20" i="6"/>
  <c r="E32" i="6"/>
  <c r="D50" i="6"/>
  <c r="D55" i="6"/>
  <c r="E55" i="6"/>
  <c r="E4" i="6"/>
  <c r="E36" i="6"/>
  <c r="D54" i="6"/>
  <c r="D4" i="6"/>
  <c r="E14" i="6"/>
  <c r="E48" i="6"/>
  <c r="E19" i="6"/>
  <c r="E40" i="6"/>
  <c r="D8" i="6"/>
</calcChain>
</file>

<file path=xl/sharedStrings.xml><?xml version="1.0" encoding="utf-8"?>
<sst xmlns="http://schemas.openxmlformats.org/spreadsheetml/2006/main" count="141" uniqueCount="125">
  <si>
    <t>Concentrated Tech Portfolio  vs.  S&amp;P 500</t>
  </si>
  <si>
    <t>Risk-adjusted performance  |  Jan 2022 – Jul 2026  (~4.5 yrs of daily data)</t>
  </si>
  <si>
    <t>Assumptions</t>
  </si>
  <si>
    <t>Risk-free rate</t>
  </si>
  <si>
    <t>Trading days / year</t>
  </si>
  <si>
    <t>Start date</t>
  </si>
  <si>
    <t>End date</t>
  </si>
  <si>
    <t>Metric</t>
  </si>
  <si>
    <t>Tech Portfolio</t>
  </si>
  <si>
    <t>S&amp;P 500</t>
  </si>
  <si>
    <t>Takeaway</t>
  </si>
  <si>
    <t>Total Return</t>
  </si>
  <si>
    <t>Tech grew far more in total</t>
  </si>
  <si>
    <t>Annualized Return (CAGR)</t>
  </si>
  <si>
    <t>Tech won on raw return</t>
  </si>
  <si>
    <t>Annualized Volatility</t>
  </si>
  <si>
    <t>Tech swung much harder</t>
  </si>
  <si>
    <t>Sharpe Ratio (rf 2%)</t>
  </si>
  <si>
    <t>Tech edged it risk-adjusted</t>
  </si>
  <si>
    <t>Max Drawdown</t>
  </si>
  <si>
    <t>Tech's worst fall was deeper</t>
  </si>
  <si>
    <t>Final value of $100</t>
  </si>
  <si>
    <t>The verdict</t>
  </si>
  <si>
    <t>"Just buy the S&amp;P" isn't really about higher returns — here the concentrated tech basket actually returned MORE (22% vs 12% CAGR) and was still a touch better risk-adjusted (Sharpe 0.64 vs 0.57).
The real case for the index is the ride: far lower volatility (18% vs 31%), a drawdown half as deep (–24% vs –48%), and zero research effort. For an investor who can't stomach watching nearly half their money evaporate, the S&amp;P delivers most of the reward with far less pain.
Caveat: these 9 names were picked knowing they'd done well — hindsight bias inflates the tech result. A fair test would choose names without knowing the outcome.</t>
  </si>
  <si>
    <t>Method &amp; data</t>
  </si>
  <si>
    <t>• 9 large-cap names (NVDA, AMZN, MSFT, GOOGL, TSLA, AAPL, TSM, MU, HOOD) vs the S&amp;P 500 — see Holdings tab. Daily closes, 2022–2026.</t>
  </si>
  <si>
    <t>• SQL structured the raw prices: LAG() for daily returns, a running MAX() for the drawdown series.</t>
  </si>
  <si>
    <t>• CAGR from first/last value; volatility = daily-return stdev × √252; Sharpe vs 2% risk-free; max drawdown = deepest peak-to-trough.</t>
  </si>
  <si>
    <t>• Both series indexed to $100 at the start so the growth chart is a like-for-like comparison.</t>
  </si>
  <si>
    <t>Visual Comparison  —  Tech Portfolio vs S&amp;P 500</t>
  </si>
  <si>
    <t>Portfolio Holdings</t>
  </si>
  <si>
    <t>Concentrated basket of 9 large-cap names, benchmarked against SPY (S&amp;P 500 ETF).</t>
  </si>
  <si>
    <t>Ticker</t>
  </si>
  <si>
    <t>Company</t>
  </si>
  <si>
    <t>Shares</t>
  </si>
  <si>
    <t>Role</t>
  </si>
  <si>
    <t>NVDA</t>
  </si>
  <si>
    <t>NVIDIA Corp.</t>
  </si>
  <si>
    <t>Holding</t>
  </si>
  <si>
    <t>AMZN</t>
  </si>
  <si>
    <t>Amazon.com Inc.</t>
  </si>
  <si>
    <t>MSFT</t>
  </si>
  <si>
    <t>Microsoft Corp.</t>
  </si>
  <si>
    <t>GOOGL</t>
  </si>
  <si>
    <t>Alphabet Inc. (Google)</t>
  </si>
  <si>
    <t>TSLA</t>
  </si>
  <si>
    <t>Tesla Inc.</t>
  </si>
  <si>
    <t>AAPL</t>
  </si>
  <si>
    <t>Apple Inc.</t>
  </si>
  <si>
    <t>TSM</t>
  </si>
  <si>
    <t>Taiwan Semiconductor (TSMC)</t>
  </si>
  <si>
    <t>MU</t>
  </si>
  <si>
    <t>Micron Technology</t>
  </si>
  <si>
    <t>HOOD</t>
  </si>
  <si>
    <t>Robinhood Markets</t>
  </si>
  <si>
    <t>SPY</t>
  </si>
  <si>
    <t>SPDR S&amp;P 500 ETF</t>
  </si>
  <si>
    <t>Benchmark</t>
  </si>
  <si>
    <t>Note: shares are as provided; dollar weights require per-share prices, which are not in this dataset.</t>
  </si>
  <si>
    <t>Date</t>
  </si>
  <si>
    <t>Value ($)</t>
  </si>
  <si>
    <t>Daily Return</t>
  </si>
  <si>
    <t>Running Peak ($)</t>
  </si>
  <si>
    <t>Drawdown</t>
  </si>
  <si>
    <t>Indexed (=100)</t>
  </si>
  <si>
    <t>Month</t>
  </si>
  <si>
    <t>Tech End ($)</t>
  </si>
  <si>
    <t>S&amp;P End ($)</t>
  </si>
  <si>
    <t>Tech Return</t>
  </si>
  <si>
    <t>S&amp;P Return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</si>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</sst>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\$#,##0"/>
    <numFmt numFmtId="166" formatCode="0.00%;\(0.00%\);\-"/>
    <numFmt numFmtId="167" formatCode="0.0%;\(0.0%\);\-"/>
    <numFmt numFmtId="168" formatCode="0.0%"/>
  </numFmts>
  <fonts count="1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color rgb="FF1A1A1A"/>
      <name val="Arial"/>
    </font>
    <font>
      <b/>
      <sz val="18"/>
      <color rgb="FFFFFFFF"/>
      <name val="Arial"/>
    </font>
    <font>
      <i/>
      <sz val="10"/>
      <color rgb="FFFFFFFF"/>
      <name val="Arial"/>
    </font>
    <font>
      <b/>
      <sz val="11"/>
      <color rgb="FF1F3864"/>
      <name val="Arial"/>
    </font>
    <font>
      <sz val="10"/>
      <color rgb="FF1A1A1A"/>
      <name val="Arial"/>
    </font>
    <font>
      <b/>
      <sz val="10"/>
      <color rgb="FF0000FF"/>
      <name val="Arial"/>
    </font>
    <font>
      <b/>
      <sz val="10"/>
      <color rgb="FF1A1A1A"/>
      <name val="Arial"/>
    </font>
    <font>
      <b/>
      <sz val="11"/>
      <color rgb="FF2E5496"/>
      <name val="Arial"/>
    </font>
    <font>
      <b/>
      <sz val="11"/>
      <color rgb="FF1A1A1A"/>
      <name val="Arial"/>
    </font>
    <font>
      <i/>
      <sz val="9"/>
      <color rgb="FF1A1A1A"/>
      <name val="Arial"/>
    </font>
    <font>
      <b/>
      <sz val="10"/>
      <color rgb="FF1F3864"/>
      <name val="Arial"/>
    </font>
    <font>
      <b/>
      <sz val="16"/>
      <color rgb="FF1F3864"/>
      <name val="Arial"/>
    </font>
    <font>
      <i/>
      <sz val="10"/>
      <color rgb="FF2E5496"/>
      <name val="Arial"/>
    </font>
    <font>
      <sz val="10"/>
      <color rgb="FF8C9BAB"/>
      <name val="Arial"/>
    </font>
    <font>
      <i/>
      <sz val="9"/>
      <color rgb="FF666666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DF1F7"/>
      </patternFill>
    </fill>
    <fill>
      <patternFill patternType="solid">
        <fgColor rgb="FF2E5496"/>
      </patternFill>
    </fill>
    <fill>
      <patternFill patternType="solid">
        <fgColor rgb="FFFFF2CC"/>
      </patternFill>
    </fill>
    <fill>
      <patternFill patternType="solid">
        <fgColor rgb="FFF2F5FA"/>
      </patternFill>
    </fill>
    <fill>
      <patternFill patternType="solid">
        <fgColor rgb="FFE2EFDA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rgb="FFBFC9D9"/>
      </left>
      <right style="thin">
        <color rgb="FFBFC9D9"/>
      </right>
      <top style="thin">
        <color rgb="FFBFC9D9"/>
      </top>
      <bottom/>
      <diagonal/>
    </border>
    <border>
      <left style="thin">
        <color rgb="FFBFC9D9"/>
      </left>
      <right style="thin">
        <color rgb="FFBFC9D9"/>
      </right>
      <top/>
      <bottom/>
      <diagonal/>
    </border>
    <border>
      <left style="thin">
        <color rgb="FFBFC9D9"/>
      </left>
      <right style="thin">
        <color rgb="FFBFC9D9"/>
      </right>
      <top/>
      <bottom style="thin">
        <color rgb="FFBFC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0" borderId="0" xfId="0" applyFont="1"/>
    <xf numFmtId="0" fontId="6" fillId="0" borderId="0" xfId="0" applyFont="1"/>
    <xf numFmtId="168" fontId="7" fillId="6" borderId="1" xfId="0" applyNumberFormat="1" applyFont="1" applyFill="1" applyBorder="1" applyAlignment="1">
      <alignment horizontal="center"/>
    </xf>
    <xf numFmtId="1" fontId="7" fillId="6" borderId="1" xfId="0" applyNumberFormat="1" applyFont="1" applyFill="1" applyBorder="1" applyAlignment="1">
      <alignment horizontal="center"/>
    </xf>
    <xf numFmtId="164" fontId="7" fillId="6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168" fontId="9" fillId="8" borderId="1" xfId="0" applyNumberFormat="1" applyFont="1" applyFill="1" applyBorder="1" applyAlignment="1">
      <alignment horizontal="center"/>
    </xf>
    <xf numFmtId="168" fontId="10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left" indent="1"/>
    </xf>
    <xf numFmtId="168" fontId="9" fillId="3" borderId="1" xfId="0" applyNumberFormat="1" applyFont="1" applyFill="1" applyBorder="1" applyAlignment="1">
      <alignment horizontal="center"/>
    </xf>
    <xf numFmtId="168" fontId="10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165" fontId="9" fillId="8" borderId="1" xfId="0" applyNumberFormat="1" applyFont="1" applyFill="1" applyBorder="1" applyAlignment="1">
      <alignment horizontal="center"/>
    </xf>
    <xf numFmtId="165" fontId="10" fillId="3" borderId="1" xfId="0" applyNumberFormat="1" applyFont="1" applyFill="1" applyBorder="1" applyAlignment="1">
      <alignment horizontal="center"/>
    </xf>
    <xf numFmtId="0" fontId="12" fillId="0" borderId="0" xfId="0" applyFont="1"/>
    <xf numFmtId="0" fontId="1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 indent="1"/>
    </xf>
    <xf numFmtId="3" fontId="6" fillId="3" borderId="1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left" indent="1"/>
    </xf>
    <xf numFmtId="3" fontId="6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left" indent="1"/>
    </xf>
    <xf numFmtId="3" fontId="6" fillId="9" borderId="1" xfId="0" applyNumberFormat="1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167" fontId="2" fillId="3" borderId="1" xfId="0" applyNumberFormat="1" applyFont="1" applyFill="1" applyBorder="1"/>
    <xf numFmtId="2" fontId="2" fillId="3" borderId="1" xfId="0" applyNumberFormat="1" applyFont="1" applyFill="1" applyBorder="1"/>
    <xf numFmtId="0" fontId="2" fillId="3" borderId="1" xfId="0" applyFont="1" applyFill="1" applyBorder="1"/>
    <xf numFmtId="164" fontId="2" fillId="4" borderId="1" xfId="0" applyNumberFormat="1" applyFont="1" applyFill="1" applyBorder="1"/>
    <xf numFmtId="165" fontId="2" fillId="4" borderId="1" xfId="0" applyNumberFormat="1" applyFont="1" applyFill="1" applyBorder="1"/>
    <xf numFmtId="166" fontId="2" fillId="4" borderId="1" xfId="0" applyNumberFormat="1" applyFont="1" applyFill="1" applyBorder="1"/>
    <xf numFmtId="167" fontId="2" fillId="4" borderId="1" xfId="0" applyNumberFormat="1" applyFont="1" applyFill="1" applyBorder="1"/>
    <xf numFmtId="2" fontId="2" fillId="4" borderId="1" xfId="0" applyNumberFormat="1" applyFont="1" applyFill="1" applyBorder="1"/>
    <xf numFmtId="0" fontId="2" fillId="4" borderId="1" xfId="0" applyFont="1" applyFill="1" applyBorder="1"/>
    <xf numFmtId="0" fontId="2" fillId="0" borderId="0" xfId="0" applyFont="1" applyAlignment="1">
      <alignment horizontal="left" vertical="center" indent="1"/>
    </xf>
    <xf numFmtId="0" fontId="0" fillId="0" borderId="0" xfId="0"/>
    <xf numFmtId="0" fontId="3" fillId="2" borderId="0" xfId="0" applyFont="1" applyFill="1" applyAlignment="1">
      <alignment horizontal="left" vertical="center" indent="1"/>
    </xf>
    <xf numFmtId="0" fontId="6" fillId="4" borderId="2" xfId="0" applyFont="1" applyFill="1" applyBorder="1" applyAlignment="1">
      <alignment horizontal="left" vertical="top" wrapText="1" inden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5" fillId="0" borderId="0" xfId="0" applyFont="1"/>
    <xf numFmtId="0" fontId="4" fillId="5" borderId="0" xfId="0" applyFont="1" applyFill="1" applyAlignment="1">
      <alignment horizontal="left" vertical="center" indent="1"/>
    </xf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Growth of $100 Invested (indexed to start)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2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98.334421040973439</c:v>
                </c:pt>
                <c:pt idx="2">
                  <c:v>94.317970904577848</c:v>
                </c:pt>
                <c:pt idx="3">
                  <c:v>93.494535299291897</c:v>
                </c:pt>
                <c:pt idx="4">
                  <c:v>92.08126157953383</c:v>
                </c:pt>
                <c:pt idx="5">
                  <c:v>92.916775796739515</c:v>
                </c:pt>
                <c:pt idx="6">
                  <c:v>94.076308313403501</c:v>
                </c:pt>
                <c:pt idx="7">
                  <c:v>95.649516867873501</c:v>
                </c:pt>
                <c:pt idx="8">
                  <c:v>92.84336055471141</c:v>
                </c:pt>
                <c:pt idx="9">
                  <c:v>93.981864136532948</c:v>
                </c:pt>
                <c:pt idx="10">
                  <c:v>91.482930919779378</c:v>
                </c:pt>
                <c:pt idx="11">
                  <c:v>89.707903032643202</c:v>
                </c:pt>
                <c:pt idx="12">
                  <c:v>88.552157588216986</c:v>
                </c:pt>
                <c:pt idx="13">
                  <c:v>85.615831374273398</c:v>
                </c:pt>
                <c:pt idx="14">
                  <c:v>85.546743913067985</c:v>
                </c:pt>
                <c:pt idx="15">
                  <c:v>83.732723227633343</c:v>
                </c:pt>
                <c:pt idx="16">
                  <c:v>84.799485000653192</c:v>
                </c:pt>
                <c:pt idx="17">
                  <c:v>81.582828813921466</c:v>
                </c:pt>
                <c:pt idx="18">
                  <c:v>84.250533015251179</c:v>
                </c:pt>
                <c:pt idx="19">
                  <c:v>88.136427872789952</c:v>
                </c:pt>
                <c:pt idx="20">
                  <c:v>88.119838603674012</c:v>
                </c:pt>
                <c:pt idx="21">
                  <c:v>88.684050469577471</c:v>
                </c:pt>
                <c:pt idx="22">
                  <c:v>85.980489767488123</c:v>
                </c:pt>
                <c:pt idx="23">
                  <c:v>88.052456257838656</c:v>
                </c:pt>
                <c:pt idx="24">
                  <c:v>87.075916722694558</c:v>
                </c:pt>
                <c:pt idx="25">
                  <c:v>88.354934953235471</c:v>
                </c:pt>
                <c:pt idx="26">
                  <c:v>89.787911504776858</c:v>
                </c:pt>
                <c:pt idx="27">
                  <c:v>87.991352520821422</c:v>
                </c:pt>
                <c:pt idx="28">
                  <c:v>85.184310633073721</c:v>
                </c:pt>
                <c:pt idx="29">
                  <c:v>85.656596524491292</c:v>
                </c:pt>
                <c:pt idx="30">
                  <c:v>88.483309503208076</c:v>
                </c:pt>
                <c:pt idx="31">
                  <c:v>88.509450909299616</c:v>
                </c:pt>
                <c:pt idx="32">
                  <c:v>85.384700895713991</c:v>
                </c:pt>
                <c:pt idx="33">
                  <c:v>84.088162087710316</c:v>
                </c:pt>
                <c:pt idx="34">
                  <c:v>82.562922176188252</c:v>
                </c:pt>
                <c:pt idx="35">
                  <c:v>79.635989395148613</c:v>
                </c:pt>
                <c:pt idx="36">
                  <c:v>82.108249767186265</c:v>
                </c:pt>
                <c:pt idx="37">
                  <c:v>82.945772338946213</c:v>
                </c:pt>
                <c:pt idx="38">
                  <c:v>84.136998792058961</c:v>
                </c:pt>
                <c:pt idx="39">
                  <c:v>83.257129456400719</c:v>
                </c:pt>
                <c:pt idx="40">
                  <c:v>84.868005615505069</c:v>
                </c:pt>
                <c:pt idx="41">
                  <c:v>83.055838159462127</c:v>
                </c:pt>
                <c:pt idx="42">
                  <c:v>81.344121462702006</c:v>
                </c:pt>
                <c:pt idx="43">
                  <c:v>78.001807851174704</c:v>
                </c:pt>
                <c:pt idx="44">
                  <c:v>78.278346498103971</c:v>
                </c:pt>
                <c:pt idx="45">
                  <c:v>81.536192258437339</c:v>
                </c:pt>
                <c:pt idx="46">
                  <c:v>80.406929155170886</c:v>
                </c:pt>
                <c:pt idx="47">
                  <c:v>78.005268245308969</c:v>
                </c:pt>
                <c:pt idx="48">
                  <c:v>75.895167601423594</c:v>
                </c:pt>
                <c:pt idx="49">
                  <c:v>78.798520419015176</c:v>
                </c:pt>
                <c:pt idx="50">
                  <c:v>82.050581049253196</c:v>
                </c:pt>
                <c:pt idx="51">
                  <c:v>83.347298568015262</c:v>
                </c:pt>
                <c:pt idx="52">
                  <c:v>85.133744934405797</c:v>
                </c:pt>
                <c:pt idx="53">
                  <c:v>85.484051463223381</c:v>
                </c:pt>
                <c:pt idx="54">
                  <c:v>88.208708718063392</c:v>
                </c:pt>
                <c:pt idx="55">
                  <c:v>87.575634774204246</c:v>
                </c:pt>
                <c:pt idx="56">
                  <c:v>89.261931537688497</c:v>
                </c:pt>
                <c:pt idx="57">
                  <c:v>89.071412316267754</c:v>
                </c:pt>
                <c:pt idx="58">
                  <c:v>91.790403806422333</c:v>
                </c:pt>
                <c:pt idx="59">
                  <c:v>93.400287346364948</c:v>
                </c:pt>
                <c:pt idx="60">
                  <c:v>92.289620781361862</c:v>
                </c:pt>
                <c:pt idx="61">
                  <c:v>90.559165328715594</c:v>
                </c:pt>
                <c:pt idx="62">
                  <c:v>90.578757566349438</c:v>
                </c:pt>
                <c:pt idx="63">
                  <c:v>93.394751302456342</c:v>
                </c:pt>
                <c:pt idx="64">
                  <c:v>90.698381449575024</c:v>
                </c:pt>
                <c:pt idx="65">
                  <c:v>87.885856614844641</c:v>
                </c:pt>
                <c:pt idx="66">
                  <c:v>88.058594262476518</c:v>
                </c:pt>
                <c:pt idx="67">
                  <c:v>86.241599005112263</c:v>
                </c:pt>
                <c:pt idx="68">
                  <c:v>83.397434650948171</c:v>
                </c:pt>
                <c:pt idx="69">
                  <c:v>83.523262631283586</c:v>
                </c:pt>
                <c:pt idx="70">
                  <c:v>85.709940629816046</c:v>
                </c:pt>
                <c:pt idx="71">
                  <c:v>83.059069972797047</c:v>
                </c:pt>
                <c:pt idx="72">
                  <c:v>83.711558910297441</c:v>
                </c:pt>
                <c:pt idx="73">
                  <c:v>85.377584704890879</c:v>
                </c:pt>
                <c:pt idx="74">
                  <c:v>83.788776214910882</c:v>
                </c:pt>
                <c:pt idx="75">
                  <c:v>83.302587084117135</c:v>
                </c:pt>
                <c:pt idx="76">
                  <c:v>81.616525179190347</c:v>
                </c:pt>
                <c:pt idx="77">
                  <c:v>82.345780801481439</c:v>
                </c:pt>
                <c:pt idx="78">
                  <c:v>77.232645694094032</c:v>
                </c:pt>
                <c:pt idx="79">
                  <c:v>77.488516934642377</c:v>
                </c:pt>
                <c:pt idx="80">
                  <c:v>79.729250771989541</c:v>
                </c:pt>
                <c:pt idx="81">
                  <c:v>76.709949170500551</c:v>
                </c:pt>
                <c:pt idx="82">
                  <c:v>78.40451661625552</c:v>
                </c:pt>
                <c:pt idx="83">
                  <c:v>78.544363827815275</c:v>
                </c:pt>
                <c:pt idx="84">
                  <c:v>81.445966969688484</c:v>
                </c:pt>
                <c:pt idx="85">
                  <c:v>76.689928783897727</c:v>
                </c:pt>
                <c:pt idx="86">
                  <c:v>76.138401773599796</c:v>
                </c:pt>
                <c:pt idx="87">
                  <c:v>72.106389426913537</c:v>
                </c:pt>
                <c:pt idx="88">
                  <c:v>73.222513622519514</c:v>
                </c:pt>
                <c:pt idx="89">
                  <c:v>69.832209366555531</c:v>
                </c:pt>
                <c:pt idx="90">
                  <c:v>69.109667923887173</c:v>
                </c:pt>
                <c:pt idx="91">
                  <c:v>72.168459293300174</c:v>
                </c:pt>
                <c:pt idx="92">
                  <c:v>70.58049495643661</c:v>
                </c:pt>
                <c:pt idx="93">
                  <c:v>72.94405761919289</c:v>
                </c:pt>
                <c:pt idx="94">
                  <c:v>69.078324045790154</c:v>
                </c:pt>
                <c:pt idx="95">
                  <c:v>68.576788612647732</c:v>
                </c:pt>
                <c:pt idx="96">
                  <c:v>67.41355788042479</c:v>
                </c:pt>
                <c:pt idx="97">
                  <c:v>68.895953325039841</c:v>
                </c:pt>
                <c:pt idx="98">
                  <c:v>66.481190294006637</c:v>
                </c:pt>
                <c:pt idx="99">
                  <c:v>67.776291407400834</c:v>
                </c:pt>
                <c:pt idx="100">
                  <c:v>69.990140070998905</c:v>
                </c:pt>
                <c:pt idx="101">
                  <c:v>73.175252987476071</c:v>
                </c:pt>
                <c:pt idx="102">
                  <c:v>73.402621944859874</c:v>
                </c:pt>
                <c:pt idx="103">
                  <c:v>72.913039245786692</c:v>
                </c:pt>
                <c:pt idx="104">
                  <c:v>74.81568195682496</c:v>
                </c:pt>
                <c:pt idx="105">
                  <c:v>71.396054351475399</c:v>
                </c:pt>
                <c:pt idx="106">
                  <c:v>71.860148736646153</c:v>
                </c:pt>
                <c:pt idx="107">
                  <c:v>72.331894447514429</c:v>
                </c:pt>
                <c:pt idx="108">
                  <c:v>72.042117035501448</c:v>
                </c:pt>
                <c:pt idx="109">
                  <c:v>70.2674492393961</c:v>
                </c:pt>
                <c:pt idx="110">
                  <c:v>67.567551169124712</c:v>
                </c:pt>
                <c:pt idx="111">
                  <c:v>64.133959292269509</c:v>
                </c:pt>
                <c:pt idx="112">
                  <c:v>64.793080915878676</c:v>
                </c:pt>
                <c:pt idx="113">
                  <c:v>66.924892966116644</c:v>
                </c:pt>
                <c:pt idx="114">
                  <c:v>63.606274341820068</c:v>
                </c:pt>
                <c:pt idx="115">
                  <c:v>64.473157166795744</c:v>
                </c:pt>
                <c:pt idx="116">
                  <c:v>67.292229028505673</c:v>
                </c:pt>
                <c:pt idx="117">
                  <c:v>66.939677057092268</c:v>
                </c:pt>
                <c:pt idx="118">
                  <c:v>67.655796470572014</c:v>
                </c:pt>
                <c:pt idx="119">
                  <c:v>70.064423814457626</c:v>
                </c:pt>
                <c:pt idx="120">
                  <c:v>69.712774725467526</c:v>
                </c:pt>
                <c:pt idx="121">
                  <c:v>67.233927855779839</c:v>
                </c:pt>
                <c:pt idx="122">
                  <c:v>67.137853867300976</c:v>
                </c:pt>
                <c:pt idx="123">
                  <c:v>65.901877178334828</c:v>
                </c:pt>
                <c:pt idx="124">
                  <c:v>66.072037351571851</c:v>
                </c:pt>
                <c:pt idx="125">
                  <c:v>67.505237086214052</c:v>
                </c:pt>
                <c:pt idx="126">
                  <c:v>67.88002417274808</c:v>
                </c:pt>
                <c:pt idx="127">
                  <c:v>70.121413918474929</c:v>
                </c:pt>
                <c:pt idx="128">
                  <c:v>70.653010528258605</c:v>
                </c:pt>
                <c:pt idx="129">
                  <c:v>68.357019629486999</c:v>
                </c:pt>
                <c:pt idx="130">
                  <c:v>67.592023762302446</c:v>
                </c:pt>
                <c:pt idx="131">
                  <c:v>67.844883908449958</c:v>
                </c:pt>
                <c:pt idx="132">
                  <c:v>68.461320179917962</c:v>
                </c:pt>
                <c:pt idx="133">
                  <c:v>69.4416036643821</c:v>
                </c:pt>
                <c:pt idx="134">
                  <c:v>68.734307830582708</c:v>
                </c:pt>
                <c:pt idx="135">
                  <c:v>70.649945207522052</c:v>
                </c:pt>
                <c:pt idx="136">
                  <c:v>71.54526445787296</c:v>
                </c:pt>
                <c:pt idx="137">
                  <c:v>73.828701776587948</c:v>
                </c:pt>
                <c:pt idx="138">
                  <c:v>72.684382643946037</c:v>
                </c:pt>
                <c:pt idx="139">
                  <c:v>72.030239869211783</c:v>
                </c:pt>
                <c:pt idx="140">
                  <c:v>70.134983791295127</c:v>
                </c:pt>
                <c:pt idx="141">
                  <c:v>73.968412696259364</c:v>
                </c:pt>
                <c:pt idx="142">
                  <c:v>75.148169832011263</c:v>
                </c:pt>
                <c:pt idx="143">
                  <c:v>77.677363690902098</c:v>
                </c:pt>
                <c:pt idx="144">
                  <c:v>77.264364242874848</c:v>
                </c:pt>
                <c:pt idx="145">
                  <c:v>77.130554005117176</c:v>
                </c:pt>
                <c:pt idx="146">
                  <c:v>79.320577197989437</c:v>
                </c:pt>
                <c:pt idx="147">
                  <c:v>79.876770460011414</c:v>
                </c:pt>
                <c:pt idx="148">
                  <c:v>78.162111401500994</c:v>
                </c:pt>
                <c:pt idx="149">
                  <c:v>77.783661301789877</c:v>
                </c:pt>
                <c:pt idx="150">
                  <c:v>76.825501868931724</c:v>
                </c:pt>
                <c:pt idx="151">
                  <c:v>79.323318319456874</c:v>
                </c:pt>
                <c:pt idx="152">
                  <c:v>78.555280321104775</c:v>
                </c:pt>
                <c:pt idx="153">
                  <c:v>80.767670374011558</c:v>
                </c:pt>
                <c:pt idx="154">
                  <c:v>81.67698647273906</c:v>
                </c:pt>
                <c:pt idx="155">
                  <c:v>81.275396879382711</c:v>
                </c:pt>
                <c:pt idx="156">
                  <c:v>80.655630843952181</c:v>
                </c:pt>
                <c:pt idx="157">
                  <c:v>80.605585993858938</c:v>
                </c:pt>
                <c:pt idx="158">
                  <c:v>78.856194475976253</c:v>
                </c:pt>
                <c:pt idx="159">
                  <c:v>76.76227941789314</c:v>
                </c:pt>
                <c:pt idx="160">
                  <c:v>77.168241704444512</c:v>
                </c:pt>
                <c:pt idx="161">
                  <c:v>77.210603898720223</c:v>
                </c:pt>
                <c:pt idx="162">
                  <c:v>78.314374023768707</c:v>
                </c:pt>
                <c:pt idx="163">
                  <c:v>75.281710272847619</c:v>
                </c:pt>
                <c:pt idx="164">
                  <c:v>74.365777827783702</c:v>
                </c:pt>
                <c:pt idx="165">
                  <c:v>73.377834583717942</c:v>
                </c:pt>
                <c:pt idx="166">
                  <c:v>72.901270517500691</c:v>
                </c:pt>
                <c:pt idx="167">
                  <c:v>72.973703290387121</c:v>
                </c:pt>
                <c:pt idx="168">
                  <c:v>71.761595092390905</c:v>
                </c:pt>
                <c:pt idx="169">
                  <c:v>71.5146432406722</c:v>
                </c:pt>
                <c:pt idx="170">
                  <c:v>72.90514882257807</c:v>
                </c:pt>
                <c:pt idx="171">
                  <c:v>73.236820647882936</c:v>
                </c:pt>
                <c:pt idx="172">
                  <c:v>75.174373194294944</c:v>
                </c:pt>
                <c:pt idx="173">
                  <c:v>76.478891120841823</c:v>
                </c:pt>
                <c:pt idx="174">
                  <c:v>72.386593888542777</c:v>
                </c:pt>
                <c:pt idx="175">
                  <c:v>73.456937210561179</c:v>
                </c:pt>
                <c:pt idx="176">
                  <c:v>72.5640632056583</c:v>
                </c:pt>
                <c:pt idx="177">
                  <c:v>72.114223658320157</c:v>
                </c:pt>
                <c:pt idx="178">
                  <c:v>72.903200385411225</c:v>
                </c:pt>
                <c:pt idx="179">
                  <c:v>72.618460536912337</c:v>
                </c:pt>
                <c:pt idx="180">
                  <c:v>71.186263234095676</c:v>
                </c:pt>
                <c:pt idx="181">
                  <c:v>70.128581358098913</c:v>
                </c:pt>
                <c:pt idx="182">
                  <c:v>68.438175977954202</c:v>
                </c:pt>
                <c:pt idx="183">
                  <c:v>68.331794380050454</c:v>
                </c:pt>
                <c:pt idx="184">
                  <c:v>68.933086660191549</c:v>
                </c:pt>
                <c:pt idx="185">
                  <c:v>69.703811245654705</c:v>
                </c:pt>
                <c:pt idx="186">
                  <c:v>66.822668740172233</c:v>
                </c:pt>
                <c:pt idx="187">
                  <c:v>65.760512113408524</c:v>
                </c:pt>
                <c:pt idx="188">
                  <c:v>65.505619367066345</c:v>
                </c:pt>
                <c:pt idx="189">
                  <c:v>67.767862607764968</c:v>
                </c:pt>
                <c:pt idx="190">
                  <c:v>67.37484957604218</c:v>
                </c:pt>
                <c:pt idx="191">
                  <c:v>66.95458048414234</c:v>
                </c:pt>
                <c:pt idx="192">
                  <c:v>63.678653651089022</c:v>
                </c:pt>
                <c:pt idx="193">
                  <c:v>62.975858911172267</c:v>
                </c:pt>
                <c:pt idx="194">
                  <c:v>61.871563273233775</c:v>
                </c:pt>
                <c:pt idx="195">
                  <c:v>61.952323022866452</c:v>
                </c:pt>
                <c:pt idx="196">
                  <c:v>63.612678813820764</c:v>
                </c:pt>
                <c:pt idx="197">
                  <c:v>60.812862332285832</c:v>
                </c:pt>
                <c:pt idx="198">
                  <c:v>63.421433763289627</c:v>
                </c:pt>
                <c:pt idx="199">
                  <c:v>63.702759171430166</c:v>
                </c:pt>
                <c:pt idx="200">
                  <c:v>63.590795150479742</c:v>
                </c:pt>
                <c:pt idx="201">
                  <c:v>62.54407969648399</c:v>
                </c:pt>
                <c:pt idx="202">
                  <c:v>64.21161803475124</c:v>
                </c:pt>
                <c:pt idx="203">
                  <c:v>64.425401615599114</c:v>
                </c:pt>
                <c:pt idx="204">
                  <c:v>65.896976728097869</c:v>
                </c:pt>
                <c:pt idx="205">
                  <c:v>63.842045403699984</c:v>
                </c:pt>
                <c:pt idx="206">
                  <c:v>62.671109266120439</c:v>
                </c:pt>
                <c:pt idx="207">
                  <c:v>64.600008524374104</c:v>
                </c:pt>
                <c:pt idx="208">
                  <c:v>63.915126135094781</c:v>
                </c:pt>
                <c:pt idx="209">
                  <c:v>63.059767543195434</c:v>
                </c:pt>
                <c:pt idx="210">
                  <c:v>60.519620741882463</c:v>
                </c:pt>
                <c:pt idx="211">
                  <c:v>59.429945005143558</c:v>
                </c:pt>
                <c:pt idx="212">
                  <c:v>59.922334170105493</c:v>
                </c:pt>
                <c:pt idx="213">
                  <c:v>59.74682068265701</c:v>
                </c:pt>
                <c:pt idx="214">
                  <c:v>59.433627320960028</c:v>
                </c:pt>
                <c:pt idx="215">
                  <c:v>57.221304504602443</c:v>
                </c:pt>
                <c:pt idx="216">
                  <c:v>62.142822736300587</c:v>
                </c:pt>
                <c:pt idx="217">
                  <c:v>63.899844605128479</c:v>
                </c:pt>
                <c:pt idx="218">
                  <c:v>62.706457693836462</c:v>
                </c:pt>
                <c:pt idx="219">
                  <c:v>64.090980454937636</c:v>
                </c:pt>
                <c:pt idx="220">
                  <c:v>62.926104055367027</c:v>
                </c:pt>
                <c:pt idx="221">
                  <c:v>62.862664625647355</c:v>
                </c:pt>
                <c:pt idx="222">
                  <c:v>62.59664547714641</c:v>
                </c:pt>
                <c:pt idx="223">
                  <c:v>60.999182305580511</c:v>
                </c:pt>
                <c:pt idx="224">
                  <c:v>62.008625096330746</c:v>
                </c:pt>
                <c:pt idx="225">
                  <c:v>63.33552164637495</c:v>
                </c:pt>
                <c:pt idx="226">
                  <c:v>62.846754791836126</c:v>
                </c:pt>
                <c:pt idx="227">
                  <c:v>61.711288280839696</c:v>
                </c:pt>
                <c:pt idx="228">
                  <c:v>61.04289345512818</c:v>
                </c:pt>
                <c:pt idx="229">
                  <c:v>64.604578394910263</c:v>
                </c:pt>
                <c:pt idx="230">
                  <c:v>64.451215228845129</c:v>
                </c:pt>
                <c:pt idx="231">
                  <c:v>64.195764011382792</c:v>
                </c:pt>
                <c:pt idx="232">
                  <c:v>62.657379530483659</c:v>
                </c:pt>
                <c:pt idx="233">
                  <c:v>61.304638389097512</c:v>
                </c:pt>
                <c:pt idx="234">
                  <c:v>60.558940144946064</c:v>
                </c:pt>
                <c:pt idx="235">
                  <c:v>61.195931263179126</c:v>
                </c:pt>
                <c:pt idx="236">
                  <c:v>61.24873518795475</c:v>
                </c:pt>
                <c:pt idx="237">
                  <c:v>61.282471243909121</c:v>
                </c:pt>
                <c:pt idx="238">
                  <c:v>61.385655057447032</c:v>
                </c:pt>
                <c:pt idx="239">
                  <c:v>60.698461998491773</c:v>
                </c:pt>
                <c:pt idx="240">
                  <c:v>58.871015007284022</c:v>
                </c:pt>
                <c:pt idx="241">
                  <c:v>57.717848372009747</c:v>
                </c:pt>
                <c:pt idx="242">
                  <c:v>56.900351848569223</c:v>
                </c:pt>
                <c:pt idx="243">
                  <c:v>56.0560736757174</c:v>
                </c:pt>
                <c:pt idx="244">
                  <c:v>56.779547688151254</c:v>
                </c:pt>
                <c:pt idx="245">
                  <c:v>54.666596619402732</c:v>
                </c:pt>
                <c:pt idx="246">
                  <c:v>54.658982138864744</c:v>
                </c:pt>
                <c:pt idx="247">
                  <c:v>53.043809749072359</c:v>
                </c:pt>
                <c:pt idx="248">
                  <c:v>52.49470350389953</c:v>
                </c:pt>
                <c:pt idx="249">
                  <c:v>54.49055942318617</c:v>
                </c:pt>
                <c:pt idx="250">
                  <c:v>54.379493928364511</c:v>
                </c:pt>
                <c:pt idx="251">
                  <c:v>52.968274472933629</c:v>
                </c:pt>
                <c:pt idx="252">
                  <c:v>53.238829829693103</c:v>
                </c:pt>
                <c:pt idx="253">
                  <c:v>52.204788714591423</c:v>
                </c:pt>
                <c:pt idx="254">
                  <c:v>53.540183075607381</c:v>
                </c:pt>
                <c:pt idx="255">
                  <c:v>54.529999746431422</c:v>
                </c:pt>
                <c:pt idx="256">
                  <c:v>54.930700127622721</c:v>
                </c:pt>
                <c:pt idx="257">
                  <c:v>56.408260114398331</c:v>
                </c:pt>
                <c:pt idx="258">
                  <c:v>57.020880022313548</c:v>
                </c:pt>
                <c:pt idx="259">
                  <c:v>57.318044624819152</c:v>
                </c:pt>
                <c:pt idx="260">
                  <c:v>58.238705571152416</c:v>
                </c:pt>
                <c:pt idx="261">
                  <c:v>57.644205165224051</c:v>
                </c:pt>
                <c:pt idx="262">
                  <c:v>57.152998257588258</c:v>
                </c:pt>
                <c:pt idx="263">
                  <c:v>59.226045930426196</c:v>
                </c:pt>
                <c:pt idx="264">
                  <c:v>61.185863910010283</c:v>
                </c:pt>
                <c:pt idx="265">
                  <c:v>61.008454231596531</c:v>
                </c:pt>
                <c:pt idx="266">
                  <c:v>60.653121272018218</c:v>
                </c:pt>
                <c:pt idx="267">
                  <c:v>62.78938429674772</c:v>
                </c:pt>
                <c:pt idx="268">
                  <c:v>64.624239570541803</c:v>
                </c:pt>
                <c:pt idx="269">
                  <c:v>62.780383106383333</c:v>
                </c:pt>
                <c:pt idx="270">
                  <c:v>63.820123384430438</c:v>
                </c:pt>
                <c:pt idx="271">
                  <c:v>65.418206088581314</c:v>
                </c:pt>
                <c:pt idx="272">
                  <c:v>68.130040787832286</c:v>
                </c:pt>
                <c:pt idx="273">
                  <c:v>67.309421813122924</c:v>
                </c:pt>
                <c:pt idx="274">
                  <c:v>66.74558142035373</c:v>
                </c:pt>
                <c:pt idx="275">
                  <c:v>68.473348291087561</c:v>
                </c:pt>
                <c:pt idx="276">
                  <c:v>67.806697758063493</c:v>
                </c:pt>
                <c:pt idx="277">
                  <c:v>67.778044691363419</c:v>
                </c:pt>
                <c:pt idx="278">
                  <c:v>66.783755029891609</c:v>
                </c:pt>
                <c:pt idx="279">
                  <c:v>67.579380489510399</c:v>
                </c:pt>
                <c:pt idx="280">
                  <c:v>68.968217889211815</c:v>
                </c:pt>
                <c:pt idx="281">
                  <c:v>69.187637004699909</c:v>
                </c:pt>
                <c:pt idx="282">
                  <c:v>67.19242584637189</c:v>
                </c:pt>
                <c:pt idx="283">
                  <c:v>67.003211489239817</c:v>
                </c:pt>
                <c:pt idx="284">
                  <c:v>64.900806291370614</c:v>
                </c:pt>
                <c:pt idx="285">
                  <c:v>65.071339771199348</c:v>
                </c:pt>
                <c:pt idx="286">
                  <c:v>65.964768213615997</c:v>
                </c:pt>
                <c:pt idx="287">
                  <c:v>64.544025076468444</c:v>
                </c:pt>
                <c:pt idx="288">
                  <c:v>65.456318680657375</c:v>
                </c:pt>
                <c:pt idx="289">
                  <c:v>65.262408413794461</c:v>
                </c:pt>
                <c:pt idx="290">
                  <c:v>64.597893638611751</c:v>
                </c:pt>
                <c:pt idx="291">
                  <c:v>64.234361897627693</c:v>
                </c:pt>
                <c:pt idx="292">
                  <c:v>65.803944049397771</c:v>
                </c:pt>
                <c:pt idx="293">
                  <c:v>65.841835570515784</c:v>
                </c:pt>
                <c:pt idx="294">
                  <c:v>64.784259683023691</c:v>
                </c:pt>
                <c:pt idx="295">
                  <c:v>64.851852685778894</c:v>
                </c:pt>
                <c:pt idx="296">
                  <c:v>63.435603426025622</c:v>
                </c:pt>
                <c:pt idx="297">
                  <c:v>62.63708770418156</c:v>
                </c:pt>
                <c:pt idx="298">
                  <c:v>63.286316637106324</c:v>
                </c:pt>
                <c:pt idx="299">
                  <c:v>65.010143598594453</c:v>
                </c:pt>
                <c:pt idx="300">
                  <c:v>65.113183082366859</c:v>
                </c:pt>
                <c:pt idx="301">
                  <c:v>67.183213148363265</c:v>
                </c:pt>
                <c:pt idx="302">
                  <c:v>67.060428384602133</c:v>
                </c:pt>
                <c:pt idx="303">
                  <c:v>67.055011471420741</c:v>
                </c:pt>
                <c:pt idx="304">
                  <c:v>68.989837490686099</c:v>
                </c:pt>
                <c:pt idx="305">
                  <c:v>68.104861726854111</c:v>
                </c:pt>
                <c:pt idx="306">
                  <c:v>69.082737045712193</c:v>
                </c:pt>
                <c:pt idx="307">
                  <c:v>69.042316996177561</c:v>
                </c:pt>
                <c:pt idx="308">
                  <c:v>68.26310825533335</c:v>
                </c:pt>
                <c:pt idx="309">
                  <c:v>67.821637736919982</c:v>
                </c:pt>
                <c:pt idx="310">
                  <c:v>69.41710722159074</c:v>
                </c:pt>
                <c:pt idx="311">
                  <c:v>69.949077313978094</c:v>
                </c:pt>
                <c:pt idx="312">
                  <c:v>71.427531617264123</c:v>
                </c:pt>
                <c:pt idx="313">
                  <c:v>70.555311260478092</c:v>
                </c:pt>
                <c:pt idx="314">
                  <c:v>70.206714188657912</c:v>
                </c:pt>
                <c:pt idx="315">
                  <c:v>69.013659851868312</c:v>
                </c:pt>
                <c:pt idx="316">
                  <c:v>69.901745247434889</c:v>
                </c:pt>
                <c:pt idx="317">
                  <c:v>69.617038826530973</c:v>
                </c:pt>
                <c:pt idx="318">
                  <c:v>69.109752380268205</c:v>
                </c:pt>
                <c:pt idx="319">
                  <c:v>68.184131007640033</c:v>
                </c:pt>
                <c:pt idx="320">
                  <c:v>69.874447736453263</c:v>
                </c:pt>
                <c:pt idx="321">
                  <c:v>69.644049174082781</c:v>
                </c:pt>
                <c:pt idx="322">
                  <c:v>69.864714981923669</c:v>
                </c:pt>
                <c:pt idx="323">
                  <c:v>69.68511216578635</c:v>
                </c:pt>
                <c:pt idx="324">
                  <c:v>69.479664435618588</c:v>
                </c:pt>
                <c:pt idx="325">
                  <c:v>68.209760248411214</c:v>
                </c:pt>
                <c:pt idx="326">
                  <c:v>67.99058303195693</c:v>
                </c:pt>
                <c:pt idx="327">
                  <c:v>67.406886765049336</c:v>
                </c:pt>
                <c:pt idx="328">
                  <c:v>66.100591294231648</c:v>
                </c:pt>
                <c:pt idx="329">
                  <c:v>67.114161006881062</c:v>
                </c:pt>
                <c:pt idx="330">
                  <c:v>69.168920484984881</c:v>
                </c:pt>
                <c:pt idx="331">
                  <c:v>69.744335186218748</c:v>
                </c:pt>
                <c:pt idx="332">
                  <c:v>69.235713132253792</c:v>
                </c:pt>
                <c:pt idx="333">
                  <c:v>68.790986862885944</c:v>
                </c:pt>
                <c:pt idx="334">
                  <c:v>68.535580587130966</c:v>
                </c:pt>
                <c:pt idx="335">
                  <c:v>68.497221783729273</c:v>
                </c:pt>
                <c:pt idx="336">
                  <c:v>70.549789150845726</c:v>
                </c:pt>
                <c:pt idx="337">
                  <c:v>70.736138327449709</c:v>
                </c:pt>
                <c:pt idx="338">
                  <c:v>70.256288588253199</c:v>
                </c:pt>
                <c:pt idx="339">
                  <c:v>71.043830759613925</c:v>
                </c:pt>
                <c:pt idx="340">
                  <c:v>71.550693809229301</c:v>
                </c:pt>
                <c:pt idx="341">
                  <c:v>70.902441918412379</c:v>
                </c:pt>
                <c:pt idx="342">
                  <c:v>71.20547927560898</c:v>
                </c:pt>
                <c:pt idx="343">
                  <c:v>71.561080858695931</c:v>
                </c:pt>
                <c:pt idx="344">
                  <c:v>73.033603824660915</c:v>
                </c:pt>
                <c:pt idx="345">
                  <c:v>74.396835569186948</c:v>
                </c:pt>
                <c:pt idx="346">
                  <c:v>74.510126778602995</c:v>
                </c:pt>
                <c:pt idx="347">
                  <c:v>75.104294522023025</c:v>
                </c:pt>
                <c:pt idx="348">
                  <c:v>73.99592133352607</c:v>
                </c:pt>
                <c:pt idx="349">
                  <c:v>73.715862741766372</c:v>
                </c:pt>
                <c:pt idx="350">
                  <c:v>76.343233520756044</c:v>
                </c:pt>
                <c:pt idx="351">
                  <c:v>78.428424137866543</c:v>
                </c:pt>
                <c:pt idx="352">
                  <c:v>78.938346890504931</c:v>
                </c:pt>
                <c:pt idx="353">
                  <c:v>78.203112407677239</c:v>
                </c:pt>
                <c:pt idx="354">
                  <c:v>79.343361851625716</c:v>
                </c:pt>
                <c:pt idx="355">
                  <c:v>80.174799222320516</c:v>
                </c:pt>
                <c:pt idx="356">
                  <c:v>80.247452010093383</c:v>
                </c:pt>
                <c:pt idx="357">
                  <c:v>80.564174469240001</c:v>
                </c:pt>
                <c:pt idx="358">
                  <c:v>79.492464238734911</c:v>
                </c:pt>
                <c:pt idx="359">
                  <c:v>80.645831439579638</c:v>
                </c:pt>
                <c:pt idx="360">
                  <c:v>81.646976266213272</c:v>
                </c:pt>
                <c:pt idx="361">
                  <c:v>83.319661970090664</c:v>
                </c:pt>
                <c:pt idx="362">
                  <c:v>84.203747788374358</c:v>
                </c:pt>
                <c:pt idx="363">
                  <c:v>84.612611015206696</c:v>
                </c:pt>
                <c:pt idx="364">
                  <c:v>85.307345451087173</c:v>
                </c:pt>
                <c:pt idx="365">
                  <c:v>84.913768095848184</c:v>
                </c:pt>
                <c:pt idx="366">
                  <c:v>85.605866636047466</c:v>
                </c:pt>
                <c:pt idx="367">
                  <c:v>83.678490291502555</c:v>
                </c:pt>
                <c:pt idx="368">
                  <c:v>85.173835078952081</c:v>
                </c:pt>
                <c:pt idx="369">
                  <c:v>84.011896039460083</c:v>
                </c:pt>
                <c:pt idx="370">
                  <c:v>81.876384497576737</c:v>
                </c:pt>
                <c:pt idx="371">
                  <c:v>83.582598944714832</c:v>
                </c:pt>
                <c:pt idx="372">
                  <c:v>84.171646149673222</c:v>
                </c:pt>
                <c:pt idx="373">
                  <c:v>83.893892023169741</c:v>
                </c:pt>
                <c:pt idx="374">
                  <c:v>85.126911536050201</c:v>
                </c:pt>
                <c:pt idx="375">
                  <c:v>86.410667537820757</c:v>
                </c:pt>
                <c:pt idx="376">
                  <c:v>86.320789931263207</c:v>
                </c:pt>
                <c:pt idx="377">
                  <c:v>85.72708322170395</c:v>
                </c:pt>
                <c:pt idx="378">
                  <c:v>85.382356681101655</c:v>
                </c:pt>
                <c:pt idx="379">
                  <c:v>84.353452957601888</c:v>
                </c:pt>
                <c:pt idx="380">
                  <c:v>84.751594888352059</c:v>
                </c:pt>
                <c:pt idx="381">
                  <c:v>85.884663046406345</c:v>
                </c:pt>
                <c:pt idx="382">
                  <c:v>87.555170016201473</c:v>
                </c:pt>
                <c:pt idx="383">
                  <c:v>87.919368402291582</c:v>
                </c:pt>
                <c:pt idx="384">
                  <c:v>88.906282666068677</c:v>
                </c:pt>
                <c:pt idx="385">
                  <c:v>89.778508449888548</c:v>
                </c:pt>
                <c:pt idx="386">
                  <c:v>89.545754584155532</c:v>
                </c:pt>
                <c:pt idx="387">
                  <c:v>85.914428655049051</c:v>
                </c:pt>
                <c:pt idx="388">
                  <c:v>85.375967214116187</c:v>
                </c:pt>
                <c:pt idx="389">
                  <c:v>86.272600158686686</c:v>
                </c:pt>
                <c:pt idx="390">
                  <c:v>86.731725580984786</c:v>
                </c:pt>
                <c:pt idx="391">
                  <c:v>86.321879738334147</c:v>
                </c:pt>
                <c:pt idx="392">
                  <c:v>85.386575099858135</c:v>
                </c:pt>
                <c:pt idx="393">
                  <c:v>87.435968238869251</c:v>
                </c:pt>
                <c:pt idx="394">
                  <c:v>87.376272391778215</c:v>
                </c:pt>
                <c:pt idx="395">
                  <c:v>86.615695303573304</c:v>
                </c:pt>
                <c:pt idx="396">
                  <c:v>84.396075414820672</c:v>
                </c:pt>
                <c:pt idx="397">
                  <c:v>84.525132274959205</c:v>
                </c:pt>
                <c:pt idx="398">
                  <c:v>83.97360247780604</c:v>
                </c:pt>
                <c:pt idx="399">
                  <c:v>84.012930754803421</c:v>
                </c:pt>
                <c:pt idx="400">
                  <c:v>83.278732630096798</c:v>
                </c:pt>
                <c:pt idx="401">
                  <c:v>81.895585343395211</c:v>
                </c:pt>
                <c:pt idx="402">
                  <c:v>82.138463590155666</c:v>
                </c:pt>
                <c:pt idx="403">
                  <c:v>81.416691612883483</c:v>
                </c:pt>
                <c:pt idx="404">
                  <c:v>82.284357514843194</c:v>
                </c:pt>
                <c:pt idx="405">
                  <c:v>80.975650534193235</c:v>
                </c:pt>
                <c:pt idx="406">
                  <c:v>80.04015245862918</c:v>
                </c:pt>
                <c:pt idx="407">
                  <c:v>79.090020166230104</c:v>
                </c:pt>
                <c:pt idx="408">
                  <c:v>78.662843838978617</c:v>
                </c:pt>
                <c:pt idx="409">
                  <c:v>80.759472003300189</c:v>
                </c:pt>
                <c:pt idx="410">
                  <c:v>80.910965101500963</c:v>
                </c:pt>
                <c:pt idx="411">
                  <c:v>82.421764907988603</c:v>
                </c:pt>
                <c:pt idx="412">
                  <c:v>80.545742267428849</c:v>
                </c:pt>
                <c:pt idx="413">
                  <c:v>81.573920645851004</c:v>
                </c:pt>
                <c:pt idx="414">
                  <c:v>82.065595187794088</c:v>
                </c:pt>
                <c:pt idx="415">
                  <c:v>84.628060695216874</c:v>
                </c:pt>
                <c:pt idx="416">
                  <c:v>85.133767258583035</c:v>
                </c:pt>
                <c:pt idx="417">
                  <c:v>85.325124648715331</c:v>
                </c:pt>
                <c:pt idx="418">
                  <c:v>84.556210756432478</c:v>
                </c:pt>
                <c:pt idx="419">
                  <c:v>85.709313000683281</c:v>
                </c:pt>
                <c:pt idx="420">
                  <c:v>84.275952391155954</c:v>
                </c:pt>
                <c:pt idx="421">
                  <c:v>83.456240816508966</c:v>
                </c:pt>
                <c:pt idx="422">
                  <c:v>83.579944039747559</c:v>
                </c:pt>
                <c:pt idx="423">
                  <c:v>85.867521891949153</c:v>
                </c:pt>
                <c:pt idx="424">
                  <c:v>84.684122541760573</c:v>
                </c:pt>
                <c:pt idx="425">
                  <c:v>85.374455565169669</c:v>
                </c:pt>
                <c:pt idx="426">
                  <c:v>86.186280222178482</c:v>
                </c:pt>
                <c:pt idx="427">
                  <c:v>84.843838505663456</c:v>
                </c:pt>
                <c:pt idx="428">
                  <c:v>84.437463324508542</c:v>
                </c:pt>
                <c:pt idx="429">
                  <c:v>84.388710020469418</c:v>
                </c:pt>
                <c:pt idx="430">
                  <c:v>82.716388191878963</c:v>
                </c:pt>
                <c:pt idx="431">
                  <c:v>81.164230925763874</c:v>
                </c:pt>
                <c:pt idx="432">
                  <c:v>80.434123904532811</c:v>
                </c:pt>
                <c:pt idx="433">
                  <c:v>80.949881745313476</c:v>
                </c:pt>
                <c:pt idx="434">
                  <c:v>79.430780337129818</c:v>
                </c:pt>
                <c:pt idx="435">
                  <c:v>79.342893894629981</c:v>
                </c:pt>
                <c:pt idx="436">
                  <c:v>79.876276277241089</c:v>
                </c:pt>
                <c:pt idx="437">
                  <c:v>80.551340091517545</c:v>
                </c:pt>
                <c:pt idx="438">
                  <c:v>81.67276517912147</c:v>
                </c:pt>
                <c:pt idx="439">
                  <c:v>80.068634588430172</c:v>
                </c:pt>
                <c:pt idx="440">
                  <c:v>81.9649935863049</c:v>
                </c:pt>
                <c:pt idx="441">
                  <c:v>82.111467880927677</c:v>
                </c:pt>
                <c:pt idx="442">
                  <c:v>83.435492943350226</c:v>
                </c:pt>
                <c:pt idx="443">
                  <c:v>83.626879962153737</c:v>
                </c:pt>
                <c:pt idx="444">
                  <c:v>83.964791497644882</c:v>
                </c:pt>
                <c:pt idx="445">
                  <c:v>84.754431789633486</c:v>
                </c:pt>
                <c:pt idx="446">
                  <c:v>84.379049665505235</c:v>
                </c:pt>
                <c:pt idx="447">
                  <c:v>82.938481955003624</c:v>
                </c:pt>
                <c:pt idx="448">
                  <c:v>83.76114513202603</c:v>
                </c:pt>
                <c:pt idx="449">
                  <c:v>83.476842071747484</c:v>
                </c:pt>
                <c:pt idx="450">
                  <c:v>81.862453565660203</c:v>
                </c:pt>
                <c:pt idx="451">
                  <c:v>80.474661676699284</c:v>
                </c:pt>
                <c:pt idx="452">
                  <c:v>78.949354616633997</c:v>
                </c:pt>
                <c:pt idx="453">
                  <c:v>79.328061371044043</c:v>
                </c:pt>
                <c:pt idx="454">
                  <c:v>80.15085632231586</c:v>
                </c:pt>
                <c:pt idx="455">
                  <c:v>78.627433880432534</c:v>
                </c:pt>
                <c:pt idx="456">
                  <c:v>76.513025638423315</c:v>
                </c:pt>
                <c:pt idx="457">
                  <c:v>77.165576473445242</c:v>
                </c:pt>
                <c:pt idx="458">
                  <c:v>77.573639080773276</c:v>
                </c:pt>
                <c:pt idx="459">
                  <c:v>77.950947831259455</c:v>
                </c:pt>
                <c:pt idx="460">
                  <c:v>79.749253997431225</c:v>
                </c:pt>
                <c:pt idx="461">
                  <c:v>81.628705232640456</c:v>
                </c:pt>
                <c:pt idx="462">
                  <c:v>82.403493053026764</c:v>
                </c:pt>
                <c:pt idx="463">
                  <c:v>83.061137027322999</c:v>
                </c:pt>
                <c:pt idx="464">
                  <c:v>83.928696970113265</c:v>
                </c:pt>
                <c:pt idx="465">
                  <c:v>84.010277551284545</c:v>
                </c:pt>
                <c:pt idx="466">
                  <c:v>82.845184671733264</c:v>
                </c:pt>
                <c:pt idx="467">
                  <c:v>85.083786036794905</c:v>
                </c:pt>
                <c:pt idx="468">
                  <c:v>85.226573761979978</c:v>
                </c:pt>
                <c:pt idx="469">
                  <c:v>87.313103712377909</c:v>
                </c:pt>
                <c:pt idx="470">
                  <c:v>87.592717404701744</c:v>
                </c:pt>
                <c:pt idx="471">
                  <c:v>87.553705831799661</c:v>
                </c:pt>
                <c:pt idx="472">
                  <c:v>87.38633194175253</c:v>
                </c:pt>
                <c:pt idx="473">
                  <c:v>88.373477426507606</c:v>
                </c:pt>
                <c:pt idx="474">
                  <c:v>88.062062899835269</c:v>
                </c:pt>
                <c:pt idx="475">
                  <c:v>88.11724392411476</c:v>
                </c:pt>
                <c:pt idx="476">
                  <c:v>87.816400496695536</c:v>
                </c:pt>
                <c:pt idx="477">
                  <c:v>87.982080624140778</c:v>
                </c:pt>
                <c:pt idx="478">
                  <c:v>89.007298364909218</c:v>
                </c:pt>
                <c:pt idx="479">
                  <c:v>88.518753666735094</c:v>
                </c:pt>
                <c:pt idx="480">
                  <c:v>87.869827679641503</c:v>
                </c:pt>
                <c:pt idx="481">
                  <c:v>87.796176200295946</c:v>
                </c:pt>
                <c:pt idx="482">
                  <c:v>86.549277503000397</c:v>
                </c:pt>
                <c:pt idx="483">
                  <c:v>87.659861899777084</c:v>
                </c:pt>
                <c:pt idx="484">
                  <c:v>87.289178120211005</c:v>
                </c:pt>
                <c:pt idx="485">
                  <c:v>88.559561734523541</c:v>
                </c:pt>
                <c:pt idx="486">
                  <c:v>89.160205484117711</c:v>
                </c:pt>
                <c:pt idx="487">
                  <c:v>88.458908620215709</c:v>
                </c:pt>
                <c:pt idx="488">
                  <c:v>88.772473015017269</c:v>
                </c:pt>
                <c:pt idx="489">
                  <c:v>89.510748455599895</c:v>
                </c:pt>
                <c:pt idx="490">
                  <c:v>90.056703486224393</c:v>
                </c:pt>
                <c:pt idx="491">
                  <c:v>90.489730273324938</c:v>
                </c:pt>
                <c:pt idx="492">
                  <c:v>90.875664370078795</c:v>
                </c:pt>
                <c:pt idx="493">
                  <c:v>91.626872285687782</c:v>
                </c:pt>
                <c:pt idx="494">
                  <c:v>89.882505907811847</c:v>
                </c:pt>
                <c:pt idx="495">
                  <c:v>91.464848453631802</c:v>
                </c:pt>
                <c:pt idx="496">
                  <c:v>91.436910083288893</c:v>
                </c:pt>
                <c:pt idx="497">
                  <c:v>91.848793909165124</c:v>
                </c:pt>
                <c:pt idx="498">
                  <c:v>92.133974799505452</c:v>
                </c:pt>
                <c:pt idx="499">
                  <c:v>91.631006160057225</c:v>
                </c:pt>
                <c:pt idx="500">
                  <c:v>91.01579900908618</c:v>
                </c:pt>
                <c:pt idx="501">
                  <c:v>89.362299718050693</c:v>
                </c:pt>
                <c:pt idx="502">
                  <c:v>88.268216379088216</c:v>
                </c:pt>
                <c:pt idx="503">
                  <c:v>87.541854128566115</c:v>
                </c:pt>
                <c:pt idx="504">
                  <c:v>87.586777296120374</c:v>
                </c:pt>
                <c:pt idx="505">
                  <c:v>89.568537330996307</c:v>
                </c:pt>
                <c:pt idx="506">
                  <c:v>89.347449593273851</c:v>
                </c:pt>
                <c:pt idx="507">
                  <c:v>89.91201870468231</c:v>
                </c:pt>
                <c:pt idx="508">
                  <c:v>89.640013479156295</c:v>
                </c:pt>
                <c:pt idx="509">
                  <c:v>89.177019608447807</c:v>
                </c:pt>
                <c:pt idx="510">
                  <c:v>89.359356857599934</c:v>
                </c:pt>
                <c:pt idx="511">
                  <c:v>88.765231122355559</c:v>
                </c:pt>
                <c:pt idx="512">
                  <c:v>90.512218845594887</c:v>
                </c:pt>
                <c:pt idx="513">
                  <c:v>91.778238361960803</c:v>
                </c:pt>
                <c:pt idx="514">
                  <c:v>91.635982368753361</c:v>
                </c:pt>
                <c:pt idx="515">
                  <c:v>92.032279812036592</c:v>
                </c:pt>
                <c:pt idx="516">
                  <c:v>92.554569161413554</c:v>
                </c:pt>
                <c:pt idx="517">
                  <c:v>91.20716396773058</c:v>
                </c:pt>
                <c:pt idx="518">
                  <c:v>91.067170783627432</c:v>
                </c:pt>
                <c:pt idx="519">
                  <c:v>92.267722846388537</c:v>
                </c:pt>
                <c:pt idx="520">
                  <c:v>91.428717022270092</c:v>
                </c:pt>
                <c:pt idx="521">
                  <c:v>88.945267074466031</c:v>
                </c:pt>
                <c:pt idx="522">
                  <c:v>90.060098345257941</c:v>
                </c:pt>
                <c:pt idx="523">
                  <c:v>91.482485316295907</c:v>
                </c:pt>
                <c:pt idx="524">
                  <c:v>91.318014038643085</c:v>
                </c:pt>
                <c:pt idx="525">
                  <c:v>91.549663664328477</c:v>
                </c:pt>
                <c:pt idx="526">
                  <c:v>93.052817220128432</c:v>
                </c:pt>
                <c:pt idx="527">
                  <c:v>93.77256623385793</c:v>
                </c:pt>
                <c:pt idx="528">
                  <c:v>95.109313319734198</c:v>
                </c:pt>
                <c:pt idx="529">
                  <c:v>93.939443535638674</c:v>
                </c:pt>
                <c:pt idx="530">
                  <c:v>92.101554344566139</c:v>
                </c:pt>
                <c:pt idx="531">
                  <c:v>93.217145282757969</c:v>
                </c:pt>
                <c:pt idx="532">
                  <c:v>93.480167447146258</c:v>
                </c:pt>
                <c:pt idx="533">
                  <c:v>92.765678666663646</c:v>
                </c:pt>
                <c:pt idx="534">
                  <c:v>91.842768258795886</c:v>
                </c:pt>
                <c:pt idx="535">
                  <c:v>91.926110073800984</c:v>
                </c:pt>
                <c:pt idx="536">
                  <c:v>94.698634530058641</c:v>
                </c:pt>
                <c:pt idx="537">
                  <c:v>94.213203893252327</c:v>
                </c:pt>
                <c:pt idx="538">
                  <c:v>94.540697694533677</c:v>
                </c:pt>
                <c:pt idx="539">
                  <c:v>94.738413514884883</c:v>
                </c:pt>
                <c:pt idx="540">
                  <c:v>94.327192139164069</c:v>
                </c:pt>
                <c:pt idx="541">
                  <c:v>95.183848613546374</c:v>
                </c:pt>
                <c:pt idx="542">
                  <c:v>96.22789939391366</c:v>
                </c:pt>
                <c:pt idx="543">
                  <c:v>95.168946975950604</c:v>
                </c:pt>
                <c:pt idx="544">
                  <c:v>92.885289143648919</c:v>
                </c:pt>
                <c:pt idx="545">
                  <c:v>93.248256913140708</c:v>
                </c:pt>
                <c:pt idx="546">
                  <c:v>95.254536404365126</c:v>
                </c:pt>
                <c:pt idx="547">
                  <c:v>94.363456048822741</c:v>
                </c:pt>
                <c:pt idx="548">
                  <c:v>93.634098603642173</c:v>
                </c:pt>
                <c:pt idx="549">
                  <c:v>95.54668613422534</c:v>
                </c:pt>
                <c:pt idx="550">
                  <c:v>94.540958074818079</c:v>
                </c:pt>
                <c:pt idx="551">
                  <c:v>94.628777104756708</c:v>
                </c:pt>
                <c:pt idx="552">
                  <c:v>93.732850319965905</c:v>
                </c:pt>
                <c:pt idx="553">
                  <c:v>95.050144921664327</c:v>
                </c:pt>
                <c:pt idx="554">
                  <c:v>95.193197310090056</c:v>
                </c:pt>
                <c:pt idx="555">
                  <c:v>96.685287226644533</c:v>
                </c:pt>
                <c:pt idx="556">
                  <c:v>97.210074595707013</c:v>
                </c:pt>
                <c:pt idx="557">
                  <c:v>97.553239969345512</c:v>
                </c:pt>
                <c:pt idx="558">
                  <c:v>97.740649471025591</c:v>
                </c:pt>
                <c:pt idx="559">
                  <c:v>97.703984899591035</c:v>
                </c:pt>
                <c:pt idx="560">
                  <c:v>98.01347896032226</c:v>
                </c:pt>
                <c:pt idx="561">
                  <c:v>97.446544366195909</c:v>
                </c:pt>
                <c:pt idx="562">
                  <c:v>98.528698204660898</c:v>
                </c:pt>
                <c:pt idx="563">
                  <c:v>97.278795629452787</c:v>
                </c:pt>
                <c:pt idx="564">
                  <c:v>97.944084152988182</c:v>
                </c:pt>
                <c:pt idx="565">
                  <c:v>96.796178719026415</c:v>
                </c:pt>
                <c:pt idx="566">
                  <c:v>97.500668262948835</c:v>
                </c:pt>
                <c:pt idx="567">
                  <c:v>98.062934903902772</c:v>
                </c:pt>
                <c:pt idx="568">
                  <c:v>98.688480173029717</c:v>
                </c:pt>
                <c:pt idx="569">
                  <c:v>98.142651166932012</c:v>
                </c:pt>
                <c:pt idx="570">
                  <c:v>100.36314454411939</c:v>
                </c:pt>
                <c:pt idx="571">
                  <c:v>98.663587043398039</c:v>
                </c:pt>
                <c:pt idx="572">
                  <c:v>96.350603514885265</c:v>
                </c:pt>
                <c:pt idx="573">
                  <c:v>95.883984561566024</c:v>
                </c:pt>
                <c:pt idx="574">
                  <c:v>94.756900632411529</c:v>
                </c:pt>
                <c:pt idx="575">
                  <c:v>92.987503952956061</c:v>
                </c:pt>
                <c:pt idx="576">
                  <c:v>90.5795879318662</c:v>
                </c:pt>
                <c:pt idx="577">
                  <c:v>91.294062455384122</c:v>
                </c:pt>
                <c:pt idx="578">
                  <c:v>92.967303066140389</c:v>
                </c:pt>
                <c:pt idx="579">
                  <c:v>94.040812842404918</c:v>
                </c:pt>
                <c:pt idx="580">
                  <c:v>94.257933741059517</c:v>
                </c:pt>
                <c:pt idx="581">
                  <c:v>96.464773757111104</c:v>
                </c:pt>
                <c:pt idx="582">
                  <c:v>98.060020264028154</c:v>
                </c:pt>
                <c:pt idx="583">
                  <c:v>95.399542407641519</c:v>
                </c:pt>
                <c:pt idx="584">
                  <c:v>95.02430696010407</c:v>
                </c:pt>
                <c:pt idx="585">
                  <c:v>96.550950947961013</c:v>
                </c:pt>
                <c:pt idx="586">
                  <c:v>99.066293021623579</c:v>
                </c:pt>
                <c:pt idx="587">
                  <c:v>100.4100024345792</c:v>
                </c:pt>
                <c:pt idx="588">
                  <c:v>99.615420138875393</c:v>
                </c:pt>
                <c:pt idx="589">
                  <c:v>99.553630454112806</c:v>
                </c:pt>
                <c:pt idx="590">
                  <c:v>99.383941714106953</c:v>
                </c:pt>
                <c:pt idx="591">
                  <c:v>99.705345562001639</c:v>
                </c:pt>
                <c:pt idx="592">
                  <c:v>100.15446470726329</c:v>
                </c:pt>
                <c:pt idx="593">
                  <c:v>101.68874127554952</c:v>
                </c:pt>
                <c:pt idx="594">
                  <c:v>102.95271072253871</c:v>
                </c:pt>
                <c:pt idx="595">
                  <c:v>102.50852788994051</c:v>
                </c:pt>
                <c:pt idx="596">
                  <c:v>102.71613041657095</c:v>
                </c:pt>
                <c:pt idx="597">
                  <c:v>103.60184616380428</c:v>
                </c:pt>
                <c:pt idx="598">
                  <c:v>104.76324443604075</c:v>
                </c:pt>
                <c:pt idx="599">
                  <c:v>104.12761579666123</c:v>
                </c:pt>
                <c:pt idx="600">
                  <c:v>103.56309690731752</c:v>
                </c:pt>
                <c:pt idx="601">
                  <c:v>105.27894161138336</c:v>
                </c:pt>
                <c:pt idx="602">
                  <c:v>105.96843282850152</c:v>
                </c:pt>
                <c:pt idx="603">
                  <c:v>105.51799394594488</c:v>
                </c:pt>
                <c:pt idx="604">
                  <c:v>103.90862670760255</c:v>
                </c:pt>
                <c:pt idx="605">
                  <c:v>103.44423090203738</c:v>
                </c:pt>
                <c:pt idx="606">
                  <c:v>104.48296741350202</c:v>
                </c:pt>
                <c:pt idx="607">
                  <c:v>104.39215653313116</c:v>
                </c:pt>
                <c:pt idx="608">
                  <c:v>107.05307042968745</c:v>
                </c:pt>
                <c:pt idx="609">
                  <c:v>107.17164566329377</c:v>
                </c:pt>
                <c:pt idx="610">
                  <c:v>107.30453336396477</c:v>
                </c:pt>
                <c:pt idx="611">
                  <c:v>107.883919861935</c:v>
                </c:pt>
                <c:pt idx="612">
                  <c:v>109.05850799727979</c:v>
                </c:pt>
                <c:pt idx="613">
                  <c:v>111.9464600075013</c:v>
                </c:pt>
                <c:pt idx="614">
                  <c:v>112.63752007743652</c:v>
                </c:pt>
                <c:pt idx="615">
                  <c:v>112.23096612685246</c:v>
                </c:pt>
                <c:pt idx="616">
                  <c:v>114.35517441861123</c:v>
                </c:pt>
                <c:pt idx="617">
                  <c:v>114.51394255838328</c:v>
                </c:pt>
                <c:pt idx="618">
                  <c:v>112.73648981384493</c:v>
                </c:pt>
                <c:pt idx="619">
                  <c:v>112.54279598295982</c:v>
                </c:pt>
                <c:pt idx="620">
                  <c:v>110.95856653080291</c:v>
                </c:pt>
                <c:pt idx="621">
                  <c:v>113.09626202845506</c:v>
                </c:pt>
                <c:pt idx="622">
                  <c:v>114.58044384727188</c:v>
                </c:pt>
                <c:pt idx="623">
                  <c:v>114.2443126135714</c:v>
                </c:pt>
                <c:pt idx="624">
                  <c:v>113.33125623243885</c:v>
                </c:pt>
                <c:pt idx="625">
                  <c:v>115.48624044119879</c:v>
                </c:pt>
                <c:pt idx="626">
                  <c:v>117.87077081598861</c:v>
                </c:pt>
                <c:pt idx="627">
                  <c:v>120.34706453025994</c:v>
                </c:pt>
                <c:pt idx="628">
                  <c:v>121.50901970417718</c:v>
                </c:pt>
                <c:pt idx="629">
                  <c:v>121.82459157347341</c:v>
                </c:pt>
                <c:pt idx="630">
                  <c:v>122.30738191430103</c:v>
                </c:pt>
                <c:pt idx="631">
                  <c:v>124.40595876513972</c:v>
                </c:pt>
                <c:pt idx="632">
                  <c:v>119.62663663859701</c:v>
                </c:pt>
                <c:pt idx="633">
                  <c:v>120.88330522893493</c:v>
                </c:pt>
                <c:pt idx="634">
                  <c:v>121.36612431837435</c:v>
                </c:pt>
                <c:pt idx="635">
                  <c:v>121.06751084450293</c:v>
                </c:pt>
                <c:pt idx="636">
                  <c:v>116.80267645680425</c:v>
                </c:pt>
                <c:pt idx="637">
                  <c:v>115.86345895624608</c:v>
                </c:pt>
                <c:pt idx="638">
                  <c:v>114.08414529646278</c:v>
                </c:pt>
                <c:pt idx="639">
                  <c:v>116.2342178342269</c:v>
                </c:pt>
                <c:pt idx="640">
                  <c:v>116.11059939005783</c:v>
                </c:pt>
                <c:pt idx="641">
                  <c:v>109.81347458853845</c:v>
                </c:pt>
                <c:pt idx="642">
                  <c:v>108.73226769414484</c:v>
                </c:pt>
                <c:pt idx="643">
                  <c:v>109.58662950126707</c:v>
                </c:pt>
                <c:pt idx="644">
                  <c:v>110.34954643312193</c:v>
                </c:pt>
                <c:pt idx="645">
                  <c:v>108.01175473005881</c:v>
                </c:pt>
                <c:pt idx="646">
                  <c:v>111.41279096016081</c:v>
                </c:pt>
                <c:pt idx="647">
                  <c:v>107.99196019607081</c:v>
                </c:pt>
                <c:pt idx="648">
                  <c:v>104.34177863917044</c:v>
                </c:pt>
                <c:pt idx="649">
                  <c:v>100.24311897238162</c:v>
                </c:pt>
                <c:pt idx="650">
                  <c:v>101.35482849595239</c:v>
                </c:pt>
                <c:pt idx="651">
                  <c:v>100.39477036395937</c:v>
                </c:pt>
                <c:pt idx="652">
                  <c:v>103.41380325393375</c:v>
                </c:pt>
                <c:pt idx="653">
                  <c:v>104.3842418642821</c:v>
                </c:pt>
                <c:pt idx="654">
                  <c:v>104.86081135753318</c:v>
                </c:pt>
                <c:pt idx="655">
                  <c:v>107.70353851578814</c:v>
                </c:pt>
                <c:pt idx="656">
                  <c:v>107.42713258183838</c:v>
                </c:pt>
                <c:pt idx="657">
                  <c:v>110.48551469422713</c:v>
                </c:pt>
                <c:pt idx="658">
                  <c:v>110.94964577788096</c:v>
                </c:pt>
                <c:pt idx="659">
                  <c:v>112.39636686472716</c:v>
                </c:pt>
                <c:pt idx="660">
                  <c:v>112.01029823620414</c:v>
                </c:pt>
                <c:pt idx="661">
                  <c:v>112.20640542504667</c:v>
                </c:pt>
                <c:pt idx="662">
                  <c:v>109.28566873257503</c:v>
                </c:pt>
                <c:pt idx="663">
                  <c:v>111.27679512385625</c:v>
                </c:pt>
                <c:pt idx="664">
                  <c:v>109.90712735719472</c:v>
                </c:pt>
                <c:pt idx="665">
                  <c:v>109.78883573744488</c:v>
                </c:pt>
                <c:pt idx="666">
                  <c:v>108.37766119438615</c:v>
                </c:pt>
                <c:pt idx="667">
                  <c:v>108.27836442785055</c:v>
                </c:pt>
                <c:pt idx="668">
                  <c:v>109.7534683737809</c:v>
                </c:pt>
                <c:pt idx="669">
                  <c:v>105.68922149940209</c:v>
                </c:pt>
                <c:pt idx="670">
                  <c:v>105.81233572812185</c:v>
                </c:pt>
                <c:pt idx="671">
                  <c:v>107.30402011323754</c:v>
                </c:pt>
                <c:pt idx="672">
                  <c:v>103.59469010628371</c:v>
                </c:pt>
                <c:pt idx="673">
                  <c:v>105.16063825750631</c:v>
                </c:pt>
                <c:pt idx="674">
                  <c:v>106.61256577662579</c:v>
                </c:pt>
                <c:pt idx="675">
                  <c:v>109.54887905369421</c:v>
                </c:pt>
                <c:pt idx="676">
                  <c:v>110.45459421277788</c:v>
                </c:pt>
                <c:pt idx="677">
                  <c:v>111.18914917229499</c:v>
                </c:pt>
                <c:pt idx="678">
                  <c:v>109.69292743484331</c:v>
                </c:pt>
                <c:pt idx="679">
                  <c:v>110.11492912930652</c:v>
                </c:pt>
                <c:pt idx="680">
                  <c:v>109.94539211156618</c:v>
                </c:pt>
                <c:pt idx="681">
                  <c:v>113.79780079139088</c:v>
                </c:pt>
                <c:pt idx="682">
                  <c:v>113.06420075515176</c:v>
                </c:pt>
                <c:pt idx="683">
                  <c:v>113.86012238414311</c:v>
                </c:pt>
                <c:pt idx="684">
                  <c:v>114.98764516965774</c:v>
                </c:pt>
                <c:pt idx="685">
                  <c:v>115.45162722989501</c:v>
                </c:pt>
                <c:pt idx="686">
                  <c:v>116.596942707284</c:v>
                </c:pt>
                <c:pt idx="687">
                  <c:v>115.87001610391053</c:v>
                </c:pt>
                <c:pt idx="688">
                  <c:v>115.95008286532149</c:v>
                </c:pt>
                <c:pt idx="689">
                  <c:v>113.68544358917086</c:v>
                </c:pt>
                <c:pt idx="690">
                  <c:v>113.28080500018245</c:v>
                </c:pt>
                <c:pt idx="691">
                  <c:v>113.14312414320085</c:v>
                </c:pt>
                <c:pt idx="692">
                  <c:v>114.5244798046791</c:v>
                </c:pt>
                <c:pt idx="693">
                  <c:v>113.13154525842657</c:v>
                </c:pt>
                <c:pt idx="694">
                  <c:v>115.0199758585234</c:v>
                </c:pt>
                <c:pt idx="695">
                  <c:v>115.29692015423272</c:v>
                </c:pt>
                <c:pt idx="696">
                  <c:v>115.35414608487295</c:v>
                </c:pt>
                <c:pt idx="697">
                  <c:v>114.54324654645882</c:v>
                </c:pt>
                <c:pt idx="698">
                  <c:v>115.72860661064483</c:v>
                </c:pt>
                <c:pt idx="699">
                  <c:v>114.81198939124837</c:v>
                </c:pt>
                <c:pt idx="700">
                  <c:v>115.19473597099763</c:v>
                </c:pt>
                <c:pt idx="701">
                  <c:v>116.85442736099773</c:v>
                </c:pt>
                <c:pt idx="702">
                  <c:v>116.95425028580067</c:v>
                </c:pt>
                <c:pt idx="703">
                  <c:v>117.46362476134205</c:v>
                </c:pt>
                <c:pt idx="704">
                  <c:v>117.64251786812609</c:v>
                </c:pt>
                <c:pt idx="705">
                  <c:v>115.97400171036523</c:v>
                </c:pt>
                <c:pt idx="706">
                  <c:v>119.27636965378842</c:v>
                </c:pt>
                <c:pt idx="707">
                  <c:v>120.95500567493782</c:v>
                </c:pt>
                <c:pt idx="708">
                  <c:v>119.88811981352194</c:v>
                </c:pt>
                <c:pt idx="709">
                  <c:v>120.67320673609099</c:v>
                </c:pt>
                <c:pt idx="710">
                  <c:v>120.00930319159818</c:v>
                </c:pt>
                <c:pt idx="711">
                  <c:v>115.34950817106642</c:v>
                </c:pt>
                <c:pt idx="712">
                  <c:v>116.26620846808396</c:v>
                </c:pt>
                <c:pt idx="713">
                  <c:v>115.53441490073928</c:v>
                </c:pt>
                <c:pt idx="714">
                  <c:v>117.59488341312306</c:v>
                </c:pt>
                <c:pt idx="715">
                  <c:v>122.55488939161398</c:v>
                </c:pt>
                <c:pt idx="716">
                  <c:v>125.19877812556118</c:v>
                </c:pt>
                <c:pt idx="717">
                  <c:v>126.42412387122535</c:v>
                </c:pt>
                <c:pt idx="718">
                  <c:v>127.24128039832827</c:v>
                </c:pt>
                <c:pt idx="719">
                  <c:v>126.01060031840332</c:v>
                </c:pt>
                <c:pt idx="720">
                  <c:v>125.46984491425816</c:v>
                </c:pt>
                <c:pt idx="721">
                  <c:v>124.42285661246792</c:v>
                </c:pt>
                <c:pt idx="722">
                  <c:v>122.75719806672298</c:v>
                </c:pt>
                <c:pt idx="723">
                  <c:v>124.81826713174095</c:v>
                </c:pt>
                <c:pt idx="724">
                  <c:v>126.5038483481439</c:v>
                </c:pt>
                <c:pt idx="725">
                  <c:v>125.90935908963634</c:v>
                </c:pt>
                <c:pt idx="726">
                  <c:v>125.38203362884366</c:v>
                </c:pt>
                <c:pt idx="727">
                  <c:v>126.16564228605816</c:v>
                </c:pt>
                <c:pt idx="728">
                  <c:v>125.32816248519218</c:v>
                </c:pt>
                <c:pt idx="729">
                  <c:v>126.06425942637489</c:v>
                </c:pt>
                <c:pt idx="730">
                  <c:v>124.87712657023961</c:v>
                </c:pt>
                <c:pt idx="731">
                  <c:v>126.54103145066269</c:v>
                </c:pt>
                <c:pt idx="732">
                  <c:v>129.17910944478191</c:v>
                </c:pt>
                <c:pt idx="733">
                  <c:v>129.89986847351685</c:v>
                </c:pt>
                <c:pt idx="734">
                  <c:v>132.03816874808891</c:v>
                </c:pt>
                <c:pt idx="735">
                  <c:v>133.1928128566642</c:v>
                </c:pt>
                <c:pt idx="736">
                  <c:v>135.05707444012361</c:v>
                </c:pt>
                <c:pt idx="737">
                  <c:v>134.84820169421528</c:v>
                </c:pt>
                <c:pt idx="738">
                  <c:v>134.58689159766749</c:v>
                </c:pt>
                <c:pt idx="739">
                  <c:v>138.09537828732684</c:v>
                </c:pt>
                <c:pt idx="740">
                  <c:v>137.14809333958246</c:v>
                </c:pt>
                <c:pt idx="741">
                  <c:v>139.01686024121045</c:v>
                </c:pt>
                <c:pt idx="742">
                  <c:v>142.67026082124698</c:v>
                </c:pt>
                <c:pt idx="743">
                  <c:v>143.6599425789426</c:v>
                </c:pt>
                <c:pt idx="744">
                  <c:v>137.12337586983625</c:v>
                </c:pt>
                <c:pt idx="745">
                  <c:v>136.13393689123384</c:v>
                </c:pt>
                <c:pt idx="746">
                  <c:v>136.60208984701214</c:v>
                </c:pt>
                <c:pt idx="747">
                  <c:v>138.52853890214897</c:v>
                </c:pt>
                <c:pt idx="748">
                  <c:v>141.68691044660693</c:v>
                </c:pt>
                <c:pt idx="749">
                  <c:v>140.84195612400597</c:v>
                </c:pt>
                <c:pt idx="750">
                  <c:v>137.62393167936273</c:v>
                </c:pt>
                <c:pt idx="751">
                  <c:v>135.43222763142865</c:v>
                </c:pt>
                <c:pt idx="752">
                  <c:v>133.25283139225542</c:v>
                </c:pt>
                <c:pt idx="753">
                  <c:v>131.9291421605555</c:v>
                </c:pt>
                <c:pt idx="754">
                  <c:v>136.08783197972147</c:v>
                </c:pt>
                <c:pt idx="755">
                  <c:v>139.05423625278198</c:v>
                </c:pt>
                <c:pt idx="756">
                  <c:v>135.4536850085934</c:v>
                </c:pt>
                <c:pt idx="757">
                  <c:v>135.10852565470645</c:v>
                </c:pt>
                <c:pt idx="758">
                  <c:v>133.65489692181418</c:v>
                </c:pt>
                <c:pt idx="759">
                  <c:v>132.72856009011056</c:v>
                </c:pt>
                <c:pt idx="760">
                  <c:v>132.25041047928028</c:v>
                </c:pt>
                <c:pt idx="761">
                  <c:v>137.70974405619566</c:v>
                </c:pt>
                <c:pt idx="762">
                  <c:v>135.94750977068946</c:v>
                </c:pt>
                <c:pt idx="763">
                  <c:v>138.1549436509226</c:v>
                </c:pt>
                <c:pt idx="764">
                  <c:v>138.89892862448551</c:v>
                </c:pt>
                <c:pt idx="765">
                  <c:v>140.54291365044133</c:v>
                </c:pt>
                <c:pt idx="766">
                  <c:v>140.25237924054227</c:v>
                </c:pt>
                <c:pt idx="767">
                  <c:v>139.11390112177696</c:v>
                </c:pt>
                <c:pt idx="768">
                  <c:v>132.63937978406628</c:v>
                </c:pt>
                <c:pt idx="769">
                  <c:v>136.2344575272447</c:v>
                </c:pt>
                <c:pt idx="770">
                  <c:v>135.22298291368563</c:v>
                </c:pt>
                <c:pt idx="771">
                  <c:v>135.35023037139786</c:v>
                </c:pt>
                <c:pt idx="772">
                  <c:v>135.35568521514571</c:v>
                </c:pt>
                <c:pt idx="773">
                  <c:v>131.62262692537502</c:v>
                </c:pt>
                <c:pt idx="774">
                  <c:v>133.86499001695947</c:v>
                </c:pt>
                <c:pt idx="775">
                  <c:v>133.07063735812648</c:v>
                </c:pt>
                <c:pt idx="776">
                  <c:v>133.55073858900585</c:v>
                </c:pt>
                <c:pt idx="777">
                  <c:v>130.92731358632537</c:v>
                </c:pt>
                <c:pt idx="778">
                  <c:v>131.30449443482399</c:v>
                </c:pt>
                <c:pt idx="779">
                  <c:v>129.6281979639715</c:v>
                </c:pt>
                <c:pt idx="780">
                  <c:v>130.00417629910663</c:v>
                </c:pt>
                <c:pt idx="781">
                  <c:v>133.2254219963701</c:v>
                </c:pt>
                <c:pt idx="782">
                  <c:v>134.10925993121515</c:v>
                </c:pt>
                <c:pt idx="783">
                  <c:v>133.67531125240504</c:v>
                </c:pt>
                <c:pt idx="784">
                  <c:v>134.09022541665095</c:v>
                </c:pt>
                <c:pt idx="785">
                  <c:v>133.20900571762536</c:v>
                </c:pt>
                <c:pt idx="786">
                  <c:v>129.59344687667203</c:v>
                </c:pt>
                <c:pt idx="787">
                  <c:v>127.49397670672364</c:v>
                </c:pt>
                <c:pt idx="788">
                  <c:v>123.89946396177368</c:v>
                </c:pt>
                <c:pt idx="789">
                  <c:v>123.92341495832623</c:v>
                </c:pt>
                <c:pt idx="790">
                  <c:v>119.75824684483116</c:v>
                </c:pt>
                <c:pt idx="791">
                  <c:v>122.06188402362564</c:v>
                </c:pt>
                <c:pt idx="792">
                  <c:v>118.06167556216091</c:v>
                </c:pt>
                <c:pt idx="793">
                  <c:v>117.84652541018256</c:v>
                </c:pt>
                <c:pt idx="794">
                  <c:v>120.27883410037583</c:v>
                </c:pt>
                <c:pt idx="795">
                  <c:v>116.58602140300238</c:v>
                </c:pt>
                <c:pt idx="796">
                  <c:v>117.11229630737994</c:v>
                </c:pt>
                <c:pt idx="797">
                  <c:v>109.39190048567345</c:v>
                </c:pt>
                <c:pt idx="798">
                  <c:v>109.75379153164617</c:v>
                </c:pt>
                <c:pt idx="799">
                  <c:v>112.82437608033291</c:v>
                </c:pt>
                <c:pt idx="800">
                  <c:v>110.02431315278976</c:v>
                </c:pt>
                <c:pt idx="801">
                  <c:v>113.38153027937314</c:v>
                </c:pt>
                <c:pt idx="802">
                  <c:v>112.94057151558572</c:v>
                </c:pt>
                <c:pt idx="803">
                  <c:v>110.45843620073126</c:v>
                </c:pt>
                <c:pt idx="804">
                  <c:v>112.54885055795272</c:v>
                </c:pt>
                <c:pt idx="805">
                  <c:v>112.87678433033648</c:v>
                </c:pt>
                <c:pt idx="806">
                  <c:v>113.96564821214437</c:v>
                </c:pt>
                <c:pt idx="807">
                  <c:v>118.16206583201767</c:v>
                </c:pt>
                <c:pt idx="808">
                  <c:v>119.23628434956963</c:v>
                </c:pt>
                <c:pt idx="809">
                  <c:v>115.40171013511254</c:v>
                </c:pt>
                <c:pt idx="810">
                  <c:v>114.81741149678111</c:v>
                </c:pt>
                <c:pt idx="811">
                  <c:v>111.2619838390406</c:v>
                </c:pt>
                <c:pt idx="812">
                  <c:v>110.8802947388416</c:v>
                </c:pt>
                <c:pt idx="813">
                  <c:v>112.7880708078755</c:v>
                </c:pt>
                <c:pt idx="814">
                  <c:v>114.23841245969348</c:v>
                </c:pt>
                <c:pt idx="815">
                  <c:v>106.40031501015666</c:v>
                </c:pt>
                <c:pt idx="816">
                  <c:v>99.179521482794144</c:v>
                </c:pt>
                <c:pt idx="817">
                  <c:v>98.794884769822872</c:v>
                </c:pt>
                <c:pt idx="818">
                  <c:v>95.82148472742054</c:v>
                </c:pt>
                <c:pt idx="819">
                  <c:v>110.19422507589651</c:v>
                </c:pt>
                <c:pt idx="820">
                  <c:v>104.87810382356176</c:v>
                </c:pt>
                <c:pt idx="821">
                  <c:v>107.52739506704924</c:v>
                </c:pt>
                <c:pt idx="822">
                  <c:v>107.89546061079569</c:v>
                </c:pt>
                <c:pt idx="823">
                  <c:v>107.82344181791976</c:v>
                </c:pt>
                <c:pt idx="824">
                  <c:v>103.37940090489717</c:v>
                </c:pt>
                <c:pt idx="825">
                  <c:v>102.99358913642016</c:v>
                </c:pt>
                <c:pt idx="826">
                  <c:v>99.758983079179103</c:v>
                </c:pt>
                <c:pt idx="827">
                  <c:v>102.96656602800492</c:v>
                </c:pt>
                <c:pt idx="828">
                  <c:v>106.61891581694371</c:v>
                </c:pt>
                <c:pt idx="829">
                  <c:v>110.36488845251418</c:v>
                </c:pt>
                <c:pt idx="830">
                  <c:v>113.47626153166736</c:v>
                </c:pt>
                <c:pt idx="831">
                  <c:v>112.98997359952196</c:v>
                </c:pt>
                <c:pt idx="832">
                  <c:v>113.714194665169</c:v>
                </c:pt>
                <c:pt idx="833">
                  <c:v>113.16273034444599</c:v>
                </c:pt>
                <c:pt idx="834">
                  <c:v>115.81458091843399</c:v>
                </c:pt>
                <c:pt idx="835">
                  <c:v>117.47632484197771</c:v>
                </c:pt>
                <c:pt idx="836">
                  <c:v>115.92154136083654</c:v>
                </c:pt>
                <c:pt idx="837">
                  <c:v>114.97754783579354</c:v>
                </c:pt>
                <c:pt idx="838">
                  <c:v>115.11631198740552</c:v>
                </c:pt>
                <c:pt idx="839">
                  <c:v>117.1677333703167</c:v>
                </c:pt>
                <c:pt idx="840">
                  <c:v>118.35871748436597</c:v>
                </c:pt>
                <c:pt idx="841">
                  <c:v>124.66480410825267</c:v>
                </c:pt>
                <c:pt idx="842">
                  <c:v>128.15718042786557</c:v>
                </c:pt>
                <c:pt idx="843">
                  <c:v>129.77254239715168</c:v>
                </c:pt>
                <c:pt idx="844">
                  <c:v>128.94400048103358</c:v>
                </c:pt>
                <c:pt idx="845">
                  <c:v>129.96375903642726</c:v>
                </c:pt>
                <c:pt idx="846">
                  <c:v>129.81731149561492</c:v>
                </c:pt>
                <c:pt idx="847">
                  <c:v>129.43360142667467</c:v>
                </c:pt>
                <c:pt idx="848">
                  <c:v>127.51916166410071</c:v>
                </c:pt>
                <c:pt idx="849">
                  <c:v>128.74973026981647</c:v>
                </c:pt>
                <c:pt idx="850">
                  <c:v>126.80495872695863</c:v>
                </c:pt>
                <c:pt idx="851">
                  <c:v>131.33384430333737</c:v>
                </c:pt>
                <c:pt idx="852">
                  <c:v>130.34448523414179</c:v>
                </c:pt>
                <c:pt idx="853">
                  <c:v>130.81833769022165</c:v>
                </c:pt>
                <c:pt idx="854">
                  <c:v>129.63289748194626</c:v>
                </c:pt>
                <c:pt idx="855">
                  <c:v>130.23171628139551</c:v>
                </c:pt>
                <c:pt idx="856">
                  <c:v>131.58600131124294</c:v>
                </c:pt>
                <c:pt idx="857">
                  <c:v>131.50630018523799</c:v>
                </c:pt>
                <c:pt idx="858">
                  <c:v>128.44662450265793</c:v>
                </c:pt>
                <c:pt idx="859">
                  <c:v>130.90795215897515</c:v>
                </c:pt>
                <c:pt idx="860">
                  <c:v>132.2399178226681</c:v>
                </c:pt>
                <c:pt idx="861">
                  <c:v>134.25960402367286</c:v>
                </c:pt>
                <c:pt idx="862">
                  <c:v>134.21705959840048</c:v>
                </c:pt>
                <c:pt idx="863">
                  <c:v>134.26820525630899</c:v>
                </c:pt>
                <c:pt idx="864">
                  <c:v>133.31487488619109</c:v>
                </c:pt>
                <c:pt idx="865">
                  <c:v>135.67566242784611</c:v>
                </c:pt>
                <c:pt idx="866">
                  <c:v>133.98192411552452</c:v>
                </c:pt>
                <c:pt idx="867">
                  <c:v>134.92996004741465</c:v>
                </c:pt>
                <c:pt idx="868">
                  <c:v>134.35006123744742</c:v>
                </c:pt>
                <c:pt idx="869">
                  <c:v>136.35676550407945</c:v>
                </c:pt>
                <c:pt idx="870">
                  <c:v>138.37039595667849</c:v>
                </c:pt>
                <c:pt idx="871">
                  <c:v>138.66226934784115</c:v>
                </c:pt>
                <c:pt idx="872">
                  <c:v>139.49651146830854</c:v>
                </c:pt>
                <c:pt idx="873">
                  <c:v>140.1476369002194</c:v>
                </c:pt>
                <c:pt idx="874">
                  <c:v>140.95221057061781</c:v>
                </c:pt>
                <c:pt idx="875">
                  <c:v>138.90755168259844</c:v>
                </c:pt>
                <c:pt idx="876">
                  <c:v>142.23000105942148</c:v>
                </c:pt>
                <c:pt idx="877">
                  <c:v>142.84725370345973</c:v>
                </c:pt>
                <c:pt idx="878">
                  <c:v>140.01218658349191</c:v>
                </c:pt>
                <c:pt idx="879">
                  <c:v>139.93087940748632</c:v>
                </c:pt>
                <c:pt idx="880">
                  <c:v>141.41232119024221</c:v>
                </c:pt>
                <c:pt idx="881">
                  <c:v>142.89913321368829</c:v>
                </c:pt>
                <c:pt idx="882">
                  <c:v>143.57322878645235</c:v>
                </c:pt>
                <c:pt idx="883">
                  <c:v>143.28615911231458</c:v>
                </c:pt>
                <c:pt idx="884">
                  <c:v>144.37498509289134</c:v>
                </c:pt>
                <c:pt idx="885">
                  <c:v>145.45216636023977</c:v>
                </c:pt>
                <c:pt idx="886">
                  <c:v>146.59235050377021</c:v>
                </c:pt>
                <c:pt idx="887">
                  <c:v>147.60713214642024</c:v>
                </c:pt>
                <c:pt idx="888">
                  <c:v>147.11928298864038</c:v>
                </c:pt>
                <c:pt idx="889">
                  <c:v>145.99371264456354</c:v>
                </c:pt>
                <c:pt idx="890">
                  <c:v>146.84992410216867</c:v>
                </c:pt>
                <c:pt idx="891">
                  <c:v>145.95094104658708</c:v>
                </c:pt>
                <c:pt idx="892">
                  <c:v>147.54380364820625</c:v>
                </c:pt>
                <c:pt idx="893">
                  <c:v>148.42201330890225</c:v>
                </c:pt>
                <c:pt idx="894">
                  <c:v>147.36003630229192</c:v>
                </c:pt>
                <c:pt idx="895">
                  <c:v>147.98520537529836</c:v>
                </c:pt>
                <c:pt idx="896">
                  <c:v>147.33790245268975</c:v>
                </c:pt>
                <c:pt idx="897">
                  <c:v>143.35115749418154</c:v>
                </c:pt>
                <c:pt idx="898">
                  <c:v>146.55009614612396</c:v>
                </c:pt>
                <c:pt idx="899">
                  <c:v>145.35598887675852</c:v>
                </c:pt>
                <c:pt idx="900">
                  <c:v>147.38286434286397</c:v>
                </c:pt>
                <c:pt idx="901">
                  <c:v>149.90138261009849</c:v>
                </c:pt>
                <c:pt idx="902">
                  <c:v>152.51649128475307</c:v>
                </c:pt>
                <c:pt idx="903">
                  <c:v>153.03181543218955</c:v>
                </c:pt>
                <c:pt idx="904">
                  <c:v>154.5476837362844</c:v>
                </c:pt>
                <c:pt idx="905">
                  <c:v>153.07939004314358</c:v>
                </c:pt>
                <c:pt idx="906">
                  <c:v>153.54658760627885</c:v>
                </c:pt>
                <c:pt idx="907">
                  <c:v>152.85874878896411</c:v>
                </c:pt>
                <c:pt idx="908">
                  <c:v>153.52578534543997</c:v>
                </c:pt>
                <c:pt idx="909">
                  <c:v>150.14364657529595</c:v>
                </c:pt>
                <c:pt idx="910">
                  <c:v>147.86421737044134</c:v>
                </c:pt>
                <c:pt idx="911">
                  <c:v>147.28966251671923</c:v>
                </c:pt>
                <c:pt idx="912">
                  <c:v>150.96355276044358</c:v>
                </c:pt>
                <c:pt idx="913">
                  <c:v>151.38027339358399</c:v>
                </c:pt>
                <c:pt idx="914">
                  <c:v>152.27949136639381</c:v>
                </c:pt>
                <c:pt idx="915">
                  <c:v>151.95724559486689</c:v>
                </c:pt>
                <c:pt idx="916">
                  <c:v>152.5728657871181</c:v>
                </c:pt>
                <c:pt idx="917">
                  <c:v>150.24294111234747</c:v>
                </c:pt>
                <c:pt idx="918">
                  <c:v>148.46585060031839</c:v>
                </c:pt>
                <c:pt idx="919">
                  <c:v>150.92995443380821</c:v>
                </c:pt>
                <c:pt idx="920">
                  <c:v>153.04699000558551</c:v>
                </c:pt>
                <c:pt idx="921">
                  <c:v>153.6534582826076</c:v>
                </c:pt>
                <c:pt idx="922">
                  <c:v>155.89010016575503</c:v>
                </c:pt>
                <c:pt idx="923">
                  <c:v>156.91116742836411</c:v>
                </c:pt>
                <c:pt idx="924">
                  <c:v>157.46789356644109</c:v>
                </c:pt>
                <c:pt idx="925">
                  <c:v>159.85239472325378</c:v>
                </c:pt>
                <c:pt idx="926">
                  <c:v>162.74489335577189</c:v>
                </c:pt>
                <c:pt idx="927">
                  <c:v>165.20338346543068</c:v>
                </c:pt>
                <c:pt idx="928">
                  <c:v>166.13251548359324</c:v>
                </c:pt>
                <c:pt idx="929">
                  <c:v>166.29913610133971</c:v>
                </c:pt>
                <c:pt idx="930">
                  <c:v>167.36775075172753</c:v>
                </c:pt>
                <c:pt idx="931">
                  <c:v>169.25703348414706</c:v>
                </c:pt>
                <c:pt idx="932">
                  <c:v>171.59989080995624</c:v>
                </c:pt>
                <c:pt idx="933">
                  <c:v>170.90362313433485</c:v>
                </c:pt>
                <c:pt idx="934">
                  <c:v>171.1764058044638</c:v>
                </c:pt>
                <c:pt idx="935">
                  <c:v>168.79999708852839</c:v>
                </c:pt>
                <c:pt idx="936">
                  <c:v>169.91525900179136</c:v>
                </c:pt>
                <c:pt idx="937">
                  <c:v>172.69913704757965</c:v>
                </c:pt>
                <c:pt idx="938">
                  <c:v>174.73267608988391</c:v>
                </c:pt>
                <c:pt idx="939">
                  <c:v>177.31660566292396</c:v>
                </c:pt>
                <c:pt idx="940">
                  <c:v>176.73134236198885</c:v>
                </c:pt>
                <c:pt idx="941">
                  <c:v>177.20074957863196</c:v>
                </c:pt>
                <c:pt idx="942">
                  <c:v>180.06922000404012</c:v>
                </c:pt>
                <c:pt idx="943">
                  <c:v>177.18992062193206</c:v>
                </c:pt>
                <c:pt idx="944">
                  <c:v>180.45576539015443</c:v>
                </c:pt>
                <c:pt idx="945">
                  <c:v>179.48147082824107</c:v>
                </c:pt>
                <c:pt idx="946">
                  <c:v>171.00142051408707</c:v>
                </c:pt>
                <c:pt idx="947">
                  <c:v>176.69953325508087</c:v>
                </c:pt>
                <c:pt idx="948">
                  <c:v>173.84338425002124</c:v>
                </c:pt>
                <c:pt idx="949">
                  <c:v>175.57252536307107</c:v>
                </c:pt>
                <c:pt idx="950">
                  <c:v>174.87760077565818</c:v>
                </c:pt>
                <c:pt idx="951">
                  <c:v>175.71846622426776</c:v>
                </c:pt>
                <c:pt idx="952">
                  <c:v>178.89555311502789</c:v>
                </c:pt>
                <c:pt idx="953">
                  <c:v>177.44807916657561</c:v>
                </c:pt>
                <c:pt idx="954">
                  <c:v>175.5098294516589</c:v>
                </c:pt>
                <c:pt idx="955">
                  <c:v>178.20838936205544</c:v>
                </c:pt>
                <c:pt idx="956">
                  <c:v>180.24669375078867</c:v>
                </c:pt>
                <c:pt idx="957">
                  <c:v>184.6964435514146</c:v>
                </c:pt>
                <c:pt idx="958">
                  <c:v>187.09728987816072</c:v>
                </c:pt>
                <c:pt idx="959">
                  <c:v>188.49835992953777</c:v>
                </c:pt>
                <c:pt idx="960">
                  <c:v>184.77085622359667</c:v>
                </c:pt>
                <c:pt idx="961">
                  <c:v>187.09130148364557</c:v>
                </c:pt>
                <c:pt idx="962">
                  <c:v>189.74445501512665</c:v>
                </c:pt>
                <c:pt idx="963">
                  <c:v>183.62800995861068</c:v>
                </c:pt>
                <c:pt idx="964">
                  <c:v>186.4298618711986</c:v>
                </c:pt>
                <c:pt idx="965">
                  <c:v>181.59492760854019</c:v>
                </c:pt>
                <c:pt idx="966">
                  <c:v>180.22275965137953</c:v>
                </c:pt>
                <c:pt idx="967">
                  <c:v>185.97103848533666</c:v>
                </c:pt>
                <c:pt idx="968">
                  <c:v>184.34817582721166</c:v>
                </c:pt>
                <c:pt idx="969">
                  <c:v>183.60225401860026</c:v>
                </c:pt>
                <c:pt idx="970">
                  <c:v>177.21436996687018</c:v>
                </c:pt>
                <c:pt idx="971">
                  <c:v>178.70056195903095</c:v>
                </c:pt>
                <c:pt idx="972">
                  <c:v>177.16160300459558</c:v>
                </c:pt>
                <c:pt idx="973">
                  <c:v>173.496659798238</c:v>
                </c:pt>
                <c:pt idx="974">
                  <c:v>174.9334072289216</c:v>
                </c:pt>
                <c:pt idx="975">
                  <c:v>169.36147543081188</c:v>
                </c:pt>
                <c:pt idx="976">
                  <c:v>170.04643070368934</c:v>
                </c:pt>
                <c:pt idx="977">
                  <c:v>176.73885056066914</c:v>
                </c:pt>
                <c:pt idx="978">
                  <c:v>177.2991208745492</c:v>
                </c:pt>
                <c:pt idx="979">
                  <c:v>180.69644290134386</c:v>
                </c:pt>
                <c:pt idx="980">
                  <c:v>181.96080849247002</c:v>
                </c:pt>
                <c:pt idx="981">
                  <c:v>181.27516677314694</c:v>
                </c:pt>
                <c:pt idx="982">
                  <c:v>182.53372444063515</c:v>
                </c:pt>
                <c:pt idx="983">
                  <c:v>183.67353672967224</c:v>
                </c:pt>
                <c:pt idx="984">
                  <c:v>183.86850887638306</c:v>
                </c:pt>
                <c:pt idx="985">
                  <c:v>184.17602374186615</c:v>
                </c:pt>
                <c:pt idx="986">
                  <c:v>184.98056901567693</c:v>
                </c:pt>
                <c:pt idx="987">
                  <c:v>185.92566519665996</c:v>
                </c:pt>
                <c:pt idx="988">
                  <c:v>187.19094980463439</c:v>
                </c:pt>
                <c:pt idx="989">
                  <c:v>184.19204458052172</c:v>
                </c:pt>
                <c:pt idx="990">
                  <c:v>181.31633361187673</c:v>
                </c:pt>
                <c:pt idx="991">
                  <c:v>180.6008860358543</c:v>
                </c:pt>
                <c:pt idx="992">
                  <c:v>181.90299491673565</c:v>
                </c:pt>
                <c:pt idx="993">
                  <c:v>177.24934142107983</c:v>
                </c:pt>
                <c:pt idx="994">
                  <c:v>181.91832790085002</c:v>
                </c:pt>
                <c:pt idx="995">
                  <c:v>184.77193998759191</c:v>
                </c:pt>
                <c:pt idx="996">
                  <c:v>186.52699204847374</c:v>
                </c:pt>
                <c:pt idx="997">
                  <c:v>187.42178590327592</c:v>
                </c:pt>
                <c:pt idx="998">
                  <c:v>188.38713307579812</c:v>
                </c:pt>
                <c:pt idx="999">
                  <c:v>187.68607693751738</c:v>
                </c:pt>
                <c:pt idx="1000">
                  <c:v>186.75864132213545</c:v>
                </c:pt>
                <c:pt idx="1001">
                  <c:v>185.8798791013858</c:v>
                </c:pt>
                <c:pt idx="1002">
                  <c:v>184.63020792316755</c:v>
                </c:pt>
                <c:pt idx="1003">
                  <c:v>186.61624557547202</c:v>
                </c:pt>
                <c:pt idx="1004">
                  <c:v>188.53703256217344</c:v>
                </c:pt>
                <c:pt idx="1005">
                  <c:v>189.48468443607766</c:v>
                </c:pt>
                <c:pt idx="1006">
                  <c:v>188.52069208589072</c:v>
                </c:pt>
                <c:pt idx="1007">
                  <c:v>187.44774859860877</c:v>
                </c:pt>
                <c:pt idx="1008">
                  <c:v>189.96138171397462</c:v>
                </c:pt>
                <c:pt idx="1009">
                  <c:v>191.3380666060898</c:v>
                </c:pt>
                <c:pt idx="1010">
                  <c:v>190.81201019116236</c:v>
                </c:pt>
                <c:pt idx="1011">
                  <c:v>188.27071856438903</c:v>
                </c:pt>
                <c:pt idx="1012">
                  <c:v>188.3834793032463</c:v>
                </c:pt>
                <c:pt idx="1013">
                  <c:v>189.56160516062425</c:v>
                </c:pt>
                <c:pt idx="1014">
                  <c:v>184.21824782546392</c:v>
                </c:pt>
                <c:pt idx="1015">
                  <c:v>186.68471585091777</c:v>
                </c:pt>
                <c:pt idx="1016">
                  <c:v>189.45935350615733</c:v>
                </c:pt>
                <c:pt idx="1017">
                  <c:v>191.46607842485321</c:v>
                </c:pt>
                <c:pt idx="1018">
                  <c:v>190.78117243531031</c:v>
                </c:pt>
                <c:pt idx="1019">
                  <c:v>193.45135523634488</c:v>
                </c:pt>
                <c:pt idx="1020">
                  <c:v>195.26441659820398</c:v>
                </c:pt>
                <c:pt idx="1021">
                  <c:v>191.12636441007098</c:v>
                </c:pt>
                <c:pt idx="1022">
                  <c:v>189.50833410024174</c:v>
                </c:pt>
                <c:pt idx="1023">
                  <c:v>190.65084171831427</c:v>
                </c:pt>
                <c:pt idx="1024">
                  <c:v>187.09804250508429</c:v>
                </c:pt>
                <c:pt idx="1025">
                  <c:v>181.63335429386805</c:v>
                </c:pt>
                <c:pt idx="1026">
                  <c:v>178.622776429304</c:v>
                </c:pt>
                <c:pt idx="1027">
                  <c:v>183.76146289219278</c:v>
                </c:pt>
                <c:pt idx="1028">
                  <c:v>185.3400907066696</c:v>
                </c:pt>
                <c:pt idx="1029">
                  <c:v>185.07285159029067</c:v>
                </c:pt>
                <c:pt idx="1030">
                  <c:v>186.84782561778283</c:v>
                </c:pt>
                <c:pt idx="1031">
                  <c:v>182.97352211252843</c:v>
                </c:pt>
                <c:pt idx="1032">
                  <c:v>182.19605732701555</c:v>
                </c:pt>
                <c:pt idx="1033">
                  <c:v>181.29668950940047</c:v>
                </c:pt>
                <c:pt idx="1034">
                  <c:v>183.1354446203953</c:v>
                </c:pt>
                <c:pt idx="1035">
                  <c:v>182.44740045585317</c:v>
                </c:pt>
                <c:pt idx="1036">
                  <c:v>185.36627611573849</c:v>
                </c:pt>
                <c:pt idx="1037">
                  <c:v>182.60496350075374</c:v>
                </c:pt>
                <c:pt idx="1038">
                  <c:v>185.65160385868177</c:v>
                </c:pt>
                <c:pt idx="1039">
                  <c:v>188.87494327627536</c:v>
                </c:pt>
                <c:pt idx="1040">
                  <c:v>185.46422228422452</c:v>
                </c:pt>
                <c:pt idx="1041">
                  <c:v>182.5975357981865</c:v>
                </c:pt>
                <c:pt idx="1042">
                  <c:v>183.02898463852145</c:v>
                </c:pt>
                <c:pt idx="1043">
                  <c:v>178.4801394289837</c:v>
                </c:pt>
                <c:pt idx="1044">
                  <c:v>182.37358669352744</c:v>
                </c:pt>
                <c:pt idx="1045">
                  <c:v>181.74423944982115</c:v>
                </c:pt>
                <c:pt idx="1046">
                  <c:v>176.62031287627033</c:v>
                </c:pt>
                <c:pt idx="1047">
                  <c:v>180.09626106566995</c:v>
                </c:pt>
                <c:pt idx="1048">
                  <c:v>180.84833953618175</c:v>
                </c:pt>
                <c:pt idx="1049">
                  <c:v>183.102066191305</c:v>
                </c:pt>
                <c:pt idx="1050">
                  <c:v>178.28274535840274</c:v>
                </c:pt>
                <c:pt idx="1051">
                  <c:v>177.81219253891362</c:v>
                </c:pt>
                <c:pt idx="1052">
                  <c:v>180.58681282764465</c:v>
                </c:pt>
                <c:pt idx="1053">
                  <c:v>183.32942171311305</c:v>
                </c:pt>
                <c:pt idx="1054">
                  <c:v>180.63978325968617</c:v>
                </c:pt>
                <c:pt idx="1055">
                  <c:v>178.06238314177003</c:v>
                </c:pt>
                <c:pt idx="1056">
                  <c:v>173.22121172109794</c:v>
                </c:pt>
                <c:pt idx="1057">
                  <c:v>174.84173787979924</c:v>
                </c:pt>
                <c:pt idx="1058">
                  <c:v>173.02699548686635</c:v>
                </c:pt>
                <c:pt idx="1059">
                  <c:v>173.69400153461149</c:v>
                </c:pt>
                <c:pt idx="1060">
                  <c:v>167.41403977169696</c:v>
                </c:pt>
                <c:pt idx="1061">
                  <c:v>164.37125055434151</c:v>
                </c:pt>
                <c:pt idx="1062">
                  <c:v>160.56105082109033</c:v>
                </c:pt>
                <c:pt idx="1063">
                  <c:v>168.15876986234198</c:v>
                </c:pt>
                <c:pt idx="1064">
                  <c:v>171.920801707164</c:v>
                </c:pt>
                <c:pt idx="1065">
                  <c:v>170.31524008098052</c:v>
                </c:pt>
                <c:pt idx="1066">
                  <c:v>171.44504128198878</c:v>
                </c:pt>
                <c:pt idx="1067">
                  <c:v>171.13582426400228</c:v>
                </c:pt>
                <c:pt idx="1068">
                  <c:v>176.61085352690648</c:v>
                </c:pt>
                <c:pt idx="1069">
                  <c:v>178.28404925462587</c:v>
                </c:pt>
                <c:pt idx="1070">
                  <c:v>179.1523155332078</c:v>
                </c:pt>
                <c:pt idx="1071">
                  <c:v>181.02955811230984</c:v>
                </c:pt>
                <c:pt idx="1072">
                  <c:v>188.13499906678197</c:v>
                </c:pt>
                <c:pt idx="1073">
                  <c:v>192.28003751961381</c:v>
                </c:pt>
                <c:pt idx="1074">
                  <c:v>191.31285067061665</c:v>
                </c:pt>
                <c:pt idx="1075">
                  <c:v>194.45936135922187</c:v>
                </c:pt>
                <c:pt idx="1076">
                  <c:v>192.85838777680414</c:v>
                </c:pt>
                <c:pt idx="1077">
                  <c:v>191.42711666332121</c:v>
                </c:pt>
                <c:pt idx="1078">
                  <c:v>197.74047070159662</c:v>
                </c:pt>
                <c:pt idx="1079">
                  <c:v>194.14083260719286</c:v>
                </c:pt>
                <c:pt idx="1080">
                  <c:v>198.75356967039482</c:v>
                </c:pt>
                <c:pt idx="1081">
                  <c:v>201.27144256062891</c:v>
                </c:pt>
                <c:pt idx="1082">
                  <c:v>198.74084236658379</c:v>
                </c:pt>
                <c:pt idx="1083">
                  <c:v>197.69580310333444</c:v>
                </c:pt>
                <c:pt idx="1084">
                  <c:v>198.93302179100263</c:v>
                </c:pt>
                <c:pt idx="1085">
                  <c:v>202.66952604193094</c:v>
                </c:pt>
                <c:pt idx="1086">
                  <c:v>205.27144884308063</c:v>
                </c:pt>
                <c:pt idx="1087">
                  <c:v>209.16343403536533</c:v>
                </c:pt>
                <c:pt idx="1088">
                  <c:v>215.71985582655674</c:v>
                </c:pt>
                <c:pt idx="1089">
                  <c:v>215.11801032631729</c:v>
                </c:pt>
                <c:pt idx="1090">
                  <c:v>223.01142397727975</c:v>
                </c:pt>
                <c:pt idx="1091">
                  <c:v>226.32367710154585</c:v>
                </c:pt>
                <c:pt idx="1092">
                  <c:v>222.61675740167624</c:v>
                </c:pt>
                <c:pt idx="1093">
                  <c:v>227.36651011418454</c:v>
                </c:pt>
                <c:pt idx="1094">
                  <c:v>228.27099917430886</c:v>
                </c:pt>
                <c:pt idx="1095">
                  <c:v>221.86783447267203</c:v>
                </c:pt>
                <c:pt idx="1096">
                  <c:v>217.34985306874927</c:v>
                </c:pt>
                <c:pt idx="1097">
                  <c:v>216.19457050630882</c:v>
                </c:pt>
                <c:pt idx="1098">
                  <c:v>221.18218242731689</c:v>
                </c:pt>
                <c:pt idx="1099">
                  <c:v>223.53717929450153</c:v>
                </c:pt>
                <c:pt idx="1100">
                  <c:v>222.56589770444938</c:v>
                </c:pt>
                <c:pt idx="1101">
                  <c:v>232.75009626194009</c:v>
                </c:pt>
                <c:pt idx="1102">
                  <c:v>236.51399688387235</c:v>
                </c:pt>
                <c:pt idx="1103">
                  <c:v>238.90277160983979</c:v>
                </c:pt>
                <c:pt idx="1104">
                  <c:v>242.4782892668932</c:v>
                </c:pt>
                <c:pt idx="1105">
                  <c:v>246.54988639859906</c:v>
                </c:pt>
                <c:pt idx="1106">
                  <c:v>247.99096161010547</c:v>
                </c:pt>
                <c:pt idx="1107">
                  <c:v>245.05368144094913</c:v>
                </c:pt>
                <c:pt idx="1108">
                  <c:v>242.25506228042656</c:v>
                </c:pt>
                <c:pt idx="1109">
                  <c:v>226.34659526021542</c:v>
                </c:pt>
                <c:pt idx="1110">
                  <c:v>233.25967608470845</c:v>
                </c:pt>
                <c:pt idx="1111">
                  <c:v>229.9673310807826</c:v>
                </c:pt>
                <c:pt idx="1112">
                  <c:v>223.33181235379996</c:v>
                </c:pt>
                <c:pt idx="1113">
                  <c:v>233.31072634416245</c:v>
                </c:pt>
                <c:pt idx="1114">
                  <c:v>232.89753721396775</c:v>
                </c:pt>
                <c:pt idx="1115">
                  <c:v>244.31976622605163</c:v>
                </c:pt>
                <c:pt idx="1116">
                  <c:v>237.96083824552338</c:v>
                </c:pt>
                <c:pt idx="1117">
                  <c:v>238.01174558330663</c:v>
                </c:pt>
                <c:pt idx="1118">
                  <c:v>248.01130929085355</c:v>
                </c:pt>
                <c:pt idx="1119">
                  <c:v>250.74313333994033</c:v>
                </c:pt>
                <c:pt idx="1120">
                  <c:v>235.7164911476986</c:v>
                </c:pt>
                <c:pt idx="1121">
                  <c:v>233.97299509004318</c:v>
                </c:pt>
                <c:pt idx="1122">
                  <c:v>240.0445444368622</c:v>
                </c:pt>
                <c:pt idx="1123">
                  <c:v>237.49428136573744</c:v>
                </c:pt>
                <c:pt idx="1124">
                  <c:v>243.77323305497617</c:v>
                </c:pt>
                <c:pt idx="1125">
                  <c:v>248.13173734315671</c:v>
                </c:pt>
                <c:pt idx="1126">
                  <c:v>240.48518696591987</c:v>
                </c:pt>
                <c:pt idx="1127">
                  <c:v>235.90190021536026</c:v>
                </c:pt>
                <c:pt idx="1128">
                  <c:v>241.86312271600241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7-43A5-BE1B-729E9280306D}"/>
            </c:ext>
          </c:extLst>
        </c:ser>
        <c:ser>
          <c:idx val="1"/>
          <c:order val="1"/>
          <c:tx>
            <c:v>S&amp;P 500</c:v>
          </c:tx>
          <c:spPr>
            <a:ln w="22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500'!$F$2:$F$1130</c:f>
              <c:numCache>
                <c:formatCode>0.00</c:formatCode>
                <c:ptCount val="1129"/>
                <c:pt idx="0">
                  <c:v>100</c:v>
                </c:pt>
                <c:pt idx="1">
                  <c:v>99.966514520015537</c:v>
                </c:pt>
                <c:pt idx="2">
                  <c:v>98.046924753808398</c:v>
                </c:pt>
                <c:pt idx="3">
                  <c:v>97.954812526122311</c:v>
                </c:pt>
                <c:pt idx="4">
                  <c:v>97.567550098541759</c:v>
                </c:pt>
                <c:pt idx="5">
                  <c:v>97.446141470585601</c:v>
                </c:pt>
                <c:pt idx="6">
                  <c:v>98.333730741435801</c:v>
                </c:pt>
                <c:pt idx="7">
                  <c:v>98.599564172763209</c:v>
                </c:pt>
                <c:pt idx="8">
                  <c:v>97.241012353236158</c:v>
                </c:pt>
                <c:pt idx="9">
                  <c:v>97.280784847507846</c:v>
                </c:pt>
                <c:pt idx="10">
                  <c:v>95.557979986383089</c:v>
                </c:pt>
                <c:pt idx="11">
                  <c:v>94.565745195865588</c:v>
                </c:pt>
                <c:pt idx="12">
                  <c:v>93.519079526792865</c:v>
                </c:pt>
                <c:pt idx="13">
                  <c:v>91.683250986572261</c:v>
                </c:pt>
                <c:pt idx="14">
                  <c:v>92.072577401564672</c:v>
                </c:pt>
                <c:pt idx="15">
                  <c:v>90.948485046818377</c:v>
                </c:pt>
                <c:pt idx="16">
                  <c:v>90.720305806892611</c:v>
                </c:pt>
                <c:pt idx="17">
                  <c:v>90.272332275901832</c:v>
                </c:pt>
                <c:pt idx="18">
                  <c:v>92.514304654861903</c:v>
                </c:pt>
                <c:pt idx="19">
                  <c:v>94.180567123993626</c:v>
                </c:pt>
                <c:pt idx="20">
                  <c:v>94.816940611206235</c:v>
                </c:pt>
                <c:pt idx="21">
                  <c:v>95.738008572608621</c:v>
                </c:pt>
                <c:pt idx="22">
                  <c:v>93.487685191949481</c:v>
                </c:pt>
                <c:pt idx="23">
                  <c:v>93.927287352944191</c:v>
                </c:pt>
                <c:pt idx="24">
                  <c:v>93.625850138762274</c:v>
                </c:pt>
                <c:pt idx="25">
                  <c:v>94.396185914209212</c:v>
                </c:pt>
                <c:pt idx="26">
                  <c:v>95.777781066880323</c:v>
                </c:pt>
                <c:pt idx="27">
                  <c:v>94.057060561464169</c:v>
                </c:pt>
                <c:pt idx="28">
                  <c:v>92.202377767813843</c:v>
                </c:pt>
                <c:pt idx="29">
                  <c:v>91.900933764199692</c:v>
                </c:pt>
                <c:pt idx="30">
                  <c:v>93.383012514552959</c:v>
                </c:pt>
                <c:pt idx="31">
                  <c:v>93.487685191949481</c:v>
                </c:pt>
                <c:pt idx="32">
                  <c:v>91.490648371771798</c:v>
                </c:pt>
                <c:pt idx="33">
                  <c:v>90.898243247977319</c:v>
                </c:pt>
                <c:pt idx="34">
                  <c:v>89.922764776316654</c:v>
                </c:pt>
                <c:pt idx="35">
                  <c:v>88.327655557435293</c:v>
                </c:pt>
                <c:pt idx="36">
                  <c:v>89.656897397827777</c:v>
                </c:pt>
                <c:pt idx="37">
                  <c:v>91.63510033287227</c:v>
                </c:pt>
                <c:pt idx="38">
                  <c:v>91.400640868091273</c:v>
                </c:pt>
                <c:pt idx="39">
                  <c:v>90.008583200283027</c:v>
                </c:pt>
                <c:pt idx="40">
                  <c:v>91.664410312006851</c:v>
                </c:pt>
                <c:pt idx="41">
                  <c:v>91.208051832155306</c:v>
                </c:pt>
                <c:pt idx="42">
                  <c:v>90.467019246410914</c:v>
                </c:pt>
                <c:pt idx="43">
                  <c:v>87.800116669604151</c:v>
                </c:pt>
                <c:pt idx="44">
                  <c:v>87.134473939850466</c:v>
                </c:pt>
                <c:pt idx="45">
                  <c:v>89.470615744476007</c:v>
                </c:pt>
                <c:pt idx="46">
                  <c:v>89.066590208606598</c:v>
                </c:pt>
                <c:pt idx="47">
                  <c:v>87.934112904999751</c:v>
                </c:pt>
                <c:pt idx="48">
                  <c:v>87.29145240349969</c:v>
                </c:pt>
                <c:pt idx="49">
                  <c:v>89.211021801410098</c:v>
                </c:pt>
                <c:pt idx="50">
                  <c:v>91.189217947022343</c:v>
                </c:pt>
                <c:pt idx="51">
                  <c:v>92.33007341005748</c:v>
                </c:pt>
                <c:pt idx="52">
                  <c:v>93.341345768676291</c:v>
                </c:pt>
                <c:pt idx="53">
                  <c:v>93.31404546149534</c:v>
                </c:pt>
                <c:pt idx="54">
                  <c:v>94.405955907254125</c:v>
                </c:pt>
                <c:pt idx="55">
                  <c:v>93.19017226962292</c:v>
                </c:pt>
                <c:pt idx="56">
                  <c:v>94.594939754651506</c:v>
                </c:pt>
                <c:pt idx="57">
                  <c:v>95.056913094995295</c:v>
                </c:pt>
                <c:pt idx="58">
                  <c:v>95.733045497615095</c:v>
                </c:pt>
                <c:pt idx="59">
                  <c:v>96.917346537783246</c:v>
                </c:pt>
                <c:pt idx="60">
                  <c:v>96.318912398127821</c:v>
                </c:pt>
                <c:pt idx="61">
                  <c:v>94.836426281837888</c:v>
                </c:pt>
                <c:pt idx="62">
                  <c:v>95.105206326773171</c:v>
                </c:pt>
                <c:pt idx="63">
                  <c:v>95.919924621006913</c:v>
                </c:pt>
                <c:pt idx="64">
                  <c:v>94.708336852522322</c:v>
                </c:pt>
                <c:pt idx="65">
                  <c:v>93.761312891529442</c:v>
                </c:pt>
                <c:pt idx="66">
                  <c:v>94.233762325874835</c:v>
                </c:pt>
                <c:pt idx="67">
                  <c:v>93.981813283551332</c:v>
                </c:pt>
                <c:pt idx="68">
                  <c:v>92.375440396524468</c:v>
                </c:pt>
                <c:pt idx="69">
                  <c:v>92.033151168338946</c:v>
                </c:pt>
                <c:pt idx="70">
                  <c:v>93.087278423482928</c:v>
                </c:pt>
                <c:pt idx="71">
                  <c:v>91.928159387625669</c:v>
                </c:pt>
                <c:pt idx="72">
                  <c:v>91.965969735969693</c:v>
                </c:pt>
                <c:pt idx="73">
                  <c:v>93.450533418536182</c:v>
                </c:pt>
                <c:pt idx="74">
                  <c:v>93.381240472729104</c:v>
                </c:pt>
                <c:pt idx="75">
                  <c:v>91.98485793656107</c:v>
                </c:pt>
                <c:pt idx="76">
                  <c:v>89.460872909160287</c:v>
                </c:pt>
                <c:pt idx="77">
                  <c:v>89.979538009007001</c:v>
                </c:pt>
                <c:pt idx="78">
                  <c:v>87.373645270630718</c:v>
                </c:pt>
                <c:pt idx="79">
                  <c:v>87.619320877531266</c:v>
                </c:pt>
                <c:pt idx="80">
                  <c:v>89.832540010803299</c:v>
                </c:pt>
                <c:pt idx="81">
                  <c:v>86.512718100327689</c:v>
                </c:pt>
                <c:pt idx="82">
                  <c:v>87.03348792417998</c:v>
                </c:pt>
                <c:pt idx="83">
                  <c:v>87.432441754139433</c:v>
                </c:pt>
                <c:pt idx="84">
                  <c:v>90.095012673154145</c:v>
                </c:pt>
                <c:pt idx="85">
                  <c:v>86.892776940263516</c:v>
                </c:pt>
                <c:pt idx="86">
                  <c:v>86.374132208713533</c:v>
                </c:pt>
                <c:pt idx="87">
                  <c:v>83.608653864694134</c:v>
                </c:pt>
                <c:pt idx="88">
                  <c:v>83.801860738967122</c:v>
                </c:pt>
                <c:pt idx="89">
                  <c:v>82.470561700595255</c:v>
                </c:pt>
                <c:pt idx="90">
                  <c:v>82.384464909905603</c:v>
                </c:pt>
                <c:pt idx="91">
                  <c:v>84.354113160282466</c:v>
                </c:pt>
                <c:pt idx="92">
                  <c:v>84.011823932096945</c:v>
                </c:pt>
                <c:pt idx="93">
                  <c:v>85.739992444719675</c:v>
                </c:pt>
                <c:pt idx="94">
                  <c:v>82.283668998338726</c:v>
                </c:pt>
                <c:pt idx="95">
                  <c:v>81.779723387665982</c:v>
                </c:pt>
                <c:pt idx="96">
                  <c:v>81.815429012004444</c:v>
                </c:pt>
                <c:pt idx="97">
                  <c:v>83.346174412911026</c:v>
                </c:pt>
                <c:pt idx="98">
                  <c:v>82.709950293208323</c:v>
                </c:pt>
                <c:pt idx="99">
                  <c:v>83.440683310190451</c:v>
                </c:pt>
                <c:pt idx="100">
                  <c:v>85.10793024700213</c:v>
                </c:pt>
                <c:pt idx="101">
                  <c:v>87.19726939896951</c:v>
                </c:pt>
                <c:pt idx="102">
                  <c:v>86.708009330309281</c:v>
                </c:pt>
                <c:pt idx="103">
                  <c:v>86.006667765649397</c:v>
                </c:pt>
                <c:pt idx="104">
                  <c:v>87.64453003957135</c:v>
                </c:pt>
                <c:pt idx="105">
                  <c:v>86.206154864777602</c:v>
                </c:pt>
                <c:pt idx="106">
                  <c:v>86.46863431656071</c:v>
                </c:pt>
                <c:pt idx="107">
                  <c:v>87.298065310536387</c:v>
                </c:pt>
                <c:pt idx="108">
                  <c:v>86.348943414970194</c:v>
                </c:pt>
                <c:pt idx="109">
                  <c:v>84.295309887341503</c:v>
                </c:pt>
                <c:pt idx="110">
                  <c:v>81.851121057478395</c:v>
                </c:pt>
                <c:pt idx="111">
                  <c:v>78.743380643002681</c:v>
                </c:pt>
                <c:pt idx="112">
                  <c:v>78.506096774394948</c:v>
                </c:pt>
                <c:pt idx="113">
                  <c:v>79.625314316767145</c:v>
                </c:pt>
                <c:pt idx="114">
                  <c:v>76.990023336636611</c:v>
                </c:pt>
                <c:pt idx="115">
                  <c:v>77.155991008618912</c:v>
                </c:pt>
                <c:pt idx="116">
                  <c:v>79.098277846924375</c:v>
                </c:pt>
                <c:pt idx="117">
                  <c:v>78.954885037259032</c:v>
                </c:pt>
                <c:pt idx="118">
                  <c:v>79.728839580108854</c:v>
                </c:pt>
                <c:pt idx="119">
                  <c:v>82.263735225176902</c:v>
                </c:pt>
                <c:pt idx="120">
                  <c:v>81.949506720587451</c:v>
                </c:pt>
                <c:pt idx="121">
                  <c:v>80.275049406698557</c:v>
                </c:pt>
                <c:pt idx="122">
                  <c:v>80.209680752747062</c:v>
                </c:pt>
                <c:pt idx="123">
                  <c:v>79.558024253481463</c:v>
                </c:pt>
                <c:pt idx="124">
                  <c:v>80.399472542585286</c:v>
                </c:pt>
                <c:pt idx="125">
                  <c:v>80.55129782713712</c:v>
                </c:pt>
                <c:pt idx="126">
                  <c:v>80.823357167861559</c:v>
                </c:pt>
                <c:pt idx="127">
                  <c:v>82.033872206046738</c:v>
                </c:pt>
                <c:pt idx="128">
                  <c:v>81.966398828089694</c:v>
                </c:pt>
                <c:pt idx="129">
                  <c:v>81.030041065202042</c:v>
                </c:pt>
                <c:pt idx="130">
                  <c:v>80.312995543688189</c:v>
                </c:pt>
                <c:pt idx="131">
                  <c:v>79.891236010714223</c:v>
                </c:pt>
                <c:pt idx="132">
                  <c:v>79.697214404568143</c:v>
                </c:pt>
                <c:pt idx="133">
                  <c:v>81.21983285504048</c:v>
                </c:pt>
                <c:pt idx="134">
                  <c:v>80.549206681996282</c:v>
                </c:pt>
                <c:pt idx="135">
                  <c:v>82.72558635573958</c:v>
                </c:pt>
                <c:pt idx="136">
                  <c:v>83.252799350821476</c:v>
                </c:pt>
                <c:pt idx="137">
                  <c:v>84.100588969670966</c:v>
                </c:pt>
                <c:pt idx="138">
                  <c:v>83.320286307643229</c:v>
                </c:pt>
                <c:pt idx="139">
                  <c:v>83.421530321740264</c:v>
                </c:pt>
                <c:pt idx="140">
                  <c:v>82.434570920101052</c:v>
                </c:pt>
                <c:pt idx="141">
                  <c:v>84.575082023131259</c:v>
                </c:pt>
                <c:pt idx="142">
                  <c:v>85.635869711337691</c:v>
                </c:pt>
                <c:pt idx="143">
                  <c:v>86.884330886512288</c:v>
                </c:pt>
                <c:pt idx="144">
                  <c:v>86.627045350420261</c:v>
                </c:pt>
                <c:pt idx="145">
                  <c:v>86.055524520306093</c:v>
                </c:pt>
                <c:pt idx="146">
                  <c:v>87.403111406707893</c:v>
                </c:pt>
                <c:pt idx="147">
                  <c:v>87.344084082501865</c:v>
                </c:pt>
                <c:pt idx="148">
                  <c:v>87.196441088231907</c:v>
                </c:pt>
                <c:pt idx="149">
                  <c:v>87.095203863567122</c:v>
                </c:pt>
                <c:pt idx="150">
                  <c:v>86.749356972868981</c:v>
                </c:pt>
                <c:pt idx="151">
                  <c:v>88.571430123298825</c:v>
                </c:pt>
                <c:pt idx="152">
                  <c:v>88.571430123298825</c:v>
                </c:pt>
                <c:pt idx="153">
                  <c:v>90.070862662549203</c:v>
                </c:pt>
                <c:pt idx="154">
                  <c:v>90.442013767339134</c:v>
                </c:pt>
                <c:pt idx="155">
                  <c:v>90.619184002576702</c:v>
                </c:pt>
                <c:pt idx="156">
                  <c:v>89.975973557062332</c:v>
                </c:pt>
                <c:pt idx="157">
                  <c:v>90.237454962300973</c:v>
                </c:pt>
                <c:pt idx="158">
                  <c:v>89.024862357839453</c:v>
                </c:pt>
                <c:pt idx="159">
                  <c:v>87.171136874139904</c:v>
                </c:pt>
                <c:pt idx="160">
                  <c:v>86.96025031822056</c:v>
                </c:pt>
                <c:pt idx="161">
                  <c:v>87.238623830961458</c:v>
                </c:pt>
                <c:pt idx="162">
                  <c:v>88.470206477498536</c:v>
                </c:pt>
                <c:pt idx="163">
                  <c:v>85.475578004737869</c:v>
                </c:pt>
                <c:pt idx="164">
                  <c:v>84.910418872666327</c:v>
                </c:pt>
                <c:pt idx="165">
                  <c:v>83.978277347222033</c:v>
                </c:pt>
                <c:pt idx="166">
                  <c:v>83.339269560286326</c:v>
                </c:pt>
                <c:pt idx="167">
                  <c:v>83.600778123254173</c:v>
                </c:pt>
                <c:pt idx="168">
                  <c:v>82.719258604858396</c:v>
                </c:pt>
                <c:pt idx="169">
                  <c:v>82.407141613706742</c:v>
                </c:pt>
                <c:pt idx="170">
                  <c:v>83.887584110881576</c:v>
                </c:pt>
                <c:pt idx="171">
                  <c:v>84.435891872044593</c:v>
                </c:pt>
                <c:pt idx="172">
                  <c:v>85.747616977165336</c:v>
                </c:pt>
                <c:pt idx="173">
                  <c:v>86.669214514285315</c:v>
                </c:pt>
                <c:pt idx="174">
                  <c:v>82.900617919810117</c:v>
                </c:pt>
                <c:pt idx="175">
                  <c:v>83.216964727269854</c:v>
                </c:pt>
                <c:pt idx="176">
                  <c:v>82.272174489495669</c:v>
                </c:pt>
                <c:pt idx="177">
                  <c:v>81.644525422757596</c:v>
                </c:pt>
                <c:pt idx="178">
                  <c:v>82.277673929639036</c:v>
                </c:pt>
                <c:pt idx="179">
                  <c:v>81.333250321208027</c:v>
                </c:pt>
                <c:pt idx="180">
                  <c:v>79.914489816258893</c:v>
                </c:pt>
                <c:pt idx="181">
                  <c:v>79.243218647148467</c:v>
                </c:pt>
                <c:pt idx="182">
                  <c:v>77.91551121845049</c:v>
                </c:pt>
                <c:pt idx="183">
                  <c:v>77.144713761608912</c:v>
                </c:pt>
                <c:pt idx="184">
                  <c:v>76.947786278448646</c:v>
                </c:pt>
                <c:pt idx="185">
                  <c:v>78.461843254821105</c:v>
                </c:pt>
                <c:pt idx="186">
                  <c:v>76.822847145709048</c:v>
                </c:pt>
                <c:pt idx="187">
                  <c:v>75.634906969841069</c:v>
                </c:pt>
                <c:pt idx="188">
                  <c:v>77.631740107050192</c:v>
                </c:pt>
                <c:pt idx="189">
                  <c:v>80.037310646128418</c:v>
                </c:pt>
                <c:pt idx="190">
                  <c:v>79.850967887886199</c:v>
                </c:pt>
                <c:pt idx="191">
                  <c:v>79.027226438157939</c:v>
                </c:pt>
                <c:pt idx="192">
                  <c:v>76.822847145709048</c:v>
                </c:pt>
                <c:pt idx="193">
                  <c:v>76.236294512536375</c:v>
                </c:pt>
                <c:pt idx="194">
                  <c:v>75.753477615105993</c:v>
                </c:pt>
                <c:pt idx="195">
                  <c:v>75.503599349626583</c:v>
                </c:pt>
                <c:pt idx="196">
                  <c:v>77.496236617689533</c:v>
                </c:pt>
                <c:pt idx="197">
                  <c:v>75.730189862399882</c:v>
                </c:pt>
                <c:pt idx="198">
                  <c:v>77.676224467321376</c:v>
                </c:pt>
                <c:pt idx="199">
                  <c:v>78.588893900998499</c:v>
                </c:pt>
                <c:pt idx="200">
                  <c:v>78.031970350277618</c:v>
                </c:pt>
                <c:pt idx="201">
                  <c:v>77.377659182992147</c:v>
                </c:pt>
                <c:pt idx="202">
                  <c:v>79.258039977806618</c:v>
                </c:pt>
                <c:pt idx="203">
                  <c:v>80.227876431246258</c:v>
                </c:pt>
                <c:pt idx="204">
                  <c:v>81.509008354532213</c:v>
                </c:pt>
                <c:pt idx="205">
                  <c:v>80.894904205184105</c:v>
                </c:pt>
                <c:pt idx="206">
                  <c:v>80.462933366067318</c:v>
                </c:pt>
                <c:pt idx="207">
                  <c:v>82.377200217370415</c:v>
                </c:pt>
                <c:pt idx="208">
                  <c:v>81.782160793853038</c:v>
                </c:pt>
                <c:pt idx="209">
                  <c:v>81.424310186891219</c:v>
                </c:pt>
                <c:pt idx="210">
                  <c:v>79.380854018243895</c:v>
                </c:pt>
                <c:pt idx="211">
                  <c:v>78.563481055990309</c:v>
                </c:pt>
                <c:pt idx="212">
                  <c:v>79.694267790960268</c:v>
                </c:pt>
                <c:pt idx="213">
                  <c:v>80.456578457457141</c:v>
                </c:pt>
                <c:pt idx="214">
                  <c:v>80.890660810011738</c:v>
                </c:pt>
                <c:pt idx="215">
                  <c:v>79.224160710750226</c:v>
                </c:pt>
                <c:pt idx="216">
                  <c:v>83.5778434210265</c:v>
                </c:pt>
                <c:pt idx="217">
                  <c:v>84.386770329529099</c:v>
                </c:pt>
                <c:pt idx="218">
                  <c:v>83.668923655006665</c:v>
                </c:pt>
                <c:pt idx="219">
                  <c:v>84.382520144924484</c:v>
                </c:pt>
                <c:pt idx="220">
                  <c:v>83.738800491989295</c:v>
                </c:pt>
                <c:pt idx="221">
                  <c:v>83.482560528467701</c:v>
                </c:pt>
                <c:pt idx="222">
                  <c:v>83.861621321858834</c:v>
                </c:pt>
                <c:pt idx="223">
                  <c:v>83.556680760622683</c:v>
                </c:pt>
                <c:pt idx="224">
                  <c:v>84.681105797550472</c:v>
                </c:pt>
                <c:pt idx="225">
                  <c:v>85.214714437836236</c:v>
                </c:pt>
                <c:pt idx="226">
                  <c:v>85.195663290870243</c:v>
                </c:pt>
                <c:pt idx="227">
                  <c:v>83.836215266282878</c:v>
                </c:pt>
                <c:pt idx="228">
                  <c:v>83.692218197145024</c:v>
                </c:pt>
                <c:pt idx="229">
                  <c:v>86.328561539278226</c:v>
                </c:pt>
                <c:pt idx="230">
                  <c:v>86.265046400338008</c:v>
                </c:pt>
                <c:pt idx="231">
                  <c:v>86.165506533742132</c:v>
                </c:pt>
                <c:pt idx="232">
                  <c:v>84.615465566307719</c:v>
                </c:pt>
                <c:pt idx="233">
                  <c:v>83.395744057956648</c:v>
                </c:pt>
                <c:pt idx="234">
                  <c:v>83.253865291688854</c:v>
                </c:pt>
                <c:pt idx="235">
                  <c:v>83.906071734968762</c:v>
                </c:pt>
                <c:pt idx="236">
                  <c:v>83.27928492612952</c:v>
                </c:pt>
                <c:pt idx="237">
                  <c:v>84.479941708650102</c:v>
                </c:pt>
                <c:pt idx="238">
                  <c:v>85.119445124141919</c:v>
                </c:pt>
                <c:pt idx="239">
                  <c:v>84.575224601209129</c:v>
                </c:pt>
                <c:pt idx="240">
                  <c:v>82.506375955850132</c:v>
                </c:pt>
                <c:pt idx="241">
                  <c:v>81.532296107238125</c:v>
                </c:pt>
                <c:pt idx="242">
                  <c:v>80.840921429159025</c:v>
                </c:pt>
                <c:pt idx="243">
                  <c:v>80.951548438661291</c:v>
                </c:pt>
                <c:pt idx="244">
                  <c:v>82.161968424794551</c:v>
                </c:pt>
                <c:pt idx="245">
                  <c:v>80.989840836696928</c:v>
                </c:pt>
                <c:pt idx="246">
                  <c:v>81.45571131116688</c:v>
                </c:pt>
                <c:pt idx="247">
                  <c:v>81.134503270197968</c:v>
                </c:pt>
                <c:pt idx="248">
                  <c:v>80.12615715688986</c:v>
                </c:pt>
                <c:pt idx="249">
                  <c:v>81.56846341297144</c:v>
                </c:pt>
                <c:pt idx="250">
                  <c:v>81.353605039170773</c:v>
                </c:pt>
                <c:pt idx="251">
                  <c:v>81.011105338584898</c:v>
                </c:pt>
                <c:pt idx="252">
                  <c:v>81.636541050401235</c:v>
                </c:pt>
                <c:pt idx="253">
                  <c:v>80.704779733164386</c:v>
                </c:pt>
                <c:pt idx="254">
                  <c:v>82.555511077230321</c:v>
                </c:pt>
                <c:pt idx="255">
                  <c:v>82.508718309985255</c:v>
                </c:pt>
                <c:pt idx="256">
                  <c:v>83.087334096827519</c:v>
                </c:pt>
                <c:pt idx="257">
                  <c:v>84.138209213911381</c:v>
                </c:pt>
                <c:pt idx="258">
                  <c:v>84.444541608764141</c:v>
                </c:pt>
                <c:pt idx="259">
                  <c:v>84.772138505504671</c:v>
                </c:pt>
                <c:pt idx="260">
                  <c:v>84.616843821059845</c:v>
                </c:pt>
                <c:pt idx="261">
                  <c:v>83.280914389875733</c:v>
                </c:pt>
                <c:pt idx="262">
                  <c:v>82.6746520348063</c:v>
                </c:pt>
                <c:pt idx="263">
                  <c:v>84.214800799414874</c:v>
                </c:pt>
                <c:pt idx="264">
                  <c:v>85.225238057863834</c:v>
                </c:pt>
                <c:pt idx="265">
                  <c:v>85.133784405108457</c:v>
                </c:pt>
                <c:pt idx="266">
                  <c:v>85.165694736804937</c:v>
                </c:pt>
                <c:pt idx="267">
                  <c:v>86.101692659781676</c:v>
                </c:pt>
                <c:pt idx="268">
                  <c:v>86.29952313743469</c:v>
                </c:pt>
                <c:pt idx="269">
                  <c:v>85.216737688654391</c:v>
                </c:pt>
                <c:pt idx="270">
                  <c:v>86.46970704686035</c:v>
                </c:pt>
                <c:pt idx="271">
                  <c:v>87.388690652553933</c:v>
                </c:pt>
                <c:pt idx="272">
                  <c:v>88.660812999209853</c:v>
                </c:pt>
                <c:pt idx="273">
                  <c:v>87.718453378190475</c:v>
                </c:pt>
                <c:pt idx="274">
                  <c:v>87.182346226827207</c:v>
                </c:pt>
                <c:pt idx="275">
                  <c:v>88.322583851525337</c:v>
                </c:pt>
                <c:pt idx="276">
                  <c:v>87.356787110289929</c:v>
                </c:pt>
                <c:pt idx="277">
                  <c:v>86.599480255380328</c:v>
                </c:pt>
                <c:pt idx="278">
                  <c:v>86.801567707070205</c:v>
                </c:pt>
                <c:pt idx="279">
                  <c:v>87.820539281889836</c:v>
                </c:pt>
                <c:pt idx="280">
                  <c:v>87.780115002119643</c:v>
                </c:pt>
                <c:pt idx="281">
                  <c:v>88.065176105652185</c:v>
                </c:pt>
                <c:pt idx="282">
                  <c:v>86.852624237784369</c:v>
                </c:pt>
                <c:pt idx="283">
                  <c:v>86.635640771681395</c:v>
                </c:pt>
                <c:pt idx="284">
                  <c:v>84.897661529420049</c:v>
                </c:pt>
                <c:pt idx="285">
                  <c:v>84.780659243010845</c:v>
                </c:pt>
                <c:pt idx="286">
                  <c:v>85.231640492499935</c:v>
                </c:pt>
                <c:pt idx="287">
                  <c:v>84.321157256015582</c:v>
                </c:pt>
                <c:pt idx="288">
                  <c:v>84.608350241282665</c:v>
                </c:pt>
                <c:pt idx="289">
                  <c:v>84.295635780090734</c:v>
                </c:pt>
                <c:pt idx="290">
                  <c:v>83.972275489090322</c:v>
                </c:pt>
                <c:pt idx="291">
                  <c:v>84.625357769133785</c:v>
                </c:pt>
                <c:pt idx="292">
                  <c:v>85.982572070502414</c:v>
                </c:pt>
                <c:pt idx="293">
                  <c:v>86.042128970426035</c:v>
                </c:pt>
                <c:pt idx="294">
                  <c:v>84.723213856525049</c:v>
                </c:pt>
                <c:pt idx="295">
                  <c:v>84.861487434254471</c:v>
                </c:pt>
                <c:pt idx="296">
                  <c:v>83.295803614856567</c:v>
                </c:pt>
                <c:pt idx="297">
                  <c:v>82.093890787364984</c:v>
                </c:pt>
                <c:pt idx="298">
                  <c:v>81.976902079820306</c:v>
                </c:pt>
                <c:pt idx="299">
                  <c:v>83.33197771002213</c:v>
                </c:pt>
                <c:pt idx="300">
                  <c:v>82.810786941368931</c:v>
                </c:pt>
                <c:pt idx="301">
                  <c:v>84.263725448394496</c:v>
                </c:pt>
                <c:pt idx="302">
                  <c:v>83.278449825959683</c:v>
                </c:pt>
                <c:pt idx="303">
                  <c:v>84.079222626299043</c:v>
                </c:pt>
                <c:pt idx="304">
                  <c:v>85.183231840373409</c:v>
                </c:pt>
                <c:pt idx="305">
                  <c:v>83.731155591246676</c:v>
                </c:pt>
                <c:pt idx="306">
                  <c:v>83.957501684458137</c:v>
                </c:pt>
                <c:pt idx="307">
                  <c:v>84.508450534776287</c:v>
                </c:pt>
                <c:pt idx="308">
                  <c:v>84.666454202699185</c:v>
                </c:pt>
                <c:pt idx="309">
                  <c:v>84.476411203866689</c:v>
                </c:pt>
                <c:pt idx="310">
                  <c:v>85.704266452084255</c:v>
                </c:pt>
                <c:pt idx="311">
                  <c:v>86.20609375988694</c:v>
                </c:pt>
                <c:pt idx="312">
                  <c:v>87.42114413883246</c:v>
                </c:pt>
                <c:pt idx="313">
                  <c:v>87.754247265148592</c:v>
                </c:pt>
                <c:pt idx="314">
                  <c:v>87.267377076649694</c:v>
                </c:pt>
                <c:pt idx="315">
                  <c:v>87.038899101703663</c:v>
                </c:pt>
                <c:pt idx="316">
                  <c:v>87.378425030952883</c:v>
                </c:pt>
                <c:pt idx="317">
                  <c:v>87.468099852451928</c:v>
                </c:pt>
                <c:pt idx="318">
                  <c:v>87.491598077558621</c:v>
                </c:pt>
                <c:pt idx="319">
                  <c:v>87.134983147271072</c:v>
                </c:pt>
                <c:pt idx="320">
                  <c:v>88.292364088465732</c:v>
                </c:pt>
                <c:pt idx="321">
                  <c:v>88.076697772224222</c:v>
                </c:pt>
                <c:pt idx="322">
                  <c:v>88.392725476366749</c:v>
                </c:pt>
                <c:pt idx="323">
                  <c:v>88.450381335253141</c:v>
                </c:pt>
                <c:pt idx="324">
                  <c:v>88.435437794814078</c:v>
                </c:pt>
                <c:pt idx="325">
                  <c:v>87.952838159216512</c:v>
                </c:pt>
                <c:pt idx="326">
                  <c:v>88.021173795072613</c:v>
                </c:pt>
                <c:pt idx="327">
                  <c:v>88.112994077170711</c:v>
                </c:pt>
                <c:pt idx="328">
                  <c:v>86.714303134029009</c:v>
                </c:pt>
                <c:pt idx="329">
                  <c:v>86.347015216203971</c:v>
                </c:pt>
                <c:pt idx="330">
                  <c:v>88.066017995254271</c:v>
                </c:pt>
                <c:pt idx="331">
                  <c:v>88.817669253078151</c:v>
                </c:pt>
                <c:pt idx="332">
                  <c:v>88.727994431579134</c:v>
                </c:pt>
                <c:pt idx="333">
                  <c:v>87.73075582947439</c:v>
                </c:pt>
                <c:pt idx="334">
                  <c:v>87.128567133770446</c:v>
                </c:pt>
                <c:pt idx="335">
                  <c:v>86.511462055356702</c:v>
                </c:pt>
                <c:pt idx="336">
                  <c:v>88.112994077170711</c:v>
                </c:pt>
                <c:pt idx="337">
                  <c:v>88.136478723412907</c:v>
                </c:pt>
                <c:pt idx="338">
                  <c:v>87.749969922814998</c:v>
                </c:pt>
                <c:pt idx="339">
                  <c:v>88.159970159087138</c:v>
                </c:pt>
                <c:pt idx="340">
                  <c:v>88.006237044065799</c:v>
                </c:pt>
                <c:pt idx="341">
                  <c:v>87.890918536861022</c:v>
                </c:pt>
                <c:pt idx="342">
                  <c:v>88.194148161163568</c:v>
                </c:pt>
                <c:pt idx="343">
                  <c:v>87.604771124164131</c:v>
                </c:pt>
                <c:pt idx="344">
                  <c:v>88.668193112093689</c:v>
                </c:pt>
                <c:pt idx="345">
                  <c:v>89.52236479728235</c:v>
                </c:pt>
                <c:pt idx="346">
                  <c:v>89.392095960206277</c:v>
                </c:pt>
                <c:pt idx="347">
                  <c:v>89.428399054585</c:v>
                </c:pt>
                <c:pt idx="348">
                  <c:v>88.424758017844127</c:v>
                </c:pt>
                <c:pt idx="349">
                  <c:v>87.784141135459166</c:v>
                </c:pt>
                <c:pt idx="350">
                  <c:v>88.544333499085994</c:v>
                </c:pt>
                <c:pt idx="351">
                  <c:v>89.69106861047193</c:v>
                </c:pt>
                <c:pt idx="352">
                  <c:v>89.725219454819381</c:v>
                </c:pt>
                <c:pt idx="353">
                  <c:v>89.227676278782766</c:v>
                </c:pt>
                <c:pt idx="354">
                  <c:v>90.075431950470801</c:v>
                </c:pt>
                <c:pt idx="355">
                  <c:v>91.378025269180597</c:v>
                </c:pt>
                <c:pt idx="356">
                  <c:v>91.202919021354873</c:v>
                </c:pt>
                <c:pt idx="357">
                  <c:v>91.401509915422579</c:v>
                </c:pt>
                <c:pt idx="358">
                  <c:v>91.0854890007123</c:v>
                </c:pt>
                <c:pt idx="359">
                  <c:v>91.636403903869223</c:v>
                </c:pt>
                <c:pt idx="360">
                  <c:v>91.800823585292733</c:v>
                </c:pt>
                <c:pt idx="361">
                  <c:v>92.633642505973967</c:v>
                </c:pt>
                <c:pt idx="362">
                  <c:v>93.244365518048568</c:v>
                </c:pt>
                <c:pt idx="363">
                  <c:v>93.355399893487274</c:v>
                </c:pt>
                <c:pt idx="364">
                  <c:v>94.512780834681948</c:v>
                </c:pt>
                <c:pt idx="365">
                  <c:v>94.190859903323883</c:v>
                </c:pt>
                <c:pt idx="366">
                  <c:v>93.702176936407199</c:v>
                </c:pt>
                <c:pt idx="367">
                  <c:v>93.222062233022413</c:v>
                </c:pt>
                <c:pt idx="368">
                  <c:v>93.558587233205799</c:v>
                </c:pt>
                <c:pt idx="369">
                  <c:v>92.851291336439928</c:v>
                </c:pt>
                <c:pt idx="370">
                  <c:v>92.471911439731571</c:v>
                </c:pt>
                <c:pt idx="371">
                  <c:v>93.485709467157079</c:v>
                </c:pt>
                <c:pt idx="372">
                  <c:v>93.532862074312632</c:v>
                </c:pt>
                <c:pt idx="373">
                  <c:v>93.90150787859281</c:v>
                </c:pt>
                <c:pt idx="374">
                  <c:v>95.009617909761872</c:v>
                </c:pt>
                <c:pt idx="375">
                  <c:v>95.118920979970227</c:v>
                </c:pt>
                <c:pt idx="376">
                  <c:v>94.977469947935845</c:v>
                </c:pt>
                <c:pt idx="377">
                  <c:v>94.233721589281117</c:v>
                </c:pt>
                <c:pt idx="378">
                  <c:v>93.995813092904129</c:v>
                </c:pt>
                <c:pt idx="379">
                  <c:v>94.233721589281117</c:v>
                </c:pt>
                <c:pt idx="380">
                  <c:v>94.833853087005423</c:v>
                </c:pt>
                <c:pt idx="381">
                  <c:v>95.596883433323484</c:v>
                </c:pt>
                <c:pt idx="382">
                  <c:v>96.355616069010978</c:v>
                </c:pt>
                <c:pt idx="383">
                  <c:v>96.295617855989462</c:v>
                </c:pt>
                <c:pt idx="384">
                  <c:v>96.629956658980063</c:v>
                </c:pt>
                <c:pt idx="385">
                  <c:v>97.347979858741624</c:v>
                </c:pt>
                <c:pt idx="386">
                  <c:v>97.564454117423978</c:v>
                </c:pt>
                <c:pt idx="387">
                  <c:v>96.917170012544133</c:v>
                </c:pt>
                <c:pt idx="388">
                  <c:v>96.917170012544133</c:v>
                </c:pt>
                <c:pt idx="389">
                  <c:v>97.35012531934089</c:v>
                </c:pt>
                <c:pt idx="390">
                  <c:v>97.615911224642346</c:v>
                </c:pt>
                <c:pt idx="391">
                  <c:v>97.630909080539624</c:v>
                </c:pt>
                <c:pt idx="392">
                  <c:v>96.983624975659737</c:v>
                </c:pt>
                <c:pt idx="393">
                  <c:v>97.933120290000929</c:v>
                </c:pt>
                <c:pt idx="394">
                  <c:v>98.119585258024074</c:v>
                </c:pt>
                <c:pt idx="395">
                  <c:v>97.838815075689837</c:v>
                </c:pt>
                <c:pt idx="396">
                  <c:v>96.477798692246523</c:v>
                </c:pt>
                <c:pt idx="397">
                  <c:v>96.201305852246122</c:v>
                </c:pt>
                <c:pt idx="398">
                  <c:v>95.766211874282334</c:v>
                </c:pt>
                <c:pt idx="399">
                  <c:v>96.602113197216838</c:v>
                </c:pt>
                <c:pt idx="400">
                  <c:v>96.182010285718292</c:v>
                </c:pt>
                <c:pt idx="401">
                  <c:v>95.539023891469</c:v>
                </c:pt>
                <c:pt idx="402">
                  <c:v>95.573310524461846</c:v>
                </c:pt>
                <c:pt idx="403">
                  <c:v>95.517582864341904</c:v>
                </c:pt>
                <c:pt idx="404">
                  <c:v>96.044836596017504</c:v>
                </c:pt>
                <c:pt idx="405">
                  <c:v>94.926026419581973</c:v>
                </c:pt>
                <c:pt idx="406">
                  <c:v>94.229444246947295</c:v>
                </c:pt>
                <c:pt idx="407">
                  <c:v>93.511421047185749</c:v>
                </c:pt>
                <c:pt idx="408">
                  <c:v>93.556441772606519</c:v>
                </c:pt>
                <c:pt idx="409">
                  <c:v>94.165141533862979</c:v>
                </c:pt>
                <c:pt idx="410">
                  <c:v>93.910082931557199</c:v>
                </c:pt>
                <c:pt idx="411">
                  <c:v>94.956028920808734</c:v>
                </c:pt>
                <c:pt idx="412">
                  <c:v>93.640026473354183</c:v>
                </c:pt>
                <c:pt idx="413">
                  <c:v>94.300169762964487</c:v>
                </c:pt>
                <c:pt idx="414">
                  <c:v>94.898162589522002</c:v>
                </c:pt>
                <c:pt idx="415">
                  <c:v>96.269879118231799</c:v>
                </c:pt>
                <c:pt idx="416">
                  <c:v>96.66640912086892</c:v>
                </c:pt>
                <c:pt idx="417">
                  <c:v>96.524944509969828</c:v>
                </c:pt>
                <c:pt idx="418">
                  <c:v>96.704986675060084</c:v>
                </c:pt>
                <c:pt idx="419">
                  <c:v>96.287022434728328</c:v>
                </c:pt>
                <c:pt idx="420">
                  <c:v>95.639745119280718</c:v>
                </c:pt>
                <c:pt idx="421">
                  <c:v>95.346115752216036</c:v>
                </c:pt>
                <c:pt idx="422">
                  <c:v>95.489719034281933</c:v>
                </c:pt>
                <c:pt idx="423">
                  <c:v>96.117721151498472</c:v>
                </c:pt>
                <c:pt idx="424">
                  <c:v>95.590453840958361</c:v>
                </c:pt>
                <c:pt idx="425">
                  <c:v>95.701915950630479</c:v>
                </c:pt>
                <c:pt idx="426">
                  <c:v>96.527083181136831</c:v>
                </c:pt>
                <c:pt idx="427">
                  <c:v>95.364100958314651</c:v>
                </c:pt>
                <c:pt idx="428">
                  <c:v>95.420025511970664</c:v>
                </c:pt>
                <c:pt idx="429">
                  <c:v>95.222140718859663</c:v>
                </c:pt>
                <c:pt idx="430">
                  <c:v>94.346724900079764</c:v>
                </c:pt>
                <c:pt idx="431">
                  <c:v>92.78732809496934</c:v>
                </c:pt>
                <c:pt idx="432">
                  <c:v>92.578702419997924</c:v>
                </c:pt>
                <c:pt idx="433">
                  <c:v>92.968015256125824</c:v>
                </c:pt>
                <c:pt idx="434">
                  <c:v>91.602191954631323</c:v>
                </c:pt>
                <c:pt idx="435">
                  <c:v>91.638753047436609</c:v>
                </c:pt>
                <c:pt idx="436">
                  <c:v>92.170019333587234</c:v>
                </c:pt>
                <c:pt idx="437">
                  <c:v>91.946341487260369</c:v>
                </c:pt>
                <c:pt idx="438">
                  <c:v>91.909773605022849</c:v>
                </c:pt>
                <c:pt idx="439">
                  <c:v>90.679467371753745</c:v>
                </c:pt>
                <c:pt idx="440">
                  <c:v>91.339780397170927</c:v>
                </c:pt>
                <c:pt idx="441">
                  <c:v>91.305364764964722</c:v>
                </c:pt>
                <c:pt idx="442">
                  <c:v>92.389419837580306</c:v>
                </c:pt>
                <c:pt idx="443">
                  <c:v>92.980915177449774</c:v>
                </c:pt>
                <c:pt idx="444">
                  <c:v>93.46485912063801</c:v>
                </c:pt>
                <c:pt idx="445">
                  <c:v>93.847715206671566</c:v>
                </c:pt>
                <c:pt idx="446">
                  <c:v>93.275590117085088</c:v>
                </c:pt>
                <c:pt idx="447">
                  <c:v>92.810996055882896</c:v>
                </c:pt>
                <c:pt idx="448">
                  <c:v>93.787499731817235</c:v>
                </c:pt>
                <c:pt idx="449">
                  <c:v>93.783195231754419</c:v>
                </c:pt>
                <c:pt idx="450">
                  <c:v>92.533525537634787</c:v>
                </c:pt>
                <c:pt idx="451">
                  <c:v>91.720484233172982</c:v>
                </c:pt>
                <c:pt idx="452">
                  <c:v>90.59343847538679</c:v>
                </c:pt>
                <c:pt idx="453">
                  <c:v>90.43640569627938</c:v>
                </c:pt>
                <c:pt idx="454">
                  <c:v>91.118248011443114</c:v>
                </c:pt>
                <c:pt idx="455">
                  <c:v>89.810481145339182</c:v>
                </c:pt>
                <c:pt idx="456">
                  <c:v>88.735048651713726</c:v>
                </c:pt>
                <c:pt idx="457">
                  <c:v>88.332822315397379</c:v>
                </c:pt>
                <c:pt idx="458">
                  <c:v>89.388925295333337</c:v>
                </c:pt>
                <c:pt idx="459">
                  <c:v>89.95030271362738</c:v>
                </c:pt>
                <c:pt idx="460">
                  <c:v>90.909601968174954</c:v>
                </c:pt>
                <c:pt idx="461">
                  <c:v>92.651824605608681</c:v>
                </c:pt>
                <c:pt idx="462">
                  <c:v>93.497129292244949</c:v>
                </c:pt>
                <c:pt idx="463">
                  <c:v>93.712211717310694</c:v>
                </c:pt>
                <c:pt idx="464">
                  <c:v>93.978927774834119</c:v>
                </c:pt>
                <c:pt idx="465">
                  <c:v>94.047765828678592</c:v>
                </c:pt>
                <c:pt idx="466">
                  <c:v>93.314303459921661</c:v>
                </c:pt>
                <c:pt idx="467">
                  <c:v>94.770446578981421</c:v>
                </c:pt>
                <c:pt idx="468">
                  <c:v>94.680119971983899</c:v>
                </c:pt>
                <c:pt idx="469">
                  <c:v>96.516973716478176</c:v>
                </c:pt>
                <c:pt idx="470">
                  <c:v>96.721328838548004</c:v>
                </c:pt>
                <c:pt idx="471">
                  <c:v>96.839607538225152</c:v>
                </c:pt>
                <c:pt idx="472">
                  <c:v>96.960065645662596</c:v>
                </c:pt>
                <c:pt idx="473">
                  <c:v>97.706427935743704</c:v>
                </c:pt>
                <c:pt idx="474">
                  <c:v>97.49348418184475</c:v>
                </c:pt>
                <c:pt idx="475">
                  <c:v>97.86988351778399</c:v>
                </c:pt>
                <c:pt idx="476">
                  <c:v>97.930105782070569</c:v>
                </c:pt>
                <c:pt idx="477">
                  <c:v>97.753743489273859</c:v>
                </c:pt>
                <c:pt idx="478">
                  <c:v>97.85052684636571</c:v>
                </c:pt>
                <c:pt idx="479">
                  <c:v>97.781695581953272</c:v>
                </c:pt>
                <c:pt idx="480">
                  <c:v>98.166717496882853</c:v>
                </c:pt>
                <c:pt idx="481">
                  <c:v>98.74745158659519</c:v>
                </c:pt>
                <c:pt idx="482">
                  <c:v>98.22909880063321</c:v>
                </c:pt>
                <c:pt idx="483">
                  <c:v>98.209721760917958</c:v>
                </c:pt>
                <c:pt idx="484">
                  <c:v>97.813972542992687</c:v>
                </c:pt>
                <c:pt idx="485">
                  <c:v>98.56032804364132</c:v>
                </c:pt>
                <c:pt idx="486">
                  <c:v>98.984056511975226</c:v>
                </c:pt>
                <c:pt idx="487">
                  <c:v>99.369051269175586</c:v>
                </c:pt>
                <c:pt idx="488">
                  <c:v>99.822897659085143</c:v>
                </c:pt>
                <c:pt idx="489">
                  <c:v>101.19946184244002</c:v>
                </c:pt>
                <c:pt idx="490">
                  <c:v>101.52425470365078</c:v>
                </c:pt>
                <c:pt idx="491">
                  <c:v>101.35709209158772</c:v>
                </c:pt>
                <c:pt idx="492">
                  <c:v>101.92724145638203</c:v>
                </c:pt>
                <c:pt idx="493">
                  <c:v>102.54703514997712</c:v>
                </c:pt>
                <c:pt idx="494">
                  <c:v>101.12601376408026</c:v>
                </c:pt>
                <c:pt idx="495">
                  <c:v>102.0848852843942</c:v>
                </c:pt>
                <c:pt idx="496">
                  <c:v>102.29005513833735</c:v>
                </c:pt>
                <c:pt idx="497">
                  <c:v>102.72197166199595</c:v>
                </c:pt>
                <c:pt idx="498">
                  <c:v>102.9077033713332</c:v>
                </c:pt>
                <c:pt idx="499">
                  <c:v>102.94657287111232</c:v>
                </c:pt>
                <c:pt idx="500">
                  <c:v>102.64855074136518</c:v>
                </c:pt>
                <c:pt idx="501">
                  <c:v>102.07409008707582</c:v>
                </c:pt>
                <c:pt idx="502">
                  <c:v>101.24048359225048</c:v>
                </c:pt>
                <c:pt idx="503">
                  <c:v>100.91437358117827</c:v>
                </c:pt>
                <c:pt idx="504">
                  <c:v>101.05259963288174</c:v>
                </c:pt>
                <c:pt idx="505">
                  <c:v>102.4952249922803</c:v>
                </c:pt>
                <c:pt idx="506">
                  <c:v>102.33971983543491</c:v>
                </c:pt>
                <c:pt idx="507">
                  <c:v>102.91849856865181</c:v>
                </c:pt>
                <c:pt idx="508">
                  <c:v>102.87313837161707</c:v>
                </c:pt>
                <c:pt idx="509">
                  <c:v>102.94441383164859</c:v>
                </c:pt>
                <c:pt idx="510">
                  <c:v>102.56649366287955</c:v>
                </c:pt>
                <c:pt idx="511">
                  <c:v>101.99635108751752</c:v>
                </c:pt>
                <c:pt idx="512">
                  <c:v>102.90337850297364</c:v>
                </c:pt>
                <c:pt idx="513">
                  <c:v>104.18618741603154</c:v>
                </c:pt>
                <c:pt idx="514">
                  <c:v>104.40647733565285</c:v>
                </c:pt>
                <c:pt idx="515">
                  <c:v>104.71097658379109</c:v>
                </c:pt>
                <c:pt idx="516">
                  <c:v>104.82544641196152</c:v>
                </c:pt>
                <c:pt idx="517">
                  <c:v>105.39558219789112</c:v>
                </c:pt>
                <c:pt idx="518">
                  <c:v>105.26168101454742</c:v>
                </c:pt>
                <c:pt idx="519">
                  <c:v>106.09528750937278</c:v>
                </c:pt>
                <c:pt idx="520">
                  <c:v>106.01323043088715</c:v>
                </c:pt>
                <c:pt idx="521">
                  <c:v>104.28336456019531</c:v>
                </c:pt>
                <c:pt idx="522">
                  <c:v>105.64824413060354</c:v>
                </c:pt>
                <c:pt idx="523">
                  <c:v>106.76044818943484</c:v>
                </c:pt>
                <c:pt idx="524">
                  <c:v>106.37171924448272</c:v>
                </c:pt>
                <c:pt idx="525">
                  <c:v>106.680550150413</c:v>
                </c:pt>
                <c:pt idx="526">
                  <c:v>107.57031203959144</c:v>
                </c:pt>
                <c:pt idx="527">
                  <c:v>107.61781769722545</c:v>
                </c:pt>
                <c:pt idx="528">
                  <c:v>108.23979079858105</c:v>
                </c:pt>
                <c:pt idx="529">
                  <c:v>108.19227835151482</c:v>
                </c:pt>
                <c:pt idx="530">
                  <c:v>106.70212696618549</c:v>
                </c:pt>
                <c:pt idx="531">
                  <c:v>107.67180726268278</c:v>
                </c:pt>
                <c:pt idx="532">
                  <c:v>108.41471373173539</c:v>
                </c:pt>
                <c:pt idx="533">
                  <c:v>107.87481128772968</c:v>
                </c:pt>
                <c:pt idx="534">
                  <c:v>107.28091927826688</c:v>
                </c:pt>
                <c:pt idx="535">
                  <c:v>107.37809642243067</c:v>
                </c:pt>
                <c:pt idx="536">
                  <c:v>109.60035229006175</c:v>
                </c:pt>
                <c:pt idx="537">
                  <c:v>109.67593225015628</c:v>
                </c:pt>
                <c:pt idx="538">
                  <c:v>109.27424227898955</c:v>
                </c:pt>
                <c:pt idx="539">
                  <c:v>109.47724630403668</c:v>
                </c:pt>
                <c:pt idx="540">
                  <c:v>109.33255671280666</c:v>
                </c:pt>
                <c:pt idx="541">
                  <c:v>109.72559694725383</c:v>
                </c:pt>
                <c:pt idx="542">
                  <c:v>110.75573034873503</c:v>
                </c:pt>
                <c:pt idx="543">
                  <c:v>110.63696280993402</c:v>
                </c:pt>
                <c:pt idx="544">
                  <c:v>109.531235869494</c:v>
                </c:pt>
                <c:pt idx="545">
                  <c:v>110.08624480031317</c:v>
                </c:pt>
                <c:pt idx="546">
                  <c:v>111.17901750397101</c:v>
                </c:pt>
                <c:pt idx="547">
                  <c:v>110.51170457387742</c:v>
                </c:pt>
                <c:pt idx="548">
                  <c:v>110.41667967974516</c:v>
                </c:pt>
                <c:pt idx="549">
                  <c:v>111.60446369867078</c:v>
                </c:pt>
                <c:pt idx="550">
                  <c:v>111.42954076551644</c:v>
                </c:pt>
                <c:pt idx="551">
                  <c:v>111.20924405646309</c:v>
                </c:pt>
                <c:pt idx="552">
                  <c:v>110.445623029537</c:v>
                </c:pt>
                <c:pt idx="553">
                  <c:v>111.10201855253085</c:v>
                </c:pt>
                <c:pt idx="554">
                  <c:v>111.71942915539732</c:v>
                </c:pt>
                <c:pt idx="555">
                  <c:v>112.75275359004797</c:v>
                </c:pt>
                <c:pt idx="556">
                  <c:v>113.12537800164175</c:v>
                </c:pt>
                <c:pt idx="557">
                  <c:v>112.91090662548098</c:v>
                </c:pt>
                <c:pt idx="558">
                  <c:v>112.59895258070374</c:v>
                </c:pt>
                <c:pt idx="559">
                  <c:v>112.39099227009552</c:v>
                </c:pt>
                <c:pt idx="560">
                  <c:v>113.33549056228169</c:v>
                </c:pt>
                <c:pt idx="561">
                  <c:v>113.31383906275403</c:v>
                </c:pt>
                <c:pt idx="562">
                  <c:v>113.11670110719341</c:v>
                </c:pt>
                <c:pt idx="563">
                  <c:v>112.39749654621561</c:v>
                </c:pt>
                <c:pt idx="564">
                  <c:v>112.52096237215159</c:v>
                </c:pt>
                <c:pt idx="565">
                  <c:v>111.14751453821121</c:v>
                </c:pt>
                <c:pt idx="566">
                  <c:v>112.30867040375112</c:v>
                </c:pt>
                <c:pt idx="567">
                  <c:v>112.37147944173465</c:v>
                </c:pt>
                <c:pt idx="568">
                  <c:v>112.50145633322295</c:v>
                </c:pt>
                <c:pt idx="569">
                  <c:v>111.37498088774804</c:v>
                </c:pt>
                <c:pt idx="570">
                  <c:v>112.21549902463011</c:v>
                </c:pt>
                <c:pt idx="571">
                  <c:v>110.6665918923858</c:v>
                </c:pt>
                <c:pt idx="572">
                  <c:v>109.28015587450179</c:v>
                </c:pt>
                <c:pt idx="573">
                  <c:v>109.08084530061292</c:v>
                </c:pt>
                <c:pt idx="574">
                  <c:v>108.43526534323422</c:v>
                </c:pt>
                <c:pt idx="575">
                  <c:v>108.2121442303539</c:v>
                </c:pt>
                <c:pt idx="576">
                  <c:v>107.26763914873547</c:v>
                </c:pt>
                <c:pt idx="577">
                  <c:v>108.25547438713825</c:v>
                </c:pt>
                <c:pt idx="578">
                  <c:v>109.54010965747842</c:v>
                </c:pt>
                <c:pt idx="579">
                  <c:v>109.48810939567799</c:v>
                </c:pt>
                <c:pt idx="580">
                  <c:v>109.07217519559663</c:v>
                </c:pt>
                <c:pt idx="581">
                  <c:v>110.10552678797649</c:v>
                </c:pt>
                <c:pt idx="582">
                  <c:v>110.49545067300916</c:v>
                </c:pt>
                <c:pt idx="583">
                  <c:v>108.74506713797996</c:v>
                </c:pt>
                <c:pt idx="584">
                  <c:v>108.39196234417909</c:v>
                </c:pt>
                <c:pt idx="585">
                  <c:v>109.40579431876584</c:v>
                </c:pt>
                <c:pt idx="586">
                  <c:v>110.76191552153831</c:v>
                </c:pt>
                <c:pt idx="587">
                  <c:v>111.90573117704584</c:v>
                </c:pt>
                <c:pt idx="588">
                  <c:v>112.02919700298159</c:v>
                </c:pt>
                <c:pt idx="589">
                  <c:v>112.04004651575821</c:v>
                </c:pt>
                <c:pt idx="590">
                  <c:v>112.68559252597568</c:v>
                </c:pt>
                <c:pt idx="591">
                  <c:v>112.83073021973587</c:v>
                </c:pt>
                <c:pt idx="592">
                  <c:v>112.84589781143998</c:v>
                </c:pt>
                <c:pt idx="593">
                  <c:v>113.36367349565866</c:v>
                </c:pt>
                <c:pt idx="594">
                  <c:v>114.767449723575</c:v>
                </c:pt>
                <c:pt idx="595">
                  <c:v>114.53129969015738</c:v>
                </c:pt>
                <c:pt idx="596">
                  <c:v>114.6959570017105</c:v>
                </c:pt>
                <c:pt idx="597">
                  <c:v>114.82810651152707</c:v>
                </c:pt>
                <c:pt idx="598">
                  <c:v>115.1097321623281</c:v>
                </c:pt>
                <c:pt idx="599">
                  <c:v>114.77827207862263</c:v>
                </c:pt>
                <c:pt idx="600">
                  <c:v>113.93992656006884</c:v>
                </c:pt>
                <c:pt idx="601">
                  <c:v>114.69378438338222</c:v>
                </c:pt>
                <c:pt idx="602">
                  <c:v>114.7739404208306</c:v>
                </c:pt>
                <c:pt idx="603">
                  <c:v>113.97023458574809</c:v>
                </c:pt>
                <c:pt idx="604">
                  <c:v>113.21417698637724</c:v>
                </c:pt>
                <c:pt idx="605">
                  <c:v>114.24536953929352</c:v>
                </c:pt>
                <c:pt idx="606">
                  <c:v>114.3385069712531</c:v>
                </c:pt>
                <c:pt idx="607">
                  <c:v>114.46631124441313</c:v>
                </c:pt>
                <c:pt idx="608">
                  <c:v>115.82676410497761</c:v>
                </c:pt>
                <c:pt idx="609">
                  <c:v>115.82460506551386</c:v>
                </c:pt>
                <c:pt idx="610">
                  <c:v>115.68379224011325</c:v>
                </c:pt>
                <c:pt idx="611">
                  <c:v>116.04124227057065</c:v>
                </c:pt>
                <c:pt idx="612">
                  <c:v>116.32070888190809</c:v>
                </c:pt>
                <c:pt idx="613">
                  <c:v>117.27600916084513</c:v>
                </c:pt>
                <c:pt idx="614">
                  <c:v>117.51217277312726</c:v>
                </c:pt>
                <c:pt idx="615">
                  <c:v>117.58369265272064</c:v>
                </c:pt>
                <c:pt idx="616">
                  <c:v>118.5195208398907</c:v>
                </c:pt>
                <c:pt idx="617">
                  <c:v>118.82061858245869</c:v>
                </c:pt>
                <c:pt idx="618">
                  <c:v>118.49784897206629</c:v>
                </c:pt>
                <c:pt idx="619">
                  <c:v>118.33896267794756</c:v>
                </c:pt>
                <c:pt idx="620">
                  <c:v>117.95431418179321</c:v>
                </c:pt>
                <c:pt idx="621">
                  <c:v>118.40854077991018</c:v>
                </c:pt>
                <c:pt idx="622">
                  <c:v>118.55631956282555</c:v>
                </c:pt>
                <c:pt idx="623">
                  <c:v>118.74321905451436</c:v>
                </c:pt>
                <c:pt idx="624">
                  <c:v>118.27594316756327</c:v>
                </c:pt>
                <c:pt idx="625">
                  <c:v>118.51938505124508</c:v>
                </c:pt>
                <c:pt idx="626">
                  <c:v>119.31696681841495</c:v>
                </c:pt>
                <c:pt idx="627">
                  <c:v>119.84946199180742</c:v>
                </c:pt>
                <c:pt idx="628">
                  <c:v>120.54054472429871</c:v>
                </c:pt>
                <c:pt idx="629">
                  <c:v>120.67966019163023</c:v>
                </c:pt>
                <c:pt idx="630">
                  <c:v>120.79699516022092</c:v>
                </c:pt>
                <c:pt idx="631">
                  <c:v>121.99232902783743</c:v>
                </c:pt>
                <c:pt idx="632">
                  <c:v>120.94040154875091</c:v>
                </c:pt>
                <c:pt idx="633">
                  <c:v>121.70328931699113</c:v>
                </c:pt>
                <c:pt idx="634">
                  <c:v>122.03796759159546</c:v>
                </c:pt>
                <c:pt idx="635">
                  <c:v>122.76168033560421</c:v>
                </c:pt>
                <c:pt idx="636">
                  <c:v>121.04040988617373</c:v>
                </c:pt>
                <c:pt idx="637">
                  <c:v>120.11023050665712</c:v>
                </c:pt>
                <c:pt idx="638">
                  <c:v>119.31262158175842</c:v>
                </c:pt>
                <c:pt idx="639">
                  <c:v>120.54274450035598</c:v>
                </c:pt>
                <c:pt idx="640">
                  <c:v>120.35365881147445</c:v>
                </c:pt>
                <c:pt idx="641">
                  <c:v>117.62614018330915</c:v>
                </c:pt>
                <c:pt idx="642">
                  <c:v>117.01324455290629</c:v>
                </c:pt>
                <c:pt idx="643">
                  <c:v>118.32379508624327</c:v>
                </c:pt>
                <c:pt idx="644">
                  <c:v>118.39333245161234</c:v>
                </c:pt>
                <c:pt idx="645">
                  <c:v>117.79345895231437</c:v>
                </c:pt>
                <c:pt idx="646">
                  <c:v>119.70816032728312</c:v>
                </c:pt>
                <c:pt idx="647">
                  <c:v>118.0129884555208</c:v>
                </c:pt>
                <c:pt idx="648">
                  <c:v>115.81576522469071</c:v>
                </c:pt>
                <c:pt idx="649">
                  <c:v>112.44278884892762</c:v>
                </c:pt>
                <c:pt idx="650">
                  <c:v>113.4794808419873</c:v>
                </c:pt>
                <c:pt idx="651">
                  <c:v>112.72096546813263</c:v>
                </c:pt>
                <c:pt idx="652">
                  <c:v>115.326763154457</c:v>
                </c:pt>
                <c:pt idx="653">
                  <c:v>115.83533236850955</c:v>
                </c:pt>
                <c:pt idx="654">
                  <c:v>115.89619283943011</c:v>
                </c:pt>
                <c:pt idx="655">
                  <c:v>117.80213584676294</c:v>
                </c:pt>
                <c:pt idx="656">
                  <c:v>118.17380294840594</c:v>
                </c:pt>
                <c:pt idx="657">
                  <c:v>120.1993485947096</c:v>
                </c:pt>
                <c:pt idx="658">
                  <c:v>120.46883474060152</c:v>
                </c:pt>
                <c:pt idx="659">
                  <c:v>121.62066192619443</c:v>
                </c:pt>
                <c:pt idx="660">
                  <c:v>121.42289934286434</c:v>
                </c:pt>
                <c:pt idx="661">
                  <c:v>121.84019142940086</c:v>
                </c:pt>
                <c:pt idx="662">
                  <c:v>120.88392705108062</c:v>
                </c:pt>
                <c:pt idx="663">
                  <c:v>122.16836542788489</c:v>
                </c:pt>
                <c:pt idx="664">
                  <c:v>121.87713951984583</c:v>
                </c:pt>
                <c:pt idx="665">
                  <c:v>122.04447186771571</c:v>
                </c:pt>
                <c:pt idx="666">
                  <c:v>121.33599460973383</c:v>
                </c:pt>
                <c:pt idx="667">
                  <c:v>121.34683054364595</c:v>
                </c:pt>
                <c:pt idx="668">
                  <c:v>122.50522989968201</c:v>
                </c:pt>
                <c:pt idx="669">
                  <c:v>119.9841914858889</c:v>
                </c:pt>
                <c:pt idx="670">
                  <c:v>119.73859056274333</c:v>
                </c:pt>
                <c:pt idx="671">
                  <c:v>119.44736465470423</c:v>
                </c:pt>
                <c:pt idx="672">
                  <c:v>117.43705449442758</c:v>
                </c:pt>
                <c:pt idx="673">
                  <c:v>118.7518959489629</c:v>
                </c:pt>
                <c:pt idx="674">
                  <c:v>119.26915563632849</c:v>
                </c:pt>
                <c:pt idx="675">
                  <c:v>120.49273354221242</c:v>
                </c:pt>
                <c:pt idx="676">
                  <c:v>121.50767219426027</c:v>
                </c:pt>
                <c:pt idx="677">
                  <c:v>122.14226685021656</c:v>
                </c:pt>
                <c:pt idx="678">
                  <c:v>122.32264848692056</c:v>
                </c:pt>
                <c:pt idx="679">
                  <c:v>122.37264586619978</c:v>
                </c:pt>
                <c:pt idx="680">
                  <c:v>122.00972355332804</c:v>
                </c:pt>
                <c:pt idx="681">
                  <c:v>124.09175727616653</c:v>
                </c:pt>
                <c:pt idx="682">
                  <c:v>123.87722479511511</c:v>
                </c:pt>
                <c:pt idx="683">
                  <c:v>124.18676859143432</c:v>
                </c:pt>
                <c:pt idx="684">
                  <c:v>124.54212747675086</c:v>
                </c:pt>
                <c:pt idx="685">
                  <c:v>124.26742704687106</c:v>
                </c:pt>
                <c:pt idx="686">
                  <c:v>124.76010898939829</c:v>
                </c:pt>
                <c:pt idx="687">
                  <c:v>124.57917061924772</c:v>
                </c:pt>
                <c:pt idx="688">
                  <c:v>125.07838399562425</c:v>
                </c:pt>
                <c:pt idx="689">
                  <c:v>123.95788325055186</c:v>
                </c:pt>
                <c:pt idx="690">
                  <c:v>124.01021619453398</c:v>
                </c:pt>
                <c:pt idx="691">
                  <c:v>123.7835034719798</c:v>
                </c:pt>
                <c:pt idx="692">
                  <c:v>124.90836303257321</c:v>
                </c:pt>
                <c:pt idx="693">
                  <c:v>123.77913107759406</c:v>
                </c:pt>
                <c:pt idx="694">
                  <c:v>124.94977856945562</c:v>
                </c:pt>
                <c:pt idx="695">
                  <c:v>125.815241080519</c:v>
                </c:pt>
                <c:pt idx="696">
                  <c:v>125.59505979181409</c:v>
                </c:pt>
                <c:pt idx="697">
                  <c:v>126.34712520500683</c:v>
                </c:pt>
                <c:pt idx="698">
                  <c:v>127.38046321852204</c:v>
                </c:pt>
                <c:pt idx="699">
                  <c:v>126.39075409681124</c:v>
                </c:pt>
                <c:pt idx="700">
                  <c:v>126.94010064111241</c:v>
                </c:pt>
                <c:pt idx="701">
                  <c:v>126.95099089048274</c:v>
                </c:pt>
                <c:pt idx="702">
                  <c:v>127.43932759635344</c:v>
                </c:pt>
                <c:pt idx="703">
                  <c:v>127.23002297815454</c:v>
                </c:pt>
                <c:pt idx="704">
                  <c:v>127.16245454814556</c:v>
                </c:pt>
                <c:pt idx="705">
                  <c:v>126.00051110846158</c:v>
                </c:pt>
                <c:pt idx="706">
                  <c:v>126.27303892001309</c:v>
                </c:pt>
                <c:pt idx="707">
                  <c:v>126.22941002820853</c:v>
                </c:pt>
                <c:pt idx="708">
                  <c:v>126.6196530165582</c:v>
                </c:pt>
                <c:pt idx="709">
                  <c:v>126.82455808264254</c:v>
                </c:pt>
                <c:pt idx="710">
                  <c:v>126.44088726473591</c:v>
                </c:pt>
                <c:pt idx="711">
                  <c:v>123.96224206607307</c:v>
                </c:pt>
                <c:pt idx="712">
                  <c:v>124.48543571724771</c:v>
                </c:pt>
                <c:pt idx="713">
                  <c:v>124.21729387894641</c:v>
                </c:pt>
                <c:pt idx="714">
                  <c:v>125.71931998132619</c:v>
                </c:pt>
                <c:pt idx="715">
                  <c:v>128.84539186294674</c:v>
                </c:pt>
                <c:pt idx="716">
                  <c:v>129.84165957623603</c:v>
                </c:pt>
                <c:pt idx="717">
                  <c:v>130.40408256710049</c:v>
                </c:pt>
                <c:pt idx="718">
                  <c:v>130.5283427566126</c:v>
                </c:pt>
                <c:pt idx="719">
                  <c:v>130.12286428223609</c:v>
                </c:pt>
                <c:pt idx="720">
                  <c:v>130.18606031785936</c:v>
                </c:pt>
                <c:pt idx="721">
                  <c:v>129.34897763370898</c:v>
                </c:pt>
                <c:pt idx="722">
                  <c:v>127.69220679089869</c:v>
                </c:pt>
                <c:pt idx="723">
                  <c:v>128.2154004420733</c:v>
                </c:pt>
                <c:pt idx="724">
                  <c:v>128.68407495207325</c:v>
                </c:pt>
                <c:pt idx="725">
                  <c:v>128.72766310728409</c:v>
                </c:pt>
                <c:pt idx="726">
                  <c:v>129.4187186820462</c:v>
                </c:pt>
                <c:pt idx="727">
                  <c:v>129.81983834090167</c:v>
                </c:pt>
                <c:pt idx="728">
                  <c:v>130.26020091831128</c:v>
                </c:pt>
                <c:pt idx="729">
                  <c:v>130.94037982256759</c:v>
                </c:pt>
                <c:pt idx="730">
                  <c:v>130.54359182150412</c:v>
                </c:pt>
                <c:pt idx="731">
                  <c:v>131.35456234912164</c:v>
                </c:pt>
                <c:pt idx="732">
                  <c:v>131.58997912385357</c:v>
                </c:pt>
                <c:pt idx="733">
                  <c:v>131.65101612001305</c:v>
                </c:pt>
                <c:pt idx="734">
                  <c:v>132.46851808148006</c:v>
                </c:pt>
                <c:pt idx="735">
                  <c:v>132.25049583223893</c:v>
                </c:pt>
                <c:pt idx="736">
                  <c:v>132.50121598732042</c:v>
                </c:pt>
                <c:pt idx="737">
                  <c:v>131.81887804360056</c:v>
                </c:pt>
                <c:pt idx="738">
                  <c:v>131.40905433256751</c:v>
                </c:pt>
                <c:pt idx="739">
                  <c:v>132.42494350513388</c:v>
                </c:pt>
                <c:pt idx="740">
                  <c:v>131.74260556141402</c:v>
                </c:pt>
                <c:pt idx="741">
                  <c:v>131.71642551055845</c:v>
                </c:pt>
                <c:pt idx="742">
                  <c:v>132.27884850142274</c:v>
                </c:pt>
                <c:pt idx="743">
                  <c:v>131.73387435150727</c:v>
                </c:pt>
                <c:pt idx="744">
                  <c:v>127.80772219163954</c:v>
                </c:pt>
                <c:pt idx="745">
                  <c:v>127.76847927308521</c:v>
                </c:pt>
                <c:pt idx="746">
                  <c:v>129.30310822925347</c:v>
                </c:pt>
                <c:pt idx="747">
                  <c:v>130.07741582258171</c:v>
                </c:pt>
                <c:pt idx="748">
                  <c:v>131.52323900458222</c:v>
                </c:pt>
                <c:pt idx="749">
                  <c:v>131.5319837933535</c:v>
                </c:pt>
                <c:pt idx="750">
                  <c:v>130.14741486934545</c:v>
                </c:pt>
                <c:pt idx="751">
                  <c:v>128.66222655900972</c:v>
                </c:pt>
                <c:pt idx="752">
                  <c:v>128.19413594018553</c:v>
                </c:pt>
                <c:pt idx="753">
                  <c:v>127.8791741769102</c:v>
                </c:pt>
                <c:pt idx="754">
                  <c:v>129.47809905673049</c:v>
                </c:pt>
                <c:pt idx="755">
                  <c:v>130.22397250768753</c:v>
                </c:pt>
                <c:pt idx="756">
                  <c:v>128.75190138050874</c:v>
                </c:pt>
                <c:pt idx="757">
                  <c:v>128.94000939114258</c:v>
                </c:pt>
                <c:pt idx="758">
                  <c:v>126.9714270816331</c:v>
                </c:pt>
                <c:pt idx="759">
                  <c:v>127.16829345990269</c:v>
                </c:pt>
                <c:pt idx="760">
                  <c:v>127.34325712965054</c:v>
                </c:pt>
                <c:pt idx="761">
                  <c:v>129.65963489692135</c:v>
                </c:pt>
                <c:pt idx="762">
                  <c:v>129.41028620715952</c:v>
                </c:pt>
                <c:pt idx="763">
                  <c:v>130.7095662829187</c:v>
                </c:pt>
                <c:pt idx="764">
                  <c:v>131.90600003856389</c:v>
                </c:pt>
                <c:pt idx="765">
                  <c:v>132.64751467399986</c:v>
                </c:pt>
                <c:pt idx="766">
                  <c:v>133.37149899529965</c:v>
                </c:pt>
                <c:pt idx="767">
                  <c:v>132.982165790875</c:v>
                </c:pt>
                <c:pt idx="768">
                  <c:v>131.10107210567162</c:v>
                </c:pt>
                <c:pt idx="769">
                  <c:v>132.22756113001125</c:v>
                </c:pt>
                <c:pt idx="770">
                  <c:v>131.63477579800931</c:v>
                </c:pt>
                <c:pt idx="771">
                  <c:v>132.34128412063126</c:v>
                </c:pt>
                <c:pt idx="772">
                  <c:v>131.63696199520226</c:v>
                </c:pt>
                <c:pt idx="773">
                  <c:v>130.75110402958222</c:v>
                </c:pt>
                <c:pt idx="774">
                  <c:v>131.6282307852955</c:v>
                </c:pt>
                <c:pt idx="775">
                  <c:v>132.16192089876867</c:v>
                </c:pt>
                <c:pt idx="776">
                  <c:v>132.62126672882161</c:v>
                </c:pt>
                <c:pt idx="777">
                  <c:v>131.40731623790489</c:v>
                </c:pt>
                <c:pt idx="778">
                  <c:v>132.29971921623874</c:v>
                </c:pt>
                <c:pt idx="779">
                  <c:v>132.4003521814308</c:v>
                </c:pt>
                <c:pt idx="780">
                  <c:v>131.97382646699936</c:v>
                </c:pt>
                <c:pt idx="781">
                  <c:v>133.36712660091413</c:v>
                </c:pt>
                <c:pt idx="782">
                  <c:v>133.36056800933565</c:v>
                </c:pt>
                <c:pt idx="783">
                  <c:v>133.75211456868223</c:v>
                </c:pt>
                <c:pt idx="784">
                  <c:v>134.06708991082209</c:v>
                </c:pt>
                <c:pt idx="785">
                  <c:v>133.50931089163421</c:v>
                </c:pt>
                <c:pt idx="786">
                  <c:v>131.22575323998487</c:v>
                </c:pt>
                <c:pt idx="787">
                  <c:v>130.62860909246191</c:v>
                </c:pt>
                <c:pt idx="788">
                  <c:v>129.97899621231142</c:v>
                </c:pt>
                <c:pt idx="789">
                  <c:v>130.04459570696042</c:v>
                </c:pt>
                <c:pt idx="790">
                  <c:v>127.96883541954472</c:v>
                </c:pt>
                <c:pt idx="791">
                  <c:v>129.96587902915445</c:v>
                </c:pt>
                <c:pt idx="792">
                  <c:v>127.68885281135441</c:v>
                </c:pt>
                <c:pt idx="793">
                  <c:v>126.17743013470486</c:v>
                </c:pt>
                <c:pt idx="794">
                  <c:v>127.53356491634182</c:v>
                </c:pt>
                <c:pt idx="795">
                  <c:v>125.26969661829229</c:v>
                </c:pt>
                <c:pt idx="796">
                  <c:v>125.97181896766401</c:v>
                </c:pt>
                <c:pt idx="797">
                  <c:v>122.61649511581807</c:v>
                </c:pt>
                <c:pt idx="798">
                  <c:v>121.59717049051999</c:v>
                </c:pt>
                <c:pt idx="799">
                  <c:v>122.24245171287866</c:v>
                </c:pt>
                <c:pt idx="800">
                  <c:v>120.61289291462987</c:v>
                </c:pt>
                <c:pt idx="801">
                  <c:v>123.10426150937752</c:v>
                </c:pt>
                <c:pt idx="802">
                  <c:v>124.05354635131829</c:v>
                </c:pt>
                <c:pt idx="803">
                  <c:v>122.71272852889558</c:v>
                </c:pt>
                <c:pt idx="804">
                  <c:v>124.04917395693258</c:v>
                </c:pt>
                <c:pt idx="805">
                  <c:v>123.69046109207193</c:v>
                </c:pt>
                <c:pt idx="806">
                  <c:v>123.73126558004957</c:v>
                </c:pt>
                <c:pt idx="807">
                  <c:v>125.94711901304454</c:v>
                </c:pt>
                <c:pt idx="808">
                  <c:v>126.24984621935889</c:v>
                </c:pt>
                <c:pt idx="809">
                  <c:v>124.74266014844947</c:v>
                </c:pt>
                <c:pt idx="810">
                  <c:v>124.41139016884766</c:v>
                </c:pt>
                <c:pt idx="811">
                  <c:v>121.90594029155982</c:v>
                </c:pt>
                <c:pt idx="812">
                  <c:v>122.72427056376441</c:v>
                </c:pt>
                <c:pt idx="813">
                  <c:v>123.07089823917418</c:v>
                </c:pt>
                <c:pt idx="814">
                  <c:v>123.8497411732626</c:v>
                </c:pt>
                <c:pt idx="815">
                  <c:v>117.74632671345574</c:v>
                </c:pt>
                <c:pt idx="816">
                  <c:v>110.85310438643489</c:v>
                </c:pt>
                <c:pt idx="817">
                  <c:v>110.65566090642179</c:v>
                </c:pt>
                <c:pt idx="818">
                  <c:v>108.9224750033471</c:v>
                </c:pt>
                <c:pt idx="819">
                  <c:v>120.36145307972717</c:v>
                </c:pt>
                <c:pt idx="820">
                  <c:v>115.08731345695347</c:v>
                </c:pt>
                <c:pt idx="821">
                  <c:v>117.14079082763982</c:v>
                </c:pt>
                <c:pt idx="822">
                  <c:v>118.27723315969574</c:v>
                </c:pt>
                <c:pt idx="823">
                  <c:v>117.9459631800939</c:v>
                </c:pt>
                <c:pt idx="824">
                  <c:v>115.32425106451501</c:v>
                </c:pt>
                <c:pt idx="825">
                  <c:v>115.4887861662872</c:v>
                </c:pt>
                <c:pt idx="826">
                  <c:v>112.73985366872404</c:v>
                </c:pt>
                <c:pt idx="827">
                  <c:v>115.67309209484655</c:v>
                </c:pt>
                <c:pt idx="828">
                  <c:v>117.46550221566314</c:v>
                </c:pt>
                <c:pt idx="829">
                  <c:v>119.93803692527783</c:v>
                </c:pt>
                <c:pt idx="830">
                  <c:v>120.80459932436982</c:v>
                </c:pt>
                <c:pt idx="831">
                  <c:v>120.85067241179368</c:v>
                </c:pt>
                <c:pt idx="832">
                  <c:v>121.61195787401687</c:v>
                </c:pt>
                <c:pt idx="833">
                  <c:v>121.66021715863332</c:v>
                </c:pt>
                <c:pt idx="834">
                  <c:v>122.52240716333979</c:v>
                </c:pt>
                <c:pt idx="835">
                  <c:v>124.34116028138658</c:v>
                </c:pt>
                <c:pt idx="836">
                  <c:v>123.62816126150902</c:v>
                </c:pt>
                <c:pt idx="837">
                  <c:v>122.59480966912915</c:v>
                </c:pt>
                <c:pt idx="838">
                  <c:v>123.11038557729034</c:v>
                </c:pt>
                <c:pt idx="839">
                  <c:v>123.96820318761111</c:v>
                </c:pt>
                <c:pt idx="840">
                  <c:v>123.81025383514641</c:v>
                </c:pt>
                <c:pt idx="841">
                  <c:v>127.90186445957603</c:v>
                </c:pt>
                <c:pt idx="842">
                  <c:v>128.74652415014629</c:v>
                </c:pt>
                <c:pt idx="843">
                  <c:v>128.91105925191849</c:v>
                </c:pt>
                <c:pt idx="844">
                  <c:v>129.54069762231347</c:v>
                </c:pt>
                <c:pt idx="845">
                  <c:v>130.36122767057552</c:v>
                </c:pt>
                <c:pt idx="846">
                  <c:v>130.50381932723226</c:v>
                </c:pt>
                <c:pt idx="847">
                  <c:v>130.06503189811062</c:v>
                </c:pt>
                <c:pt idx="848">
                  <c:v>127.87333526515307</c:v>
                </c:pt>
                <c:pt idx="849">
                  <c:v>127.92382148355598</c:v>
                </c:pt>
                <c:pt idx="850">
                  <c:v>127.05061901969825</c:v>
                </c:pt>
                <c:pt idx="851">
                  <c:v>129.69207480433516</c:v>
                </c:pt>
                <c:pt idx="852">
                  <c:v>128.94176106466969</c:v>
                </c:pt>
                <c:pt idx="853">
                  <c:v>129.45075122352338</c:v>
                </c:pt>
                <c:pt idx="854">
                  <c:v>129.3059462119447</c:v>
                </c:pt>
                <c:pt idx="855">
                  <c:v>130.03434366422391</c:v>
                </c:pt>
                <c:pt idx="856">
                  <c:v>130.77585829965992</c:v>
                </c:pt>
                <c:pt idx="857">
                  <c:v>130.74075693479395</c:v>
                </c:pt>
                <c:pt idx="858">
                  <c:v>130.108905209477</c:v>
                </c:pt>
                <c:pt idx="859">
                  <c:v>131.44501116590027</c:v>
                </c:pt>
                <c:pt idx="860">
                  <c:v>131.5634596013841</c:v>
                </c:pt>
                <c:pt idx="861">
                  <c:v>132.3093873677995</c:v>
                </c:pt>
                <c:pt idx="862">
                  <c:v>131.93203072190931</c:v>
                </c:pt>
                <c:pt idx="863">
                  <c:v>132.45637857657098</c:v>
                </c:pt>
                <c:pt idx="864">
                  <c:v>130.97550834516272</c:v>
                </c:pt>
                <c:pt idx="865">
                  <c:v>132.22164074506674</c:v>
                </c:pt>
                <c:pt idx="866">
                  <c:v>131.09179774118297</c:v>
                </c:pt>
                <c:pt idx="867">
                  <c:v>131.07204049326032</c:v>
                </c:pt>
                <c:pt idx="868">
                  <c:v>130.76422121273919</c:v>
                </c:pt>
                <c:pt idx="869">
                  <c:v>132.05581565116208</c:v>
                </c:pt>
                <c:pt idx="870">
                  <c:v>133.51467454313217</c:v>
                </c:pt>
                <c:pt idx="871">
                  <c:v>133.58949408681178</c:v>
                </c:pt>
                <c:pt idx="872">
                  <c:v>134.63467287021601</c:v>
                </c:pt>
                <c:pt idx="873">
                  <c:v>135.30359489575903</c:v>
                </c:pt>
                <c:pt idx="874">
                  <c:v>135.9504920029992</c:v>
                </c:pt>
                <c:pt idx="875">
                  <c:v>135.90651006071639</c:v>
                </c:pt>
                <c:pt idx="876">
                  <c:v>136.52261030315341</c:v>
                </c:pt>
                <c:pt idx="877">
                  <c:v>137.59859953022544</c:v>
                </c:pt>
                <c:pt idx="878">
                  <c:v>136.57320515247292</c:v>
                </c:pt>
                <c:pt idx="879">
                  <c:v>136.49839918765781</c:v>
                </c:pt>
                <c:pt idx="880">
                  <c:v>137.31693314283072</c:v>
                </c:pt>
                <c:pt idx="881">
                  <c:v>137.70420235984352</c:v>
                </c:pt>
                <c:pt idx="882">
                  <c:v>137.22011583857761</c:v>
                </c:pt>
                <c:pt idx="883">
                  <c:v>137.48195708372691</c:v>
                </c:pt>
                <c:pt idx="884">
                  <c:v>136.89446750890005</c:v>
                </c:pt>
                <c:pt idx="885">
                  <c:v>137.35214313861323</c:v>
                </c:pt>
                <c:pt idx="886">
                  <c:v>138.19268843322433</c:v>
                </c:pt>
                <c:pt idx="887">
                  <c:v>138.09147157685629</c:v>
                </c:pt>
                <c:pt idx="888">
                  <c:v>138.35331282200565</c:v>
                </c:pt>
                <c:pt idx="889">
                  <c:v>138.37312438538655</c:v>
                </c:pt>
                <c:pt idx="890">
                  <c:v>139.55033046882639</c:v>
                </c:pt>
                <c:pt idx="891">
                  <c:v>139.59652576603116</c:v>
                </c:pt>
                <c:pt idx="892">
                  <c:v>140.18622869577982</c:v>
                </c:pt>
                <c:pt idx="893">
                  <c:v>140.15103227886198</c:v>
                </c:pt>
                <c:pt idx="894">
                  <c:v>139.78137484917261</c:v>
                </c:pt>
                <c:pt idx="895">
                  <c:v>139.60532487026063</c:v>
                </c:pt>
                <c:pt idx="896">
                  <c:v>139.08164237996195</c:v>
                </c:pt>
                <c:pt idx="897">
                  <c:v>136.80203617789718</c:v>
                </c:pt>
                <c:pt idx="898">
                  <c:v>138.88139486441904</c:v>
                </c:pt>
                <c:pt idx="899">
                  <c:v>138.17729000082269</c:v>
                </c:pt>
                <c:pt idx="900">
                  <c:v>139.23566744057126</c:v>
                </c:pt>
                <c:pt idx="901">
                  <c:v>139.11905215180178</c:v>
                </c:pt>
                <c:pt idx="902">
                  <c:v>140.20382690423875</c:v>
                </c:pt>
                <c:pt idx="903">
                  <c:v>139.92658722668793</c:v>
                </c:pt>
                <c:pt idx="904">
                  <c:v>141.41625656232566</c:v>
                </c:pt>
                <c:pt idx="905">
                  <c:v>141.90032950472704</c:v>
                </c:pt>
                <c:pt idx="906">
                  <c:v>141.91352816107124</c:v>
                </c:pt>
                <c:pt idx="907">
                  <c:v>141.58126692435721</c:v>
                </c:pt>
                <c:pt idx="908">
                  <c:v>141.55047005955407</c:v>
                </c:pt>
                <c:pt idx="909">
                  <c:v>140.78253095370047</c:v>
                </c:pt>
                <c:pt idx="910">
                  <c:v>140.40844681416738</c:v>
                </c:pt>
                <c:pt idx="911">
                  <c:v>139.84516835483629</c:v>
                </c:pt>
                <c:pt idx="912">
                  <c:v>141.99274725686558</c:v>
                </c:pt>
                <c:pt idx="913">
                  <c:v>141.36783433133439</c:v>
                </c:pt>
                <c:pt idx="914">
                  <c:v>141.95973703714054</c:v>
                </c:pt>
                <c:pt idx="915">
                  <c:v>142.28319916962511</c:v>
                </c:pt>
                <c:pt idx="916">
                  <c:v>142.78708367540739</c:v>
                </c:pt>
                <c:pt idx="917">
                  <c:v>141.93553950050941</c:v>
                </c:pt>
                <c:pt idx="918">
                  <c:v>140.88374781006851</c:v>
                </c:pt>
                <c:pt idx="919">
                  <c:v>141.64728736380718</c:v>
                </c:pt>
                <c:pt idx="920">
                  <c:v>142.83109277541922</c:v>
                </c:pt>
                <c:pt idx="921">
                  <c:v>142.41739908798903</c:v>
                </c:pt>
                <c:pt idx="922">
                  <c:v>142.76729926975571</c:v>
                </c:pt>
                <c:pt idx="923">
                  <c:v>143.09734715154778</c:v>
                </c:pt>
                <c:pt idx="924">
                  <c:v>143.51100010238446</c:v>
                </c:pt>
                <c:pt idx="925">
                  <c:v>144.70361819709046</c:v>
                </c:pt>
                <c:pt idx="926">
                  <c:v>144.6551823872349</c:v>
                </c:pt>
                <c:pt idx="927">
                  <c:v>145.42533484801029</c:v>
                </c:pt>
                <c:pt idx="928">
                  <c:v>145.22510091133171</c:v>
                </c:pt>
                <c:pt idx="929">
                  <c:v>145.04466495916949</c:v>
                </c:pt>
                <c:pt idx="930">
                  <c:v>145.72238608894199</c:v>
                </c:pt>
                <c:pt idx="931">
                  <c:v>146.44412989759081</c:v>
                </c:pt>
                <c:pt idx="932">
                  <c:v>147.13696430360923</c:v>
                </c:pt>
                <c:pt idx="933">
                  <c:v>146.33602855689526</c:v>
                </c:pt>
                <c:pt idx="934">
                  <c:v>145.8704364491486</c:v>
                </c:pt>
                <c:pt idx="935">
                  <c:v>145.19746792196923</c:v>
                </c:pt>
                <c:pt idx="936">
                  <c:v>146.0293227432673</c:v>
                </c:pt>
                <c:pt idx="937">
                  <c:v>146.43971676661155</c:v>
                </c:pt>
                <c:pt idx="938">
                  <c:v>146.99133098129272</c:v>
                </c:pt>
                <c:pt idx="939">
                  <c:v>147.49221455800915</c:v>
                </c:pt>
                <c:pt idx="940">
                  <c:v>147.66208615355026</c:v>
                </c:pt>
                <c:pt idx="941">
                  <c:v>147.65989995635729</c:v>
                </c:pt>
                <c:pt idx="942">
                  <c:v>148.18944851614231</c:v>
                </c:pt>
                <c:pt idx="943">
                  <c:v>147.64003407751841</c:v>
                </c:pt>
                <c:pt idx="944">
                  <c:v>148.52041976072388</c:v>
                </c:pt>
                <c:pt idx="945">
                  <c:v>148.09015985854072</c:v>
                </c:pt>
                <c:pt idx="946">
                  <c:v>144.08759942784084</c:v>
                </c:pt>
                <c:pt idx="947">
                  <c:v>146.2984965752745</c:v>
                </c:pt>
                <c:pt idx="948">
                  <c:v>146.11977156004571</c:v>
                </c:pt>
                <c:pt idx="949">
                  <c:v>146.76848823513589</c:v>
                </c:pt>
                <c:pt idx="950">
                  <c:v>145.76894801548951</c:v>
                </c:pt>
                <c:pt idx="951">
                  <c:v>146.5963761269438</c:v>
                </c:pt>
                <c:pt idx="952">
                  <c:v>148.12105177539573</c:v>
                </c:pt>
                <c:pt idx="953">
                  <c:v>148.11882484160924</c:v>
                </c:pt>
                <c:pt idx="954">
                  <c:v>147.34878101175011</c:v>
                </c:pt>
                <c:pt idx="955">
                  <c:v>148.22255378791908</c:v>
                </c:pt>
                <c:pt idx="956">
                  <c:v>149.43391071570659</c:v>
                </c:pt>
                <c:pt idx="957">
                  <c:v>151.1968818581752</c:v>
                </c:pt>
                <c:pt idx="958">
                  <c:v>151.59846319842535</c:v>
                </c:pt>
                <c:pt idx="959">
                  <c:v>151.67127307015133</c:v>
                </c:pt>
                <c:pt idx="960">
                  <c:v>150.00317745430485</c:v>
                </c:pt>
                <c:pt idx="961">
                  <c:v>150.49522119019812</c:v>
                </c:pt>
                <c:pt idx="962">
                  <c:v>150.77766157287223</c:v>
                </c:pt>
                <c:pt idx="963">
                  <c:v>148.99041142058527</c:v>
                </c:pt>
                <c:pt idx="964">
                  <c:v>149.50672058743237</c:v>
                </c:pt>
                <c:pt idx="965">
                  <c:v>147.90260858135343</c:v>
                </c:pt>
                <c:pt idx="966">
                  <c:v>148.04822832480525</c:v>
                </c:pt>
                <c:pt idx="967">
                  <c:v>150.35842770870499</c:v>
                </c:pt>
                <c:pt idx="968">
                  <c:v>150.70262476735999</c:v>
                </c:pt>
                <c:pt idx="969">
                  <c:v>150.7864742559664</c:v>
                </c:pt>
                <c:pt idx="970">
                  <c:v>148.28432404276467</c:v>
                </c:pt>
                <c:pt idx="971">
                  <c:v>148.26007219067534</c:v>
                </c:pt>
                <c:pt idx="972">
                  <c:v>146.87880293075341</c:v>
                </c:pt>
                <c:pt idx="973">
                  <c:v>145.6453939269341</c:v>
                </c:pt>
                <c:pt idx="974">
                  <c:v>146.20804775849587</c:v>
                </c:pt>
                <c:pt idx="975">
                  <c:v>143.97949808714529</c:v>
                </c:pt>
                <c:pt idx="976">
                  <c:v>145.41371133995409</c:v>
                </c:pt>
                <c:pt idx="977">
                  <c:v>147.55397123399001</c:v>
                </c:pt>
                <c:pt idx="978">
                  <c:v>148.94185340094862</c:v>
                </c:pt>
                <c:pt idx="979">
                  <c:v>149.97008576139257</c:v>
                </c:pt>
                <c:pt idx="980">
                  <c:v>150.78868761088816</c:v>
                </c:pt>
                <c:pt idx="981">
                  <c:v>150.1002663358492</c:v>
                </c:pt>
                <c:pt idx="982">
                  <c:v>150.37829358754408</c:v>
                </c:pt>
                <c:pt idx="983">
                  <c:v>150.8990158853704</c:v>
                </c:pt>
                <c:pt idx="984">
                  <c:v>151.00933058098792</c:v>
                </c:pt>
                <c:pt idx="985">
                  <c:v>151.29617051577679</c:v>
                </c:pt>
                <c:pt idx="986">
                  <c:v>150.84164518263955</c:v>
                </c:pt>
                <c:pt idx="987">
                  <c:v>150.71143745045396</c:v>
                </c:pt>
                <c:pt idx="988">
                  <c:v>151.71100482782933</c:v>
                </c:pt>
                <c:pt idx="989">
                  <c:v>152.06402814844299</c:v>
                </c:pt>
                <c:pt idx="990">
                  <c:v>150.42902422550901</c:v>
                </c:pt>
                <c:pt idx="991">
                  <c:v>150.20175476950803</c:v>
                </c:pt>
                <c:pt idx="992">
                  <c:v>149.79136074616397</c:v>
                </c:pt>
                <c:pt idx="993">
                  <c:v>148.14311743029211</c:v>
                </c:pt>
                <c:pt idx="994">
                  <c:v>149.26178502864997</c:v>
                </c:pt>
                <c:pt idx="995">
                  <c:v>150.61462014620085</c:v>
                </c:pt>
                <c:pt idx="996">
                  <c:v>151.55293326558373</c:v>
                </c:pt>
                <c:pt idx="997">
                  <c:v>152.24559114636281</c:v>
                </c:pt>
                <c:pt idx="998">
                  <c:v>152.78114156427952</c:v>
                </c:pt>
                <c:pt idx="999">
                  <c:v>152.76564807982618</c:v>
                </c:pt>
                <c:pt idx="1000">
                  <c:v>152.22124424222179</c:v>
                </c:pt>
                <c:pt idx="1001">
                  <c:v>152.03536316537446</c:v>
                </c:pt>
                <c:pt idx="1002">
                  <c:v>150.90894203535748</c:v>
                </c:pt>
                <c:pt idx="1003">
                  <c:v>151.18555708513904</c:v>
                </c:pt>
                <c:pt idx="1004">
                  <c:v>152.1924706282368</c:v>
                </c:pt>
                <c:pt idx="1005">
                  <c:v>153.09759700265568</c:v>
                </c:pt>
                <c:pt idx="1006">
                  <c:v>152.60410032825536</c:v>
                </c:pt>
                <c:pt idx="1007">
                  <c:v>152.58860684380198</c:v>
                </c:pt>
                <c:pt idx="1008">
                  <c:v>153.59773374182171</c:v>
                </c:pt>
                <c:pt idx="1009">
                  <c:v>153.83894869171706</c:v>
                </c:pt>
                <c:pt idx="1010">
                  <c:v>153.53134667302857</c:v>
                </c:pt>
                <c:pt idx="1011">
                  <c:v>152.77671485443582</c:v>
                </c:pt>
                <c:pt idx="1012">
                  <c:v>153.19275768543358</c:v>
                </c:pt>
                <c:pt idx="1013">
                  <c:v>153.06439667882677</c:v>
                </c:pt>
                <c:pt idx="1014">
                  <c:v>149.94849536675557</c:v>
                </c:pt>
                <c:pt idx="1015">
                  <c:v>151.67906733840385</c:v>
                </c:pt>
                <c:pt idx="1016">
                  <c:v>152.47132619066929</c:v>
                </c:pt>
                <c:pt idx="1017">
                  <c:v>152.52663290598829</c:v>
                </c:pt>
                <c:pt idx="1018">
                  <c:v>153.30118491887839</c:v>
                </c:pt>
                <c:pt idx="1019">
                  <c:v>153.9119758252757</c:v>
                </c:pt>
                <c:pt idx="1020">
                  <c:v>153.89648234082233</c:v>
                </c:pt>
                <c:pt idx="1021">
                  <c:v>153.5910936770558</c:v>
                </c:pt>
                <c:pt idx="1022">
                  <c:v>153.13299710254165</c:v>
                </c:pt>
                <c:pt idx="1023">
                  <c:v>153.89428256476484</c:v>
                </c:pt>
                <c:pt idx="1024">
                  <c:v>152.59303355364571</c:v>
                </c:pt>
                <c:pt idx="1025">
                  <c:v>151.85389521950631</c:v>
                </c:pt>
                <c:pt idx="1026">
                  <c:v>149.95734878644322</c:v>
                </c:pt>
                <c:pt idx="1027">
                  <c:v>152.83424850354106</c:v>
                </c:pt>
                <c:pt idx="1028">
                  <c:v>153.57118706162322</c:v>
                </c:pt>
                <c:pt idx="1029">
                  <c:v>153.16619742637056</c:v>
                </c:pt>
                <c:pt idx="1030">
                  <c:v>153.13079732648441</c:v>
                </c:pt>
                <c:pt idx="1031">
                  <c:v>150.76510112316203</c:v>
                </c:pt>
                <c:pt idx="1032">
                  <c:v>150.87131500168508</c:v>
                </c:pt>
                <c:pt idx="1033">
                  <c:v>151.11474330650216</c:v>
                </c:pt>
                <c:pt idx="1034">
                  <c:v>151.87601518986088</c:v>
                </c:pt>
                <c:pt idx="1035">
                  <c:v>151.47545226445197</c:v>
                </c:pt>
                <c:pt idx="1036">
                  <c:v>152.57091358329114</c:v>
                </c:pt>
                <c:pt idx="1037">
                  <c:v>151.01295613782307</c:v>
                </c:pt>
                <c:pt idx="1038">
                  <c:v>152.11059007499051</c:v>
                </c:pt>
                <c:pt idx="1039">
                  <c:v>153.3941458255988</c:v>
                </c:pt>
                <c:pt idx="1040">
                  <c:v>152.54212639044167</c:v>
                </c:pt>
                <c:pt idx="1041">
                  <c:v>151.80962812106796</c:v>
                </c:pt>
                <c:pt idx="1042">
                  <c:v>151.89594896302268</c:v>
                </c:pt>
                <c:pt idx="1043">
                  <c:v>150.55708649709538</c:v>
                </c:pt>
                <c:pt idx="1044">
                  <c:v>151.61930675551216</c:v>
                </c:pt>
                <c:pt idx="1045">
                  <c:v>150.77395454284971</c:v>
                </c:pt>
                <c:pt idx="1046">
                  <c:v>148.79774091146209</c:v>
                </c:pt>
                <c:pt idx="1047">
                  <c:v>150.1012032775032</c:v>
                </c:pt>
                <c:pt idx="1048">
                  <c:v>149.85997474874338</c:v>
                </c:pt>
                <c:pt idx="1049">
                  <c:v>149.67188031697404</c:v>
                </c:pt>
                <c:pt idx="1050">
                  <c:v>147.3991178626431</c:v>
                </c:pt>
                <c:pt idx="1051">
                  <c:v>146.5648188457258</c:v>
                </c:pt>
                <c:pt idx="1052">
                  <c:v>148.05638922240072</c:v>
                </c:pt>
                <c:pt idx="1053">
                  <c:v>148.44585821547099</c:v>
                </c:pt>
                <c:pt idx="1054">
                  <c:v>146.37449748016999</c:v>
                </c:pt>
                <c:pt idx="1055">
                  <c:v>146.01378852222021</c:v>
                </c:pt>
                <c:pt idx="1056">
                  <c:v>143.92056581499116</c:v>
                </c:pt>
                <c:pt idx="1057">
                  <c:v>145.43173049321413</c:v>
                </c:pt>
                <c:pt idx="1058">
                  <c:v>144.94354315485356</c:v>
                </c:pt>
                <c:pt idx="1059">
                  <c:v>145.75126833384334</c:v>
                </c:pt>
                <c:pt idx="1060">
                  <c:v>143.14833578793926</c:v>
                </c:pt>
                <c:pt idx="1061">
                  <c:v>140.7073855172718</c:v>
                </c:pt>
                <c:pt idx="1062">
                  <c:v>140.23694575488022</c:v>
                </c:pt>
                <c:pt idx="1063">
                  <c:v>144.31333447214732</c:v>
                </c:pt>
                <c:pt idx="1064">
                  <c:v>145.40066205111998</c:v>
                </c:pt>
                <c:pt idx="1065">
                  <c:v>145.53158946312683</c:v>
                </c:pt>
                <c:pt idx="1066">
                  <c:v>146.21949474131296</c:v>
                </c:pt>
                <c:pt idx="1067">
                  <c:v>146.28383140155873</c:v>
                </c:pt>
                <c:pt idx="1068">
                  <c:v>150.00962741496696</c:v>
                </c:pt>
                <c:pt idx="1069">
                  <c:v>150.87503561057213</c:v>
                </c:pt>
                <c:pt idx="1070">
                  <c:v>150.77519021952398</c:v>
                </c:pt>
                <c:pt idx="1071">
                  <c:v>152.24863281202238</c:v>
                </c:pt>
                <c:pt idx="1072">
                  <c:v>154.10376370820308</c:v>
                </c:pt>
                <c:pt idx="1073">
                  <c:v>155.3197917653961</c:v>
                </c:pt>
                <c:pt idx="1074">
                  <c:v>155.70146649021362</c:v>
                </c:pt>
                <c:pt idx="1075">
                  <c:v>157.58322553977999</c:v>
                </c:pt>
                <c:pt idx="1076">
                  <c:v>157.26810083013024</c:v>
                </c:pt>
                <c:pt idx="1077">
                  <c:v>156.2384834255019</c:v>
                </c:pt>
                <c:pt idx="1078">
                  <c:v>157.82066556533013</c:v>
                </c:pt>
                <c:pt idx="1079">
                  <c:v>157.20820445859292</c:v>
                </c:pt>
                <c:pt idx="1080">
                  <c:v>158.42645944957238</c:v>
                </c:pt>
                <c:pt idx="1081">
                  <c:v>158.69939462706037</c:v>
                </c:pt>
                <c:pt idx="1082">
                  <c:v>157.92716460000867</c:v>
                </c:pt>
                <c:pt idx="1083">
                  <c:v>157.9027633804092</c:v>
                </c:pt>
                <c:pt idx="1084">
                  <c:v>159.47383800903404</c:v>
                </c:pt>
                <c:pt idx="1085">
                  <c:v>159.91543626311812</c:v>
                </c:pt>
                <c:pt idx="1086">
                  <c:v>159.32960330976664</c:v>
                </c:pt>
                <c:pt idx="1087">
                  <c:v>160.60778183001247</c:v>
                </c:pt>
                <c:pt idx="1088">
                  <c:v>162.84013358343771</c:v>
                </c:pt>
                <c:pt idx="1089">
                  <c:v>162.34085231273852</c:v>
                </c:pt>
                <c:pt idx="1090">
                  <c:v>163.68115413830816</c:v>
                </c:pt>
                <c:pt idx="1091">
                  <c:v>164.053948285709</c:v>
                </c:pt>
                <c:pt idx="1092">
                  <c:v>163.80541432782027</c:v>
                </c:pt>
                <c:pt idx="1093">
                  <c:v>164.72187905413961</c:v>
                </c:pt>
                <c:pt idx="1094">
                  <c:v>166.02224543906297</c:v>
                </c:pt>
                <c:pt idx="1095">
                  <c:v>164.02510677740133</c:v>
                </c:pt>
                <c:pt idx="1096">
                  <c:v>163.90971358644137</c:v>
                </c:pt>
                <c:pt idx="1097">
                  <c:v>162.81794571876046</c:v>
                </c:pt>
                <c:pt idx="1098">
                  <c:v>164.48666596237598</c:v>
                </c:pt>
                <c:pt idx="1099">
                  <c:v>164.81285744663563</c:v>
                </c:pt>
                <c:pt idx="1100">
                  <c:v>165.46082728417539</c:v>
                </c:pt>
                <c:pt idx="1101">
                  <c:v>166.55926237435125</c:v>
                </c:pt>
                <c:pt idx="1102">
                  <c:v>166.53040728717906</c:v>
                </c:pt>
                <c:pt idx="1103">
                  <c:v>167.44908536842013</c:v>
                </c:pt>
                <c:pt idx="1104">
                  <c:v>167.86626882404028</c:v>
                </c:pt>
                <c:pt idx="1105">
                  <c:v>168.3233877203067</c:v>
                </c:pt>
                <c:pt idx="1106">
                  <c:v>168.55196074730441</c:v>
                </c:pt>
                <c:pt idx="1107">
                  <c:v>167.369200908263</c:v>
                </c:pt>
                <c:pt idx="1108">
                  <c:v>168.0016365247555</c:v>
                </c:pt>
                <c:pt idx="1109">
                  <c:v>163.66561991726107</c:v>
                </c:pt>
                <c:pt idx="1110">
                  <c:v>164.03618713087545</c:v>
                </c:pt>
                <c:pt idx="1111">
                  <c:v>163.55466701500956</c:v>
                </c:pt>
                <c:pt idx="1112">
                  <c:v>160.97613568870489</c:v>
                </c:pt>
                <c:pt idx="1113">
                  <c:v>163.71222258040231</c:v>
                </c:pt>
                <c:pt idx="1114">
                  <c:v>164.59761886462749</c:v>
                </c:pt>
                <c:pt idx="1115">
                  <c:v>167.50012832026982</c:v>
                </c:pt>
                <c:pt idx="1116">
                  <c:v>166.50156577887137</c:v>
                </c:pt>
                <c:pt idx="1117">
                  <c:v>164.42231572326591</c:v>
                </c:pt>
                <c:pt idx="1118">
                  <c:v>166.13181329713007</c:v>
                </c:pt>
                <c:pt idx="1119">
                  <c:v>165.6089998541629</c:v>
                </c:pt>
                <c:pt idx="1120">
                  <c:v>163.20403357455723</c:v>
                </c:pt>
                <c:pt idx="1121">
                  <c:v>163.12838572013996</c:v>
                </c:pt>
                <c:pt idx="1122">
                  <c:v>163.36420986080839</c:v>
                </c:pt>
                <c:pt idx="1123">
                  <c:v>162.1828622236801</c:v>
                </c:pt>
                <c:pt idx="1124">
                  <c:v>164.85480255923557</c:v>
                </c:pt>
                <c:pt idx="1125">
                  <c:v>166.13849409848947</c:v>
                </c:pt>
                <c:pt idx="1126">
                  <c:v>165.91379104788894</c:v>
                </c:pt>
                <c:pt idx="1127">
                  <c:v>165.6957687986478</c:v>
                </c:pt>
                <c:pt idx="1128">
                  <c:v>167.27861630283897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67-43A5-BE1B-729E92803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Drawdown from Peak (underwater)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Tech Portfolio</c:v>
          </c:tx>
          <c:spPr>
            <a:ln w="200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'Tech Portfolio'!$E$2:$E$1130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-1.6655789590265591E-2</c:v>
                </c:pt>
                <c:pt idx="2">
                  <c:v>-5.6820290954221586E-2</c:v>
                </c:pt>
                <c:pt idx="3">
                  <c:v>-6.5054647007080968E-2</c:v>
                </c:pt>
                <c:pt idx="4">
                  <c:v>-7.9187384204661648E-2</c:v>
                </c:pt>
                <c:pt idx="5">
                  <c:v>-7.0832242032604853E-2</c:v>
                </c:pt>
                <c:pt idx="6">
                  <c:v>-5.9236916865964995E-2</c:v>
                </c:pt>
                <c:pt idx="7">
                  <c:v>-4.3504831321264925E-2</c:v>
                </c:pt>
                <c:pt idx="8">
                  <c:v>-7.1566394452885929E-2</c:v>
                </c:pt>
                <c:pt idx="9">
                  <c:v>-6.0181358634670556E-2</c:v>
                </c:pt>
                <c:pt idx="10">
                  <c:v>-8.5170690802206184E-2</c:v>
                </c:pt>
                <c:pt idx="11">
                  <c:v>-0.10292096967356801</c:v>
                </c:pt>
                <c:pt idx="12">
                  <c:v>-0.11447842411783016</c:v>
                </c:pt>
                <c:pt idx="13">
                  <c:v>-0.14384168625726601</c:v>
                </c:pt>
                <c:pt idx="14">
                  <c:v>-0.14453256086932009</c:v>
                </c:pt>
                <c:pt idx="15">
                  <c:v>-0.16267276772366657</c:v>
                </c:pt>
                <c:pt idx="16">
                  <c:v>-0.15200514999346804</c:v>
                </c:pt>
                <c:pt idx="17">
                  <c:v>-0.1841717118607854</c:v>
                </c:pt>
                <c:pt idx="18">
                  <c:v>-0.15749466984748817</c:v>
                </c:pt>
                <c:pt idx="19">
                  <c:v>-0.11863572127210043</c:v>
                </c:pt>
                <c:pt idx="20">
                  <c:v>-0.11880161396325994</c:v>
                </c:pt>
                <c:pt idx="21">
                  <c:v>-0.11315949530422531</c:v>
                </c:pt>
                <c:pt idx="22">
                  <c:v>-0.14019510232511878</c:v>
                </c:pt>
                <c:pt idx="23">
                  <c:v>-0.11947543742161348</c:v>
                </c:pt>
                <c:pt idx="24">
                  <c:v>-0.12924083277305443</c:v>
                </c:pt>
                <c:pt idx="25">
                  <c:v>-0.11645065046764536</c:v>
                </c:pt>
                <c:pt idx="26">
                  <c:v>-0.10212088495223137</c:v>
                </c:pt>
                <c:pt idx="27">
                  <c:v>-0.1200864747917858</c:v>
                </c:pt>
                <c:pt idx="28">
                  <c:v>-0.14815689366926277</c:v>
                </c:pt>
                <c:pt idx="29">
                  <c:v>-0.14343403475508709</c:v>
                </c:pt>
                <c:pt idx="30">
                  <c:v>-0.11516690496791926</c:v>
                </c:pt>
                <c:pt idx="31">
                  <c:v>-0.11490549090700386</c:v>
                </c:pt>
                <c:pt idx="32">
                  <c:v>-0.14615299104286006</c:v>
                </c:pt>
                <c:pt idx="33">
                  <c:v>-0.15911837912289684</c:v>
                </c:pt>
                <c:pt idx="34">
                  <c:v>-0.17437077823811742</c:v>
                </c:pt>
                <c:pt idx="35">
                  <c:v>-0.2036401060485139</c:v>
                </c:pt>
                <c:pt idx="36">
                  <c:v>-0.17891750232813741</c:v>
                </c:pt>
                <c:pt idx="37">
                  <c:v>-0.17054227661053789</c:v>
                </c:pt>
                <c:pt idx="38">
                  <c:v>-0.15863001207941041</c:v>
                </c:pt>
                <c:pt idx="39">
                  <c:v>-0.16742870543599286</c:v>
                </c:pt>
                <c:pt idx="40">
                  <c:v>-0.15131994384494929</c:v>
                </c:pt>
                <c:pt idx="41">
                  <c:v>-0.16944161840537875</c:v>
                </c:pt>
                <c:pt idx="42">
                  <c:v>-0.18655878537297998</c:v>
                </c:pt>
                <c:pt idx="43">
                  <c:v>-0.21998192148825302</c:v>
                </c:pt>
                <c:pt idx="44">
                  <c:v>-0.21721653501896032</c:v>
                </c:pt>
                <c:pt idx="45">
                  <c:v>-0.18463807741562666</c:v>
                </c:pt>
                <c:pt idx="46">
                  <c:v>-0.19593070844829108</c:v>
                </c:pt>
                <c:pt idx="47">
                  <c:v>-0.21994731754691033</c:v>
                </c:pt>
                <c:pt idx="48">
                  <c:v>-0.24104832398576403</c:v>
                </c:pt>
                <c:pt idx="49">
                  <c:v>-0.21201479580984828</c:v>
                </c:pt>
                <c:pt idx="50">
                  <c:v>-0.17949418950746809</c:v>
                </c:pt>
                <c:pt idx="51">
                  <c:v>-0.1665270143198474</c:v>
                </c:pt>
                <c:pt idx="52">
                  <c:v>-0.14866255065594203</c:v>
                </c:pt>
                <c:pt idx="53">
                  <c:v>-0.14515948536776624</c:v>
                </c:pt>
                <c:pt idx="54">
                  <c:v>-0.11791291281936611</c:v>
                </c:pt>
                <c:pt idx="55">
                  <c:v>-0.12424365225795753</c:v>
                </c:pt>
                <c:pt idx="56">
                  <c:v>-0.10738068462311501</c:v>
                </c:pt>
                <c:pt idx="57">
                  <c:v>-0.10928587683732249</c:v>
                </c:pt>
                <c:pt idx="58">
                  <c:v>-8.2095961935776729E-2</c:v>
                </c:pt>
                <c:pt idx="59">
                  <c:v>-6.5997126536350481E-2</c:v>
                </c:pt>
                <c:pt idx="60">
                  <c:v>-7.7103792186381415E-2</c:v>
                </c:pt>
                <c:pt idx="61">
                  <c:v>-9.4408346712844038E-2</c:v>
                </c:pt>
                <c:pt idx="62">
                  <c:v>-9.4212424336505673E-2</c:v>
                </c:pt>
                <c:pt idx="63">
                  <c:v>-6.6052486975436642E-2</c:v>
                </c:pt>
                <c:pt idx="64">
                  <c:v>-9.3016185504249727E-2</c:v>
                </c:pt>
                <c:pt idx="65">
                  <c:v>-0.12114143385155351</c:v>
                </c:pt>
                <c:pt idx="66">
                  <c:v>-0.11941405737523481</c:v>
                </c:pt>
                <c:pt idx="67">
                  <c:v>-0.13758400994887732</c:v>
                </c:pt>
                <c:pt idx="68">
                  <c:v>-0.16602565349051823</c:v>
                </c:pt>
                <c:pt idx="69">
                  <c:v>-0.1647673736871641</c:v>
                </c:pt>
                <c:pt idx="70">
                  <c:v>-0.1429005937018395</c:v>
                </c:pt>
                <c:pt idx="71">
                  <c:v>-0.16940930027202949</c:v>
                </c:pt>
                <c:pt idx="72">
                  <c:v>-0.16288441089702554</c:v>
                </c:pt>
                <c:pt idx="73">
                  <c:v>-0.14622415295109115</c:v>
                </c:pt>
                <c:pt idx="74">
                  <c:v>-0.16211223785089124</c:v>
                </c:pt>
                <c:pt idx="75">
                  <c:v>-0.1669741291588287</c:v>
                </c:pt>
                <c:pt idx="76">
                  <c:v>-0.18383474820809653</c:v>
                </c:pt>
                <c:pt idx="77">
                  <c:v>-0.17654219198518561</c:v>
                </c:pt>
                <c:pt idx="78">
                  <c:v>-0.22767354305905962</c:v>
                </c:pt>
                <c:pt idx="79">
                  <c:v>-0.22511483065357629</c:v>
                </c:pt>
                <c:pt idx="80">
                  <c:v>-0.20270749228010465</c:v>
                </c:pt>
                <c:pt idx="81">
                  <c:v>-0.23290050829499453</c:v>
                </c:pt>
                <c:pt idx="82">
                  <c:v>-0.21595483383744485</c:v>
                </c:pt>
                <c:pt idx="83">
                  <c:v>-0.21455636172184722</c:v>
                </c:pt>
                <c:pt idx="84">
                  <c:v>-0.18554033030311512</c:v>
                </c:pt>
                <c:pt idx="85">
                  <c:v>-0.23310071216102279</c:v>
                </c:pt>
                <c:pt idx="86">
                  <c:v>-0.23861598226400205</c:v>
                </c:pt>
                <c:pt idx="87">
                  <c:v>-0.27893610573086458</c:v>
                </c:pt>
                <c:pt idx="88">
                  <c:v>-0.26777486377480486</c:v>
                </c:pt>
                <c:pt idx="89">
                  <c:v>-0.30167790633444469</c:v>
                </c:pt>
                <c:pt idx="90">
                  <c:v>-0.30890332076112825</c:v>
                </c:pt>
                <c:pt idx="91">
                  <c:v>-0.2783154070669982</c:v>
                </c:pt>
                <c:pt idx="92">
                  <c:v>-0.29419505043563388</c:v>
                </c:pt>
                <c:pt idx="93">
                  <c:v>-0.27055942380807108</c:v>
                </c:pt>
                <c:pt idx="94">
                  <c:v>-0.30921675954209848</c:v>
                </c:pt>
                <c:pt idx="95">
                  <c:v>-0.31423211387352268</c:v>
                </c:pt>
                <c:pt idx="96">
                  <c:v>-0.3258644211957521</c:v>
                </c:pt>
                <c:pt idx="97">
                  <c:v>-0.31104046674960162</c:v>
                </c:pt>
                <c:pt idx="98">
                  <c:v>-0.33518809705993369</c:v>
                </c:pt>
                <c:pt idx="99">
                  <c:v>-0.32223708592599165</c:v>
                </c:pt>
                <c:pt idx="100">
                  <c:v>-0.30009859929001093</c:v>
                </c:pt>
                <c:pt idx="101">
                  <c:v>-0.26824747012523931</c:v>
                </c:pt>
                <c:pt idx="102">
                  <c:v>-0.2659737805514012</c:v>
                </c:pt>
                <c:pt idx="103">
                  <c:v>-0.27086960754213307</c:v>
                </c:pt>
                <c:pt idx="104">
                  <c:v>-0.25184318043175036</c:v>
                </c:pt>
                <c:pt idx="105">
                  <c:v>-0.28603945648524598</c:v>
                </c:pt>
                <c:pt idx="106">
                  <c:v>-0.28139851263353854</c:v>
                </c:pt>
                <c:pt idx="107">
                  <c:v>-0.27668105552485578</c:v>
                </c:pt>
                <c:pt idx="108">
                  <c:v>-0.27957882964498548</c:v>
                </c:pt>
                <c:pt idx="109">
                  <c:v>-0.29732550760603904</c:v>
                </c:pt>
                <c:pt idx="110">
                  <c:v>-0.32432448830875293</c:v>
                </c:pt>
                <c:pt idx="111">
                  <c:v>-0.35866040707730484</c:v>
                </c:pt>
                <c:pt idx="112">
                  <c:v>-0.35206919084121324</c:v>
                </c:pt>
                <c:pt idx="113">
                  <c:v>-0.33075107033883355</c:v>
                </c:pt>
                <c:pt idx="114">
                  <c:v>-0.36393725658179932</c:v>
                </c:pt>
                <c:pt idx="115">
                  <c:v>-0.35526842833204253</c:v>
                </c:pt>
                <c:pt idx="116">
                  <c:v>-0.32707770971494332</c:v>
                </c:pt>
                <c:pt idx="117">
                  <c:v>-0.33060322942907738</c:v>
                </c:pt>
                <c:pt idx="118">
                  <c:v>-0.32344203529427984</c:v>
                </c:pt>
                <c:pt idx="119">
                  <c:v>-0.29935576185542367</c:v>
                </c:pt>
                <c:pt idx="120">
                  <c:v>-0.3028722527453247</c:v>
                </c:pt>
                <c:pt idx="121">
                  <c:v>-0.3276607214422016</c:v>
                </c:pt>
                <c:pt idx="122">
                  <c:v>-0.32862146132699022</c:v>
                </c:pt>
                <c:pt idx="123">
                  <c:v>-0.34098122821665178</c:v>
                </c:pt>
                <c:pt idx="124">
                  <c:v>-0.33927962648428156</c:v>
                </c:pt>
                <c:pt idx="125">
                  <c:v>-0.32494762913785946</c:v>
                </c:pt>
                <c:pt idx="126">
                  <c:v>-0.32119975827251923</c:v>
                </c:pt>
                <c:pt idx="127">
                  <c:v>-0.29878586081525071</c:v>
                </c:pt>
                <c:pt idx="128">
                  <c:v>-0.29346989471741391</c:v>
                </c:pt>
                <c:pt idx="129">
                  <c:v>-0.31642980370513007</c:v>
                </c:pt>
                <c:pt idx="130">
                  <c:v>-0.32407976237697556</c:v>
                </c:pt>
                <c:pt idx="131">
                  <c:v>-0.3215511609155004</c:v>
                </c:pt>
                <c:pt idx="132">
                  <c:v>-0.31538679820082038</c:v>
                </c:pt>
                <c:pt idx="133">
                  <c:v>-0.30558396335617899</c:v>
                </c:pt>
                <c:pt idx="134">
                  <c:v>-0.31265692169417292</c:v>
                </c:pt>
                <c:pt idx="135">
                  <c:v>-0.29350054792477953</c:v>
                </c:pt>
                <c:pt idx="136">
                  <c:v>-0.28454735542127041</c:v>
                </c:pt>
                <c:pt idx="137">
                  <c:v>-0.26171298223412054</c:v>
                </c:pt>
                <c:pt idx="138">
                  <c:v>-0.27315617356053967</c:v>
                </c:pt>
                <c:pt idx="139">
                  <c:v>-0.27969760130788213</c:v>
                </c:pt>
                <c:pt idx="140">
                  <c:v>-0.29865016208704875</c:v>
                </c:pt>
                <c:pt idx="141">
                  <c:v>-0.26031587303740633</c:v>
                </c:pt>
                <c:pt idx="142">
                  <c:v>-0.24851830167988731</c:v>
                </c:pt>
                <c:pt idx="143">
                  <c:v>-0.22322636309097899</c:v>
                </c:pt>
                <c:pt idx="144">
                  <c:v>-0.2273563575712515</c:v>
                </c:pt>
                <c:pt idx="145">
                  <c:v>-0.2286944599488282</c:v>
                </c:pt>
                <c:pt idx="146">
                  <c:v>-0.20679422802010561</c:v>
                </c:pt>
                <c:pt idx="147">
                  <c:v>-0.20123229539988585</c:v>
                </c:pt>
                <c:pt idx="148">
                  <c:v>-0.21837888598499</c:v>
                </c:pt>
                <c:pt idx="149">
                  <c:v>-0.22216338698210125</c:v>
                </c:pt>
                <c:pt idx="150">
                  <c:v>-0.23174498131068277</c:v>
                </c:pt>
                <c:pt idx="151">
                  <c:v>-0.2067668168054313</c:v>
                </c:pt>
                <c:pt idx="152">
                  <c:v>-0.21444719678895219</c:v>
                </c:pt>
                <c:pt idx="153">
                  <c:v>-0.19232329625988442</c:v>
                </c:pt>
                <c:pt idx="154">
                  <c:v>-0.18323013527260934</c:v>
                </c:pt>
                <c:pt idx="155">
                  <c:v>-0.18724603120617289</c:v>
                </c:pt>
                <c:pt idx="156">
                  <c:v>-0.19344369156047814</c:v>
                </c:pt>
                <c:pt idx="157">
                  <c:v>-0.19394414006141059</c:v>
                </c:pt>
                <c:pt idx="158">
                  <c:v>-0.21143805524023751</c:v>
                </c:pt>
                <c:pt idx="159">
                  <c:v>-0.23237720582106858</c:v>
                </c:pt>
                <c:pt idx="160">
                  <c:v>-0.22831758295555482</c:v>
                </c:pt>
                <c:pt idx="161">
                  <c:v>-0.2278939610127978</c:v>
                </c:pt>
                <c:pt idx="162">
                  <c:v>-0.21685625976231293</c:v>
                </c:pt>
                <c:pt idx="163">
                  <c:v>-0.24718289727152376</c:v>
                </c:pt>
                <c:pt idx="164">
                  <c:v>-0.25634222172216303</c:v>
                </c:pt>
                <c:pt idx="165">
                  <c:v>-0.26622165416282062</c:v>
                </c:pt>
                <c:pt idx="166">
                  <c:v>-0.27098729482499306</c:v>
                </c:pt>
                <c:pt idx="167">
                  <c:v>-0.27026296709612885</c:v>
                </c:pt>
                <c:pt idx="168">
                  <c:v>-0.28238404907609094</c:v>
                </c:pt>
                <c:pt idx="169">
                  <c:v>-0.28485356759327796</c:v>
                </c:pt>
                <c:pt idx="170">
                  <c:v>-0.2709485117742193</c:v>
                </c:pt>
                <c:pt idx="171">
                  <c:v>-0.26763179352117061</c:v>
                </c:pt>
                <c:pt idx="172">
                  <c:v>-0.24825626805705059</c:v>
                </c:pt>
                <c:pt idx="173">
                  <c:v>-0.23521108879158181</c:v>
                </c:pt>
                <c:pt idx="174">
                  <c:v>-0.27613406111457217</c:v>
                </c:pt>
                <c:pt idx="175">
                  <c:v>-0.2654306278943882</c:v>
                </c:pt>
                <c:pt idx="176">
                  <c:v>-0.27435936794341698</c:v>
                </c:pt>
                <c:pt idx="177">
                  <c:v>-0.27885776341679847</c:v>
                </c:pt>
                <c:pt idx="178">
                  <c:v>-0.27096799614588774</c:v>
                </c:pt>
                <c:pt idx="179">
                  <c:v>-0.27381539463087667</c:v>
                </c:pt>
                <c:pt idx="180">
                  <c:v>-0.2881373676590433</c:v>
                </c:pt>
                <c:pt idx="181">
                  <c:v>-0.29871418641901082</c:v>
                </c:pt>
                <c:pt idx="182">
                  <c:v>-0.31561824022045804</c:v>
                </c:pt>
                <c:pt idx="183">
                  <c:v>-0.31668205619949552</c:v>
                </c:pt>
                <c:pt idx="184">
                  <c:v>-0.31066913339808444</c:v>
                </c:pt>
                <c:pt idx="185">
                  <c:v>-0.30296188754345299</c:v>
                </c:pt>
                <c:pt idx="186">
                  <c:v>-0.33177331259827769</c:v>
                </c:pt>
                <c:pt idx="187">
                  <c:v>-0.3423948788659148</c:v>
                </c:pt>
                <c:pt idx="188">
                  <c:v>-0.34494380632933652</c:v>
                </c:pt>
                <c:pt idx="189">
                  <c:v>-0.32232137392235027</c:v>
                </c:pt>
                <c:pt idx="190">
                  <c:v>-0.32625150423957816</c:v>
                </c:pt>
                <c:pt idx="191">
                  <c:v>-0.33045419515857666</c:v>
                </c:pt>
                <c:pt idx="192">
                  <c:v>-0.36321346348910977</c:v>
                </c:pt>
                <c:pt idx="193">
                  <c:v>-0.37024141088827733</c:v>
                </c:pt>
                <c:pt idx="194">
                  <c:v>-0.38128436726766224</c:v>
                </c:pt>
                <c:pt idx="195">
                  <c:v>-0.38047676977133549</c:v>
                </c:pt>
                <c:pt idx="196">
                  <c:v>-0.36387321186179233</c:v>
                </c:pt>
                <c:pt idx="197">
                  <c:v>-0.39187137667714167</c:v>
                </c:pt>
                <c:pt idx="198">
                  <c:v>-0.36578566236710375</c:v>
                </c:pt>
                <c:pt idx="199">
                  <c:v>-0.36297240828569832</c:v>
                </c:pt>
                <c:pt idx="200">
                  <c:v>-0.3640920484952026</c:v>
                </c:pt>
                <c:pt idx="201">
                  <c:v>-0.3745592030351601</c:v>
                </c:pt>
                <c:pt idx="202">
                  <c:v>-0.35788381965248761</c:v>
                </c:pt>
                <c:pt idx="203">
                  <c:v>-0.35574598384400891</c:v>
                </c:pt>
                <c:pt idx="204">
                  <c:v>-0.34103023271902133</c:v>
                </c:pt>
                <c:pt idx="205">
                  <c:v>-0.36157954596300013</c:v>
                </c:pt>
                <c:pt idx="206">
                  <c:v>-0.37328890733879561</c:v>
                </c:pt>
                <c:pt idx="207">
                  <c:v>-0.35399991475625903</c:v>
                </c:pt>
                <c:pt idx="208">
                  <c:v>-0.3608487386490522</c:v>
                </c:pt>
                <c:pt idx="209">
                  <c:v>-0.36940232456804567</c:v>
                </c:pt>
                <c:pt idx="210">
                  <c:v>-0.39480379258117537</c:v>
                </c:pt>
                <c:pt idx="211">
                  <c:v>-0.40570054994856442</c:v>
                </c:pt>
                <c:pt idx="212">
                  <c:v>-0.40077665829894504</c:v>
                </c:pt>
                <c:pt idx="213">
                  <c:v>-0.40253179317342991</c:v>
                </c:pt>
                <c:pt idx="214">
                  <c:v>-0.40566372679039975</c:v>
                </c:pt>
                <c:pt idx="215">
                  <c:v>-0.42778695495397556</c:v>
                </c:pt>
                <c:pt idx="216">
                  <c:v>-0.37857177263699415</c:v>
                </c:pt>
                <c:pt idx="217">
                  <c:v>-0.36100155394871525</c:v>
                </c:pt>
                <c:pt idx="218">
                  <c:v>-0.37293542306163541</c:v>
                </c:pt>
                <c:pt idx="219">
                  <c:v>-0.35909019545062371</c:v>
                </c:pt>
                <c:pt idx="220">
                  <c:v>-0.37073895944632973</c:v>
                </c:pt>
                <c:pt idx="221">
                  <c:v>-0.37137335374352642</c:v>
                </c:pt>
                <c:pt idx="222">
                  <c:v>-0.37403354522853594</c:v>
                </c:pt>
                <c:pt idx="223">
                  <c:v>-0.39000817694419487</c:v>
                </c:pt>
                <c:pt idx="224">
                  <c:v>-0.37991374903669251</c:v>
                </c:pt>
                <c:pt idx="225">
                  <c:v>-0.36664478353625052</c:v>
                </c:pt>
                <c:pt idx="226">
                  <c:v>-0.37153245208163876</c:v>
                </c:pt>
                <c:pt idx="227">
                  <c:v>-0.38288711719160307</c:v>
                </c:pt>
                <c:pt idx="228">
                  <c:v>-0.38957106544871822</c:v>
                </c:pt>
                <c:pt idx="229">
                  <c:v>-0.35395421605089739</c:v>
                </c:pt>
                <c:pt idx="230">
                  <c:v>-0.35548784771154873</c:v>
                </c:pt>
                <c:pt idx="231">
                  <c:v>-0.35804235988617206</c:v>
                </c:pt>
                <c:pt idx="232">
                  <c:v>-0.37342620469516341</c:v>
                </c:pt>
                <c:pt idx="233">
                  <c:v>-0.3869536161090249</c:v>
                </c:pt>
                <c:pt idx="234">
                  <c:v>-0.39441059855053939</c:v>
                </c:pt>
                <c:pt idx="235">
                  <c:v>-0.38804068736820874</c:v>
                </c:pt>
                <c:pt idx="236">
                  <c:v>-0.3875126481204525</c:v>
                </c:pt>
                <c:pt idx="237">
                  <c:v>-0.3871752875609088</c:v>
                </c:pt>
                <c:pt idx="238">
                  <c:v>-0.38614344942552969</c:v>
                </c:pt>
                <c:pt idx="239">
                  <c:v>-0.39301538001508229</c:v>
                </c:pt>
                <c:pt idx="240">
                  <c:v>-0.41128984992715978</c:v>
                </c:pt>
                <c:pt idx="241">
                  <c:v>-0.4228215162799025</c:v>
                </c:pt>
                <c:pt idx="242">
                  <c:v>-0.43099648151430781</c:v>
                </c:pt>
                <c:pt idx="243">
                  <c:v>-0.43943926324282601</c:v>
                </c:pt>
                <c:pt idx="244">
                  <c:v>-0.43220452311848745</c:v>
                </c:pt>
                <c:pt idx="245">
                  <c:v>-0.4533340338059727</c:v>
                </c:pt>
                <c:pt idx="246">
                  <c:v>-0.45341017861135258</c:v>
                </c:pt>
                <c:pt idx="247">
                  <c:v>-0.46956190250927643</c:v>
                </c:pt>
                <c:pt idx="248">
                  <c:v>-0.47505296496100469</c:v>
                </c:pt>
                <c:pt idx="249">
                  <c:v>-0.45509440576813831</c:v>
                </c:pt>
                <c:pt idx="250">
                  <c:v>-0.45620506071635492</c:v>
                </c:pt>
                <c:pt idx="251">
                  <c:v>-0.4703172552706637</c:v>
                </c:pt>
                <c:pt idx="252">
                  <c:v>-0.46761170170306898</c:v>
                </c:pt>
                <c:pt idx="253">
                  <c:v>-0.47795211285408579</c:v>
                </c:pt>
                <c:pt idx="254">
                  <c:v>-0.46459816924392616</c:v>
                </c:pt>
                <c:pt idx="255">
                  <c:v>-0.45470000253568577</c:v>
                </c:pt>
                <c:pt idx="256">
                  <c:v>-0.45069299872377278</c:v>
                </c:pt>
                <c:pt idx="257">
                  <c:v>-0.43591739885601666</c:v>
                </c:pt>
                <c:pt idx="258">
                  <c:v>-0.42979119977686453</c:v>
                </c:pt>
                <c:pt idx="259">
                  <c:v>-0.42681955375180847</c:v>
                </c:pt>
                <c:pt idx="260">
                  <c:v>-0.41761294428847584</c:v>
                </c:pt>
                <c:pt idx="261">
                  <c:v>-0.42355794834775951</c:v>
                </c:pt>
                <c:pt idx="262">
                  <c:v>-0.42847001742411739</c:v>
                </c:pt>
                <c:pt idx="263">
                  <c:v>-0.40773954069573803</c:v>
                </c:pt>
                <c:pt idx="264">
                  <c:v>-0.38814136089989715</c:v>
                </c:pt>
                <c:pt idx="265">
                  <c:v>-0.38991545768403468</c:v>
                </c:pt>
                <c:pt idx="266">
                  <c:v>-0.39346878727981782</c:v>
                </c:pt>
                <c:pt idx="267">
                  <c:v>-0.37210615703252281</c:v>
                </c:pt>
                <c:pt idx="268">
                  <c:v>-0.35375760429458192</c:v>
                </c:pt>
                <c:pt idx="269">
                  <c:v>-0.37219616893616669</c:v>
                </c:pt>
                <c:pt idx="270">
                  <c:v>-0.36179876615569562</c:v>
                </c:pt>
                <c:pt idx="271">
                  <c:v>-0.3458179391141869</c:v>
                </c:pt>
                <c:pt idx="272">
                  <c:v>-0.31869959212167709</c:v>
                </c:pt>
                <c:pt idx="273">
                  <c:v>-0.32690578186877073</c:v>
                </c:pt>
                <c:pt idx="274">
                  <c:v>-0.33254418579646272</c:v>
                </c:pt>
                <c:pt idx="275">
                  <c:v>-0.31526651708912445</c:v>
                </c:pt>
                <c:pt idx="276">
                  <c:v>-0.32193302241936506</c:v>
                </c:pt>
                <c:pt idx="277">
                  <c:v>-0.32221955308636585</c:v>
                </c:pt>
                <c:pt idx="278">
                  <c:v>-0.33216244970108388</c:v>
                </c:pt>
                <c:pt idx="279">
                  <c:v>-0.32420619510489601</c:v>
                </c:pt>
                <c:pt idx="280">
                  <c:v>-0.31031782110788186</c:v>
                </c:pt>
                <c:pt idx="281">
                  <c:v>-0.30812362995300091</c:v>
                </c:pt>
                <c:pt idx="282">
                  <c:v>-0.32807574153628105</c:v>
                </c:pt>
                <c:pt idx="283">
                  <c:v>-0.32996788510760189</c:v>
                </c:pt>
                <c:pt idx="284">
                  <c:v>-0.35099193708629384</c:v>
                </c:pt>
                <c:pt idx="285">
                  <c:v>-0.34928660228800656</c:v>
                </c:pt>
                <c:pt idx="286">
                  <c:v>-0.34035231786384001</c:v>
                </c:pt>
                <c:pt idx="287">
                  <c:v>-0.35455974923531552</c:v>
                </c:pt>
                <c:pt idx="288">
                  <c:v>-0.34543681319342623</c:v>
                </c:pt>
                <c:pt idx="289">
                  <c:v>-0.34737591586205541</c:v>
                </c:pt>
                <c:pt idx="290">
                  <c:v>-0.35402106361388253</c:v>
                </c:pt>
                <c:pt idx="291">
                  <c:v>-0.3576563810237231</c:v>
                </c:pt>
                <c:pt idx="292">
                  <c:v>-0.34196055950602233</c:v>
                </c:pt>
                <c:pt idx="293">
                  <c:v>-0.34158164429484217</c:v>
                </c:pt>
                <c:pt idx="294">
                  <c:v>-0.35215740316976307</c:v>
                </c:pt>
                <c:pt idx="295">
                  <c:v>-0.35148147314221101</c:v>
                </c:pt>
                <c:pt idx="296">
                  <c:v>-0.36564396573974378</c:v>
                </c:pt>
                <c:pt idx="297">
                  <c:v>-0.3736291229581844</c:v>
                </c:pt>
                <c:pt idx="298">
                  <c:v>-0.36713683362893679</c:v>
                </c:pt>
                <c:pt idx="299">
                  <c:v>-0.3498985640140555</c:v>
                </c:pt>
                <c:pt idx="300">
                  <c:v>-0.34886816917633134</c:v>
                </c:pt>
                <c:pt idx="301">
                  <c:v>-0.32816786851636737</c:v>
                </c:pt>
                <c:pt idx="302">
                  <c:v>-0.32939571615397867</c:v>
                </c:pt>
                <c:pt idx="303">
                  <c:v>-0.32944988528579255</c:v>
                </c:pt>
                <c:pt idx="304">
                  <c:v>-0.31010162509313899</c:v>
                </c:pt>
                <c:pt idx="305">
                  <c:v>-0.31895138273145895</c:v>
                </c:pt>
                <c:pt idx="306">
                  <c:v>-0.30917262954287805</c:v>
                </c:pt>
                <c:pt idx="307">
                  <c:v>-0.30957683003822445</c:v>
                </c:pt>
                <c:pt idx="308">
                  <c:v>-0.31736891744666651</c:v>
                </c:pt>
                <c:pt idx="309">
                  <c:v>-0.32178362263080018</c:v>
                </c:pt>
                <c:pt idx="310">
                  <c:v>-0.30582892778409254</c:v>
                </c:pt>
                <c:pt idx="311">
                  <c:v>-0.30050922686021908</c:v>
                </c:pt>
                <c:pt idx="312">
                  <c:v>-0.28572468382735872</c:v>
                </c:pt>
                <c:pt idx="313">
                  <c:v>-0.29444688739521907</c:v>
                </c:pt>
                <c:pt idx="314">
                  <c:v>-0.29793285811342085</c:v>
                </c:pt>
                <c:pt idx="315">
                  <c:v>-0.30986340148131686</c:v>
                </c:pt>
                <c:pt idx="316">
                  <c:v>-0.30098254752565112</c:v>
                </c:pt>
                <c:pt idx="317">
                  <c:v>-0.30382961173469025</c:v>
                </c:pt>
                <c:pt idx="318">
                  <c:v>-0.30890247619731792</c:v>
                </c:pt>
                <c:pt idx="319">
                  <c:v>-0.31815868992359964</c:v>
                </c:pt>
                <c:pt idx="320">
                  <c:v>-0.3012555226354674</c:v>
                </c:pt>
                <c:pt idx="321">
                  <c:v>-0.30355950825917222</c:v>
                </c:pt>
                <c:pt idx="322">
                  <c:v>-0.3013528501807633</c:v>
                </c:pt>
                <c:pt idx="323">
                  <c:v>-0.30314887834213655</c:v>
                </c:pt>
                <c:pt idx="324">
                  <c:v>-0.30520335564381418</c:v>
                </c:pt>
                <c:pt idx="325">
                  <c:v>-0.31790239751588789</c:v>
                </c:pt>
                <c:pt idx="326">
                  <c:v>-0.3200941696804307</c:v>
                </c:pt>
                <c:pt idx="327">
                  <c:v>-0.32593113234950666</c:v>
                </c:pt>
                <c:pt idx="328">
                  <c:v>-0.33899408705768352</c:v>
                </c:pt>
                <c:pt idx="329">
                  <c:v>-0.32885838993118932</c:v>
                </c:pt>
                <c:pt idx="330">
                  <c:v>-0.30831079515015114</c:v>
                </c:pt>
                <c:pt idx="331">
                  <c:v>-0.30255664813781258</c:v>
                </c:pt>
                <c:pt idx="332">
                  <c:v>-0.30764286867746204</c:v>
                </c:pt>
                <c:pt idx="333">
                  <c:v>-0.31209013137114061</c:v>
                </c:pt>
                <c:pt idx="334">
                  <c:v>-0.31464419412869038</c:v>
                </c:pt>
                <c:pt idx="335">
                  <c:v>-0.31502778216270722</c:v>
                </c:pt>
                <c:pt idx="336">
                  <c:v>-0.29450210849154268</c:v>
                </c:pt>
                <c:pt idx="337">
                  <c:v>-0.29263861672550295</c:v>
                </c:pt>
                <c:pt idx="338">
                  <c:v>-0.29743711411746798</c:v>
                </c:pt>
                <c:pt idx="339">
                  <c:v>-0.28956169240386076</c:v>
                </c:pt>
                <c:pt idx="340">
                  <c:v>-0.28449306190770696</c:v>
                </c:pt>
                <c:pt idx="341">
                  <c:v>-0.29097558081587616</c:v>
                </c:pt>
                <c:pt idx="342">
                  <c:v>-0.28794520724391026</c:v>
                </c:pt>
                <c:pt idx="343">
                  <c:v>-0.28438919141304075</c:v>
                </c:pt>
                <c:pt idx="344">
                  <c:v>-0.2696639617533908</c:v>
                </c:pt>
                <c:pt idx="345">
                  <c:v>-0.25603164430813052</c:v>
                </c:pt>
                <c:pt idx="346">
                  <c:v>-0.25489873221397008</c:v>
                </c:pt>
                <c:pt idx="347">
                  <c:v>-0.24895705477976982</c:v>
                </c:pt>
                <c:pt idx="348">
                  <c:v>-0.26004078666473929</c:v>
                </c:pt>
                <c:pt idx="349">
                  <c:v>-0.26284137258233631</c:v>
                </c:pt>
                <c:pt idx="350">
                  <c:v>-0.23656766479243951</c:v>
                </c:pt>
                <c:pt idx="351">
                  <c:v>-0.21571575862133452</c:v>
                </c:pt>
                <c:pt idx="352">
                  <c:v>-0.21061653109495071</c:v>
                </c:pt>
                <c:pt idx="353">
                  <c:v>-0.21796887592322756</c:v>
                </c:pt>
                <c:pt idx="354">
                  <c:v>-0.20656638148374284</c:v>
                </c:pt>
                <c:pt idx="355">
                  <c:v>-0.19825200777679486</c:v>
                </c:pt>
                <c:pt idx="356">
                  <c:v>-0.1975254798990661</c:v>
                </c:pt>
                <c:pt idx="357">
                  <c:v>-0.19435825530759998</c:v>
                </c:pt>
                <c:pt idx="358">
                  <c:v>-0.20507535761265083</c:v>
                </c:pt>
                <c:pt idx="359">
                  <c:v>-0.19354168560420359</c:v>
                </c:pt>
                <c:pt idx="360">
                  <c:v>-0.18353023733786722</c:v>
                </c:pt>
                <c:pt idx="361">
                  <c:v>-0.16680338029909336</c:v>
                </c:pt>
                <c:pt idx="362">
                  <c:v>-0.15796252211625639</c:v>
                </c:pt>
                <c:pt idx="363">
                  <c:v>-0.15387388984793304</c:v>
                </c:pt>
                <c:pt idx="364">
                  <c:v>-0.1469265454891282</c:v>
                </c:pt>
                <c:pt idx="365">
                  <c:v>-0.15086231904151814</c:v>
                </c:pt>
                <c:pt idx="366">
                  <c:v>-0.14394133363952533</c:v>
                </c:pt>
                <c:pt idx="367">
                  <c:v>-0.1632150970849745</c:v>
                </c:pt>
                <c:pt idx="368">
                  <c:v>-0.14826164921047913</c:v>
                </c:pt>
                <c:pt idx="369">
                  <c:v>-0.15988103960539923</c:v>
                </c:pt>
                <c:pt idx="370">
                  <c:v>-0.18123615502423263</c:v>
                </c:pt>
                <c:pt idx="371">
                  <c:v>-0.16417401055285163</c:v>
                </c:pt>
                <c:pt idx="372">
                  <c:v>-0.15828353850326771</c:v>
                </c:pt>
                <c:pt idx="373">
                  <c:v>-0.16106107976830264</c:v>
                </c:pt>
                <c:pt idx="374">
                  <c:v>-0.14873088463949802</c:v>
                </c:pt>
                <c:pt idx="375">
                  <c:v>-0.13589332462179249</c:v>
                </c:pt>
                <c:pt idx="376">
                  <c:v>-0.13679210068736791</c:v>
                </c:pt>
                <c:pt idx="377">
                  <c:v>-0.14272916778296052</c:v>
                </c:pt>
                <c:pt idx="378">
                  <c:v>-0.14617643318898343</c:v>
                </c:pt>
                <c:pt idx="379">
                  <c:v>-0.15646547042398107</c:v>
                </c:pt>
                <c:pt idx="380">
                  <c:v>-0.15248405111647934</c:v>
                </c:pt>
                <c:pt idx="381">
                  <c:v>-0.14115336953593649</c:v>
                </c:pt>
                <c:pt idx="382">
                  <c:v>-0.12444829983798533</c:v>
                </c:pt>
                <c:pt idx="383">
                  <c:v>-0.12080631597708413</c:v>
                </c:pt>
                <c:pt idx="384">
                  <c:v>-0.11093717333931319</c:v>
                </c:pt>
                <c:pt idx="385">
                  <c:v>-0.1022149155011145</c:v>
                </c:pt>
                <c:pt idx="386">
                  <c:v>-0.10454245415844465</c:v>
                </c:pt>
                <c:pt idx="387">
                  <c:v>-0.14085571344950953</c:v>
                </c:pt>
                <c:pt idx="388">
                  <c:v>-0.14624032785883812</c:v>
                </c:pt>
                <c:pt idx="389">
                  <c:v>-0.13727399841313315</c:v>
                </c:pt>
                <c:pt idx="390">
                  <c:v>-0.13268274419015214</c:v>
                </c:pt>
                <c:pt idx="391">
                  <c:v>-0.13678120261665849</c:v>
                </c:pt>
                <c:pt idx="392">
                  <c:v>-0.14613424900141858</c:v>
                </c:pt>
                <c:pt idx="393">
                  <c:v>-0.12564031761130756</c:v>
                </c:pt>
                <c:pt idx="394">
                  <c:v>-0.1262372760822178</c:v>
                </c:pt>
                <c:pt idx="395">
                  <c:v>-0.13384304696426697</c:v>
                </c:pt>
                <c:pt idx="396">
                  <c:v>-0.1560392458517933</c:v>
                </c:pt>
                <c:pt idx="397">
                  <c:v>-0.15474867725040797</c:v>
                </c:pt>
                <c:pt idx="398">
                  <c:v>-0.16026397522193958</c:v>
                </c:pt>
                <c:pt idx="399">
                  <c:v>-0.15987069245196572</c:v>
                </c:pt>
                <c:pt idx="400">
                  <c:v>-0.16721267369903203</c:v>
                </c:pt>
                <c:pt idx="401">
                  <c:v>-0.18104414656604795</c:v>
                </c:pt>
                <c:pt idx="402">
                  <c:v>-0.17861536409844336</c:v>
                </c:pt>
                <c:pt idx="403">
                  <c:v>-0.18583308387116515</c:v>
                </c:pt>
                <c:pt idx="404">
                  <c:v>-0.17715642485156802</c:v>
                </c:pt>
                <c:pt idx="405">
                  <c:v>-0.19024349465806767</c:v>
                </c:pt>
                <c:pt idx="406">
                  <c:v>-0.19959847541370823</c:v>
                </c:pt>
                <c:pt idx="407">
                  <c:v>-0.20909979833769898</c:v>
                </c:pt>
                <c:pt idx="408">
                  <c:v>-0.21337156161021387</c:v>
                </c:pt>
                <c:pt idx="409">
                  <c:v>-0.19240527996699808</c:v>
                </c:pt>
                <c:pt idx="410">
                  <c:v>-0.19089034898499035</c:v>
                </c:pt>
                <c:pt idx="411">
                  <c:v>-0.17578235092011396</c:v>
                </c:pt>
                <c:pt idx="412">
                  <c:v>-0.19454257732571156</c:v>
                </c:pt>
                <c:pt idx="413">
                  <c:v>-0.18426079354148994</c:v>
                </c:pt>
                <c:pt idx="414">
                  <c:v>-0.17934404812205906</c:v>
                </c:pt>
                <c:pt idx="415">
                  <c:v>-0.15371939304783133</c:v>
                </c:pt>
                <c:pt idx="416">
                  <c:v>-0.14866232741416963</c:v>
                </c:pt>
                <c:pt idx="417">
                  <c:v>-0.14674875351284666</c:v>
                </c:pt>
                <c:pt idx="418">
                  <c:v>-0.15443789243567529</c:v>
                </c:pt>
                <c:pt idx="419">
                  <c:v>-0.14290686999316715</c:v>
                </c:pt>
                <c:pt idx="420">
                  <c:v>-0.1572404760884405</c:v>
                </c:pt>
                <c:pt idx="421">
                  <c:v>-0.16543759183491036</c:v>
                </c:pt>
                <c:pt idx="422">
                  <c:v>-0.16420055960252444</c:v>
                </c:pt>
                <c:pt idx="423">
                  <c:v>-0.1413247810805085</c:v>
                </c:pt>
                <c:pt idx="424">
                  <c:v>-0.15315877458239424</c:v>
                </c:pt>
                <c:pt idx="425">
                  <c:v>-0.14625544434830329</c:v>
                </c:pt>
                <c:pt idx="426">
                  <c:v>-0.1381371977782152</c:v>
                </c:pt>
                <c:pt idx="427">
                  <c:v>-0.15156161494336551</c:v>
                </c:pt>
                <c:pt idx="428">
                  <c:v>-0.15562536675491456</c:v>
                </c:pt>
                <c:pt idx="429">
                  <c:v>-0.15611289979530585</c:v>
                </c:pt>
                <c:pt idx="430">
                  <c:v>-0.17283611808121035</c:v>
                </c:pt>
                <c:pt idx="431">
                  <c:v>-0.18835769074236131</c:v>
                </c:pt>
                <c:pt idx="432">
                  <c:v>-0.19565876095467183</c:v>
                </c:pt>
                <c:pt idx="433">
                  <c:v>-0.19050118254686521</c:v>
                </c:pt>
                <c:pt idx="434">
                  <c:v>-0.20569219662870175</c:v>
                </c:pt>
                <c:pt idx="435">
                  <c:v>-0.20657106105370016</c:v>
                </c:pt>
                <c:pt idx="436">
                  <c:v>-0.20123723722758913</c:v>
                </c:pt>
                <c:pt idx="437">
                  <c:v>-0.19448659908482457</c:v>
                </c:pt>
                <c:pt idx="438">
                  <c:v>-0.18327234820878524</c:v>
                </c:pt>
                <c:pt idx="439">
                  <c:v>-0.19931365411569835</c:v>
                </c:pt>
                <c:pt idx="440">
                  <c:v>-0.18035006413695098</c:v>
                </c:pt>
                <c:pt idx="441">
                  <c:v>-0.1788853211907232</c:v>
                </c:pt>
                <c:pt idx="442">
                  <c:v>-0.16564507056649769</c:v>
                </c:pt>
                <c:pt idx="443">
                  <c:v>-0.16373120037846267</c:v>
                </c:pt>
                <c:pt idx="444">
                  <c:v>-0.16035208502355125</c:v>
                </c:pt>
                <c:pt idx="445">
                  <c:v>-0.15245568210366511</c:v>
                </c:pt>
                <c:pt idx="446">
                  <c:v>-0.15620950334494765</c:v>
                </c:pt>
                <c:pt idx="447">
                  <c:v>-0.17061518044996371</c:v>
                </c:pt>
                <c:pt idx="448">
                  <c:v>-0.16238854867973973</c:v>
                </c:pt>
                <c:pt idx="449">
                  <c:v>-0.16523157928252519</c:v>
                </c:pt>
                <c:pt idx="450">
                  <c:v>-0.18137546434339802</c:v>
                </c:pt>
                <c:pt idx="451">
                  <c:v>-0.19525338323300712</c:v>
                </c:pt>
                <c:pt idx="452">
                  <c:v>-0.21050645383366007</c:v>
                </c:pt>
                <c:pt idx="453">
                  <c:v>-0.20671938628955955</c:v>
                </c:pt>
                <c:pt idx="454">
                  <c:v>-0.19849143677684133</c:v>
                </c:pt>
                <c:pt idx="455">
                  <c:v>-0.21372566119567471</c:v>
                </c:pt>
                <c:pt idx="456">
                  <c:v>-0.23486974361576685</c:v>
                </c:pt>
                <c:pt idx="457">
                  <c:v>-0.22834423526554759</c:v>
                </c:pt>
                <c:pt idx="458">
                  <c:v>-0.22426360919226729</c:v>
                </c:pt>
                <c:pt idx="459">
                  <c:v>-0.22049052168740546</c:v>
                </c:pt>
                <c:pt idx="460">
                  <c:v>-0.20250746002568776</c:v>
                </c:pt>
                <c:pt idx="461">
                  <c:v>-0.18371294767359547</c:v>
                </c:pt>
                <c:pt idx="462">
                  <c:v>-0.17596506946973234</c:v>
                </c:pt>
                <c:pt idx="463">
                  <c:v>-0.16938862972677005</c:v>
                </c:pt>
                <c:pt idx="464">
                  <c:v>-0.1607130302988673</c:v>
                </c:pt>
                <c:pt idx="465">
                  <c:v>-0.15989722448715449</c:v>
                </c:pt>
                <c:pt idx="466">
                  <c:v>-0.17154815328266737</c:v>
                </c:pt>
                <c:pt idx="467">
                  <c:v>-0.14916213963205094</c:v>
                </c:pt>
                <c:pt idx="468">
                  <c:v>-0.14773426238020015</c:v>
                </c:pt>
                <c:pt idx="469">
                  <c:v>-0.12686896287622096</c:v>
                </c:pt>
                <c:pt idx="470">
                  <c:v>-0.12407282595298252</c:v>
                </c:pt>
                <c:pt idx="471">
                  <c:v>-0.12446294168200334</c:v>
                </c:pt>
                <c:pt idx="472">
                  <c:v>-0.12613668058247474</c:v>
                </c:pt>
                <c:pt idx="473">
                  <c:v>-0.11626522573492393</c:v>
                </c:pt>
                <c:pt idx="474">
                  <c:v>-0.11937937100164731</c:v>
                </c:pt>
                <c:pt idx="475">
                  <c:v>-0.11882756075885237</c:v>
                </c:pt>
                <c:pt idx="476">
                  <c:v>-0.12183599503304465</c:v>
                </c:pt>
                <c:pt idx="477">
                  <c:v>-0.12017919375859221</c:v>
                </c:pt>
                <c:pt idx="478">
                  <c:v>-0.10992701635090785</c:v>
                </c:pt>
                <c:pt idx="479">
                  <c:v>-0.11481246333264905</c:v>
                </c:pt>
                <c:pt idx="480">
                  <c:v>-0.12130172320358501</c:v>
                </c:pt>
                <c:pt idx="481">
                  <c:v>-0.1220382379970405</c:v>
                </c:pt>
                <c:pt idx="482">
                  <c:v>-0.13450722496999601</c:v>
                </c:pt>
                <c:pt idx="483">
                  <c:v>-0.12340138100222919</c:v>
                </c:pt>
                <c:pt idx="484">
                  <c:v>-0.12710821879788992</c:v>
                </c:pt>
                <c:pt idx="485">
                  <c:v>-0.1144043826547646</c:v>
                </c:pt>
                <c:pt idx="486">
                  <c:v>-0.10839794515882295</c:v>
                </c:pt>
                <c:pt idx="487">
                  <c:v>-0.11541091379784296</c:v>
                </c:pt>
                <c:pt idx="488">
                  <c:v>-0.11227526984982727</c:v>
                </c:pt>
                <c:pt idx="489">
                  <c:v>-0.10489251544400102</c:v>
                </c:pt>
                <c:pt idx="490">
                  <c:v>-9.9432965137756013E-2</c:v>
                </c:pt>
                <c:pt idx="491">
                  <c:v>-9.5102697266750691E-2</c:v>
                </c:pt>
                <c:pt idx="492">
                  <c:v>-9.1243356299212097E-2</c:v>
                </c:pt>
                <c:pt idx="493">
                  <c:v>-8.3731277143122118E-2</c:v>
                </c:pt>
                <c:pt idx="494">
                  <c:v>-0.10117494092188151</c:v>
                </c:pt>
                <c:pt idx="495">
                  <c:v>-8.5351515463681915E-2</c:v>
                </c:pt>
                <c:pt idx="496">
                  <c:v>-8.5630899167111085E-2</c:v>
                </c:pt>
                <c:pt idx="497">
                  <c:v>-8.1512060908348727E-2</c:v>
                </c:pt>
                <c:pt idx="498">
                  <c:v>-7.8660252004945419E-2</c:v>
                </c:pt>
                <c:pt idx="499">
                  <c:v>-8.3689938399427732E-2</c:v>
                </c:pt>
                <c:pt idx="500">
                  <c:v>-8.9842009909138265E-2</c:v>
                </c:pt>
                <c:pt idx="501">
                  <c:v>-0.10637700281949303</c:v>
                </c:pt>
                <c:pt idx="502">
                  <c:v>-0.11731783620911784</c:v>
                </c:pt>
                <c:pt idx="503">
                  <c:v>-0.12458145871433879</c:v>
                </c:pt>
                <c:pt idx="504">
                  <c:v>-0.12413222703879623</c:v>
                </c:pt>
                <c:pt idx="505">
                  <c:v>-0.10431462669003699</c:v>
                </c:pt>
                <c:pt idx="506">
                  <c:v>-0.10652550406726147</c:v>
                </c:pt>
                <c:pt idx="507">
                  <c:v>-0.10087981295317683</c:v>
                </c:pt>
                <c:pt idx="508">
                  <c:v>-0.10359986520843711</c:v>
                </c:pt>
                <c:pt idx="509">
                  <c:v>-0.10822980391552195</c:v>
                </c:pt>
                <c:pt idx="510">
                  <c:v>-0.10640643142400064</c:v>
                </c:pt>
                <c:pt idx="511">
                  <c:v>-0.11234768877644441</c:v>
                </c:pt>
                <c:pt idx="512">
                  <c:v>-9.4877811544051172E-2</c:v>
                </c:pt>
                <c:pt idx="513">
                  <c:v>-8.2217616380391934E-2</c:v>
                </c:pt>
                <c:pt idx="514">
                  <c:v>-8.3640176312466452E-2</c:v>
                </c:pt>
                <c:pt idx="515">
                  <c:v>-7.9677201879634119E-2</c:v>
                </c:pt>
                <c:pt idx="516">
                  <c:v>-7.4454308385864421E-2</c:v>
                </c:pt>
                <c:pt idx="517">
                  <c:v>-8.7928360322694243E-2</c:v>
                </c:pt>
                <c:pt idx="518">
                  <c:v>-8.9328292163725731E-2</c:v>
                </c:pt>
                <c:pt idx="519">
                  <c:v>-7.7322771536114665E-2</c:v>
                </c:pt>
                <c:pt idx="520">
                  <c:v>-8.5712829777299104E-2</c:v>
                </c:pt>
                <c:pt idx="521">
                  <c:v>-0.11054732925533972</c:v>
                </c:pt>
                <c:pt idx="522">
                  <c:v>-9.939901654742056E-2</c:v>
                </c:pt>
                <c:pt idx="523">
                  <c:v>-8.517514683704086E-2</c:v>
                </c:pt>
                <c:pt idx="524">
                  <c:v>-8.6819859613569195E-2</c:v>
                </c:pt>
                <c:pt idx="525">
                  <c:v>-8.4503363356715266E-2</c:v>
                </c:pt>
                <c:pt idx="526">
                  <c:v>-6.9471827798715746E-2</c:v>
                </c:pt>
                <c:pt idx="527">
                  <c:v>-6.2274337661420764E-2</c:v>
                </c:pt>
                <c:pt idx="528">
                  <c:v>-4.8906866802657989E-2</c:v>
                </c:pt>
                <c:pt idx="529">
                  <c:v>-6.060556464361333E-2</c:v>
                </c:pt>
                <c:pt idx="530">
                  <c:v>-7.8984456554338611E-2</c:v>
                </c:pt>
                <c:pt idx="531">
                  <c:v>-6.7828547172420373E-2</c:v>
                </c:pt>
                <c:pt idx="532">
                  <c:v>-6.5198325528537437E-2</c:v>
                </c:pt>
                <c:pt idx="533">
                  <c:v>-7.2343213333363576E-2</c:v>
                </c:pt>
                <c:pt idx="534">
                  <c:v>-8.1572317412041184E-2</c:v>
                </c:pt>
                <c:pt idx="535">
                  <c:v>-8.0738899261990182E-2</c:v>
                </c:pt>
                <c:pt idx="536">
                  <c:v>-5.3013654699413548E-2</c:v>
                </c:pt>
                <c:pt idx="537">
                  <c:v>-5.7867961067476714E-2</c:v>
                </c:pt>
                <c:pt idx="538">
                  <c:v>-5.4593023054663181E-2</c:v>
                </c:pt>
                <c:pt idx="539">
                  <c:v>-5.2615864851151106E-2</c:v>
                </c:pt>
                <c:pt idx="540">
                  <c:v>-5.6728078608359378E-2</c:v>
                </c:pt>
                <c:pt idx="541">
                  <c:v>-4.8161513864536265E-2</c:v>
                </c:pt>
                <c:pt idx="542">
                  <c:v>-3.7721006060863371E-2</c:v>
                </c:pt>
                <c:pt idx="543">
                  <c:v>-4.8310530240493921E-2</c:v>
                </c:pt>
                <c:pt idx="544">
                  <c:v>-7.1147108563510808E-2</c:v>
                </c:pt>
                <c:pt idx="545">
                  <c:v>-6.7517430868592965E-2</c:v>
                </c:pt>
                <c:pt idx="546">
                  <c:v>-4.745463595634869E-2</c:v>
                </c:pt>
                <c:pt idx="547">
                  <c:v>-5.636543951177253E-2</c:v>
                </c:pt>
                <c:pt idx="548">
                  <c:v>-6.3659013963578204E-2</c:v>
                </c:pt>
                <c:pt idx="549">
                  <c:v>-4.4533138657746663E-2</c:v>
                </c:pt>
                <c:pt idx="550">
                  <c:v>-5.4590419251819178E-2</c:v>
                </c:pt>
                <c:pt idx="551">
                  <c:v>-5.3712228952432883E-2</c:v>
                </c:pt>
                <c:pt idx="552">
                  <c:v>-6.2671496800341009E-2</c:v>
                </c:pt>
                <c:pt idx="553">
                  <c:v>-4.9498550783356743E-2</c:v>
                </c:pt>
                <c:pt idx="554">
                  <c:v>-4.8068026899099503E-2</c:v>
                </c:pt>
                <c:pt idx="555">
                  <c:v>-3.314712773355466E-2</c:v>
                </c:pt>
                <c:pt idx="556">
                  <c:v>-2.7899254042929922E-2</c:v>
                </c:pt>
                <c:pt idx="557">
                  <c:v>-2.4467600306544823E-2</c:v>
                </c:pt>
                <c:pt idx="558">
                  <c:v>-2.2593505289744131E-2</c:v>
                </c:pt>
                <c:pt idx="559">
                  <c:v>-2.2960151004089657E-2</c:v>
                </c:pt>
                <c:pt idx="560">
                  <c:v>-1.9865210396777466E-2</c:v>
                </c:pt>
                <c:pt idx="561">
                  <c:v>-2.5534556338040915E-2</c:v>
                </c:pt>
                <c:pt idx="562">
                  <c:v>-1.4713017953390972E-2</c:v>
                </c:pt>
                <c:pt idx="563">
                  <c:v>-2.7212043705472144E-2</c:v>
                </c:pt>
                <c:pt idx="564">
                  <c:v>-2.0559158470118133E-2</c:v>
                </c:pt>
                <c:pt idx="565">
                  <c:v>-3.2038212809735844E-2</c:v>
                </c:pt>
                <c:pt idx="566">
                  <c:v>-2.4993317370511692E-2</c:v>
                </c:pt>
                <c:pt idx="567">
                  <c:v>-1.9370650960972235E-2</c:v>
                </c:pt>
                <c:pt idx="568">
                  <c:v>-1.3115198269702866E-2</c:v>
                </c:pt>
                <c:pt idx="569">
                  <c:v>-1.8573488330679844E-2</c:v>
                </c:pt>
                <c:pt idx="570">
                  <c:v>0</c:v>
                </c:pt>
                <c:pt idx="571">
                  <c:v>-1.6934079820249304E-2</c:v>
                </c:pt>
                <c:pt idx="572">
                  <c:v>-3.9980224289108635E-2</c:v>
                </c:pt>
                <c:pt idx="573">
                  <c:v>-4.4629530121830019E-2</c:v>
                </c:pt>
                <c:pt idx="574">
                  <c:v>-5.5859588070632515E-2</c:v>
                </c:pt>
                <c:pt idx="575">
                  <c:v>-7.3489532683195358E-2</c:v>
                </c:pt>
                <c:pt idx="576">
                  <c:v>-9.7481567129977242E-2</c:v>
                </c:pt>
                <c:pt idx="577">
                  <c:v>-9.0362673767644952E-2</c:v>
                </c:pt>
                <c:pt idx="578">
                  <c:v>-7.3690810621500735E-2</c:v>
                </c:pt>
                <c:pt idx="579">
                  <c:v>-6.2994555724937285E-2</c:v>
                </c:pt>
                <c:pt idx="580">
                  <c:v>-6.0831202836376108E-2</c:v>
                </c:pt>
                <c:pt idx="581">
                  <c:v>-3.884265289530231E-2</c:v>
                </c:pt>
                <c:pt idx="582">
                  <c:v>-2.2947908722397381E-2</c:v>
                </c:pt>
                <c:pt idx="583">
                  <c:v>-4.9456423062709809E-2</c:v>
                </c:pt>
                <c:pt idx="584">
                  <c:v>-5.3195200372267881E-2</c:v>
                </c:pt>
                <c:pt idx="585">
                  <c:v>-3.7983999141064539E-2</c:v>
                </c:pt>
                <c:pt idx="586">
                  <c:v>-1.2921591171604851E-2</c:v>
                </c:pt>
                <c:pt idx="587">
                  <c:v>0</c:v>
                </c:pt>
                <c:pt idx="588">
                  <c:v>-7.9133779149294092E-3</c:v>
                </c:pt>
                <c:pt idx="589">
                  <c:v>-8.5287517149931213E-3</c:v>
                </c:pt>
                <c:pt idx="590">
                  <c:v>-1.021871024393961E-2</c:v>
                </c:pt>
                <c:pt idx="591">
                  <c:v>-7.0177955929905389E-3</c:v>
                </c:pt>
                <c:pt idx="592">
                  <c:v>-2.5449429451254169E-3</c:v>
                </c:pt>
                <c:pt idx="593">
                  <c:v>0</c:v>
                </c:pt>
                <c:pt idx="594">
                  <c:v>0</c:v>
                </c:pt>
                <c:pt idx="595">
                  <c:v>-4.3144355256004019E-3</c:v>
                </c:pt>
                <c:pt idx="596">
                  <c:v>-2.2979512079613906E-3</c:v>
                </c:pt>
                <c:pt idx="597">
                  <c:v>0</c:v>
                </c:pt>
                <c:pt idx="598">
                  <c:v>0</c:v>
                </c:pt>
                <c:pt idx="599">
                  <c:v>-6.0672866977459217E-3</c:v>
                </c:pt>
                <c:pt idx="600">
                  <c:v>-1.1455807188712419E-2</c:v>
                </c:pt>
                <c:pt idx="601">
                  <c:v>0</c:v>
                </c:pt>
                <c:pt idx="602">
                  <c:v>0</c:v>
                </c:pt>
                <c:pt idx="603">
                  <c:v>-4.2506892905137539E-3</c:v>
                </c:pt>
                <c:pt idx="604">
                  <c:v>-1.9437921897293209E-2</c:v>
                </c:pt>
                <c:pt idx="605">
                  <c:v>-2.382031949598884E-2</c:v>
                </c:pt>
                <c:pt idx="606">
                  <c:v>-1.4017999279120841E-2</c:v>
                </c:pt>
                <c:pt idx="607">
                  <c:v>-1.4874960903889067E-2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-3.6094007601068512E-3</c:v>
                </c:pt>
                <c:pt idx="616">
                  <c:v>0</c:v>
                </c:pt>
                <c:pt idx="617">
                  <c:v>0</c:v>
                </c:pt>
                <c:pt idx="618">
                  <c:v>-1.5521714691048571E-2</c:v>
                </c:pt>
                <c:pt idx="619">
                  <c:v>-1.7213157903619436E-2</c:v>
                </c:pt>
                <c:pt idx="620">
                  <c:v>-3.104753838832941E-2</c:v>
                </c:pt>
                <c:pt idx="621">
                  <c:v>-1.2379981845489385E-2</c:v>
                </c:pt>
                <c:pt idx="622">
                  <c:v>0</c:v>
                </c:pt>
                <c:pt idx="623">
                  <c:v>-2.9335829257960411E-3</c:v>
                </c:pt>
                <c:pt idx="624">
                  <c:v>-1.0902275928500793E-2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-3.8417147972512833E-2</c:v>
                </c:pt>
                <c:pt idx="633">
                  <c:v>-2.8315794284862639E-2</c:v>
                </c:pt>
                <c:pt idx="634">
                  <c:v>-2.4434797793762786E-2</c:v>
                </c:pt>
                <c:pt idx="635">
                  <c:v>-2.6835112672852546E-2</c:v>
                </c:pt>
                <c:pt idx="636">
                  <c:v>-6.111670521095669E-2</c:v>
                </c:pt>
                <c:pt idx="637">
                  <c:v>-6.8666323491953007E-2</c:v>
                </c:pt>
                <c:pt idx="638">
                  <c:v>-8.2968802870311165E-2</c:v>
                </c:pt>
                <c:pt idx="639">
                  <c:v>-6.568608941264531E-2</c:v>
                </c:pt>
                <c:pt idx="640">
                  <c:v>-6.6679759212678213E-2</c:v>
                </c:pt>
                <c:pt idx="641">
                  <c:v>-0.11729730891869694</c:v>
                </c:pt>
                <c:pt idx="642">
                  <c:v>-0.12598826637062077</c:v>
                </c:pt>
                <c:pt idx="643">
                  <c:v>-0.11912073513978039</c:v>
                </c:pt>
                <c:pt idx="644">
                  <c:v>-0.11298825612167207</c:v>
                </c:pt>
                <c:pt idx="645">
                  <c:v>-0.13177989380742416</c:v>
                </c:pt>
                <c:pt idx="646">
                  <c:v>-0.10444168377423235</c:v>
                </c:pt>
                <c:pt idx="647">
                  <c:v>-0.13193900623406751</c:v>
                </c:pt>
                <c:pt idx="648">
                  <c:v>-0.16127989627769768</c:v>
                </c:pt>
                <c:pt idx="649">
                  <c:v>-0.19422574314445828</c:v>
                </c:pt>
                <c:pt idx="650">
                  <c:v>-0.18528959945322643</c:v>
                </c:pt>
                <c:pt idx="651">
                  <c:v>-0.19300673890155029</c:v>
                </c:pt>
                <c:pt idx="652">
                  <c:v>-0.168739148185306</c:v>
                </c:pt>
                <c:pt idx="653">
                  <c:v>-0.16093856837400933</c:v>
                </c:pt>
                <c:pt idx="654">
                  <c:v>-0.15710780738810859</c:v>
                </c:pt>
                <c:pt idx="655">
                  <c:v>-0.1342573974361092</c:v>
                </c:pt>
                <c:pt idx="656">
                  <c:v>-0.13647920366382837</c:v>
                </c:pt>
                <c:pt idx="657">
                  <c:v>-0.11189531602093394</c:v>
                </c:pt>
                <c:pt idx="658">
                  <c:v>-0.10816453746128285</c:v>
                </c:pt>
                <c:pt idx="659">
                  <c:v>-9.6535503762202657E-2</c:v>
                </c:pt>
                <c:pt idx="660">
                  <c:v>-9.9638800681057238E-2</c:v>
                </c:pt>
                <c:pt idx="661">
                  <c:v>-9.8062451840623011E-2</c:v>
                </c:pt>
                <c:pt idx="662">
                  <c:v>-0.12153991804451725</c:v>
                </c:pt>
                <c:pt idx="663">
                  <c:v>-0.10553484552994297</c:v>
                </c:pt>
                <c:pt idx="664">
                  <c:v>-0.11654450921693127</c:v>
                </c:pt>
                <c:pt idx="665">
                  <c:v>-0.11749536093596469</c:v>
                </c:pt>
                <c:pt idx="666">
                  <c:v>-0.12883866440041392</c:v>
                </c:pt>
                <c:pt idx="667">
                  <c:v>-0.12963683168694284</c:v>
                </c:pt>
                <c:pt idx="668">
                  <c:v>-0.11777965088489517</c:v>
                </c:pt>
                <c:pt idx="669">
                  <c:v>-0.15044888083754959</c:v>
                </c:pt>
                <c:pt idx="670">
                  <c:v>-0.14945926402223153</c:v>
                </c:pt>
                <c:pt idx="671">
                  <c:v>-0.13746880633095826</c:v>
                </c:pt>
                <c:pt idx="672">
                  <c:v>-0.16728514345638901</c:v>
                </c:pt>
                <c:pt idx="673">
                  <c:v>-0.15469773874711068</c:v>
                </c:pt>
                <c:pt idx="674">
                  <c:v>-0.14302685470320009</c:v>
                </c:pt>
                <c:pt idx="675">
                  <c:v>-0.11942418079421346</c:v>
                </c:pt>
                <c:pt idx="676">
                  <c:v>-0.11214386104045049</c:v>
                </c:pt>
                <c:pt idx="677">
                  <c:v>-0.106239361233461</c:v>
                </c:pt>
                <c:pt idx="678">
                  <c:v>-0.11826629107109299</c:v>
                </c:pt>
                <c:pt idx="679">
                  <c:v>-0.11487415697517023</c:v>
                </c:pt>
                <c:pt idx="680">
                  <c:v>-0.11623692946149766</c:v>
                </c:pt>
                <c:pt idx="681">
                  <c:v>-8.5270497322202154E-2</c:v>
                </c:pt>
                <c:pt idx="682">
                  <c:v>-9.1167321264727819E-2</c:v>
                </c:pt>
                <c:pt idx="683">
                  <c:v>-8.4769543884192888E-2</c:v>
                </c:pt>
                <c:pt idx="684">
                  <c:v>-7.5706290027975132E-2</c:v>
                </c:pt>
                <c:pt idx="685">
                  <c:v>-7.1976709348377632E-2</c:v>
                </c:pt>
                <c:pt idx="686">
                  <c:v>-6.2770434273152431E-2</c:v>
                </c:pt>
                <c:pt idx="687">
                  <c:v>-6.8613615826423779E-2</c:v>
                </c:pt>
                <c:pt idx="688">
                  <c:v>-6.7970023170527472E-2</c:v>
                </c:pt>
                <c:pt idx="689">
                  <c:v>-8.6173647005186038E-2</c:v>
                </c:pt>
                <c:pt idx="690">
                  <c:v>-8.9426212983575337E-2</c:v>
                </c:pt>
                <c:pt idx="691">
                  <c:v>-9.0532919272793499E-2</c:v>
                </c:pt>
                <c:pt idx="692">
                  <c:v>-7.9429305947598672E-2</c:v>
                </c:pt>
                <c:pt idx="693">
                  <c:v>-9.0625992666457433E-2</c:v>
                </c:pt>
                <c:pt idx="694">
                  <c:v>-7.544640947895187E-2</c:v>
                </c:pt>
                <c:pt idx="695">
                  <c:v>-7.3220275791640588E-2</c:v>
                </c:pt>
                <c:pt idx="696">
                  <c:v>-7.2760282305731505E-2</c:v>
                </c:pt>
                <c:pt idx="697">
                  <c:v>-7.9278455120467828E-2</c:v>
                </c:pt>
                <c:pt idx="698">
                  <c:v>-6.9750293640487571E-2</c:v>
                </c:pt>
                <c:pt idx="699">
                  <c:v>-7.7118246337407159E-2</c:v>
                </c:pt>
                <c:pt idx="700">
                  <c:v>-7.4041652711599903E-2</c:v>
                </c:pt>
                <c:pt idx="701">
                  <c:v>-6.0700721083611131E-2</c:v>
                </c:pt>
                <c:pt idx="702">
                  <c:v>-5.98983244316037E-2</c:v>
                </c:pt>
                <c:pt idx="703">
                  <c:v>-5.580387043118884E-2</c:v>
                </c:pt>
                <c:pt idx="704">
                  <c:v>-5.4365891828236368E-2</c:v>
                </c:pt>
                <c:pt idx="705">
                  <c:v>-6.777775870601821E-2</c:v>
                </c:pt>
                <c:pt idx="706">
                  <c:v>-4.1232664112457962E-2</c:v>
                </c:pt>
                <c:pt idx="707">
                  <c:v>-2.7739451746976118E-2</c:v>
                </c:pt>
                <c:pt idx="708">
                  <c:v>-3.631529386905652E-2</c:v>
                </c:pt>
                <c:pt idx="709">
                  <c:v>-3.0004608027623725E-2</c:v>
                </c:pt>
                <c:pt idx="710">
                  <c:v>-3.5341197617726694E-2</c:v>
                </c:pt>
                <c:pt idx="711">
                  <c:v>-7.2797562785320902E-2</c:v>
                </c:pt>
                <c:pt idx="712">
                  <c:v>-6.5428942293852876E-2</c:v>
                </c:pt>
                <c:pt idx="713">
                  <c:v>-7.1311245477787888E-2</c:v>
                </c:pt>
                <c:pt idx="714">
                  <c:v>-5.4748787112962827E-2</c:v>
                </c:pt>
                <c:pt idx="715">
                  <c:v>-1.4879266169398497E-2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-9.672018986859432E-3</c:v>
                </c:pt>
                <c:pt idx="720">
                  <c:v>-1.3921861510074574E-2</c:v>
                </c:pt>
                <c:pt idx="721">
                  <c:v>-2.2150231253861064E-2</c:v>
                </c:pt>
                <c:pt idx="722">
                  <c:v>-3.5240782846320595E-2</c:v>
                </c:pt>
                <c:pt idx="723">
                  <c:v>-1.9042666491582594E-2</c:v>
                </c:pt>
                <c:pt idx="724">
                  <c:v>-5.7955409429694127E-3</c:v>
                </c:pt>
                <c:pt idx="725">
                  <c:v>-1.0467682378881737E-2</c:v>
                </c:pt>
                <c:pt idx="726">
                  <c:v>-1.4611977839772194E-2</c:v>
                </c:pt>
                <c:pt idx="727">
                  <c:v>-8.4535310309895584E-3</c:v>
                </c:pt>
                <c:pt idx="728">
                  <c:v>-1.5035355720620536E-2</c:v>
                </c:pt>
                <c:pt idx="729">
                  <c:v>-9.2503075123789857E-3</c:v>
                </c:pt>
                <c:pt idx="730">
                  <c:v>-1.8580085179021211E-2</c:v>
                </c:pt>
                <c:pt idx="731">
                  <c:v>-5.5033157908617181E-3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-1.5465516839767712E-3</c:v>
                </c:pt>
                <c:pt idx="738">
                  <c:v>-3.4813640411303082E-3</c:v>
                </c:pt>
                <c:pt idx="739">
                  <c:v>0</c:v>
                </c:pt>
                <c:pt idx="740">
                  <c:v>-6.8596426577969272E-3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-4.5500273714187744E-2</c:v>
                </c:pt>
                <c:pt idx="745">
                  <c:v>-5.2387642321192973E-2</c:v>
                </c:pt>
                <c:pt idx="746">
                  <c:v>-4.9128884539628159E-2</c:v>
                </c:pt>
                <c:pt idx="747">
                  <c:v>-3.5719098759724788E-2</c:v>
                </c:pt>
                <c:pt idx="748">
                  <c:v>-1.3734045113177551E-2</c:v>
                </c:pt>
                <c:pt idx="749">
                  <c:v>-1.9615672986839083E-2</c:v>
                </c:pt>
                <c:pt idx="750">
                  <c:v>-4.2015963470561912E-2</c:v>
                </c:pt>
                <c:pt idx="751">
                  <c:v>-5.7272158124334061E-2</c:v>
                </c:pt>
                <c:pt idx="752">
                  <c:v>-7.244267956579753E-2</c:v>
                </c:pt>
                <c:pt idx="753">
                  <c:v>-8.1656724956164606E-2</c:v>
                </c:pt>
                <c:pt idx="754">
                  <c:v>-5.2708573199242381E-2</c:v>
                </c:pt>
                <c:pt idx="755">
                  <c:v>-3.2059781199131221E-2</c:v>
                </c:pt>
                <c:pt idx="756">
                  <c:v>-5.7122795840182206E-2</c:v>
                </c:pt>
                <c:pt idx="757">
                  <c:v>-5.9525409593819578E-2</c:v>
                </c:pt>
                <c:pt idx="758">
                  <c:v>-6.9643948601960215E-2</c:v>
                </c:pt>
                <c:pt idx="759">
                  <c:v>-7.6092070570229819E-2</c:v>
                </c:pt>
                <c:pt idx="760">
                  <c:v>-7.9420413894378927E-2</c:v>
                </c:pt>
                <c:pt idx="761">
                  <c:v>-4.1418633586584153E-2</c:v>
                </c:pt>
                <c:pt idx="762">
                  <c:v>-5.3685339627746909E-2</c:v>
                </c:pt>
                <c:pt idx="763">
                  <c:v>-3.8319651457433768E-2</c:v>
                </c:pt>
                <c:pt idx="764">
                  <c:v>-3.3140859372409071E-2</c:v>
                </c:pt>
                <c:pt idx="765">
                  <c:v>-2.1697272548946267E-2</c:v>
                </c:pt>
                <c:pt idx="766">
                  <c:v>-2.3719648478404909E-2</c:v>
                </c:pt>
                <c:pt idx="767">
                  <c:v>-3.1644461048475958E-2</c:v>
                </c:pt>
                <c:pt idx="768">
                  <c:v>-7.6712844214179121E-2</c:v>
                </c:pt>
                <c:pt idx="769">
                  <c:v>-5.1687929971276025E-2</c:v>
                </c:pt>
                <c:pt idx="770">
                  <c:v>-5.8728686047057388E-2</c:v>
                </c:pt>
                <c:pt idx="771">
                  <c:v>-5.7842931428003896E-2</c:v>
                </c:pt>
                <c:pt idx="772">
                  <c:v>-5.7804960900869284E-2</c:v>
                </c:pt>
                <c:pt idx="773">
                  <c:v>-8.3790341534857538E-2</c:v>
                </c:pt>
                <c:pt idx="774">
                  <c:v>-6.8181515223707745E-2</c:v>
                </c:pt>
                <c:pt idx="775">
                  <c:v>-7.3710910854619116E-2</c:v>
                </c:pt>
                <c:pt idx="776">
                  <c:v>-7.0368982532355351E-2</c:v>
                </c:pt>
                <c:pt idx="777">
                  <c:v>-8.8630336084260519E-2</c:v>
                </c:pt>
                <c:pt idx="778">
                  <c:v>-8.6004824464754215E-2</c:v>
                </c:pt>
                <c:pt idx="779">
                  <c:v>-9.7673327463990378E-2</c:v>
                </c:pt>
                <c:pt idx="780">
                  <c:v>-9.5056186398877363E-2</c:v>
                </c:pt>
                <c:pt idx="781">
                  <c:v>-7.2633473153719375E-2</c:v>
                </c:pt>
                <c:pt idx="782">
                  <c:v>-6.6481181018705038E-2</c:v>
                </c:pt>
                <c:pt idx="783">
                  <c:v>-6.9501846842594528E-2</c:v>
                </c:pt>
                <c:pt idx="784">
                  <c:v>-6.6613678040648105E-2</c:v>
                </c:pt>
                <c:pt idx="785">
                  <c:v>-7.2747744943405857E-2</c:v>
                </c:pt>
                <c:pt idx="786">
                  <c:v>-9.7915225704206965E-2</c:v>
                </c:pt>
                <c:pt idx="787">
                  <c:v>-0.11252939115812066</c:v>
                </c:pt>
                <c:pt idx="788">
                  <c:v>-0.13755037251466506</c:v>
                </c:pt>
                <c:pt idx="789">
                  <c:v>-0.13738365243861184</c:v>
                </c:pt>
                <c:pt idx="790">
                  <c:v>-0.16637689884204998</c:v>
                </c:pt>
                <c:pt idx="791">
                  <c:v>-0.15034155080111233</c:v>
                </c:pt>
                <c:pt idx="792">
                  <c:v>-0.17818653242684679</c:v>
                </c:pt>
                <c:pt idx="793">
                  <c:v>-0.17968416738420534</c:v>
                </c:pt>
                <c:pt idx="794">
                  <c:v>-0.16275315205363261</c:v>
                </c:pt>
                <c:pt idx="795">
                  <c:v>-0.18845838784226743</c:v>
                </c:pt>
                <c:pt idx="796">
                  <c:v>-0.18479504999784113</c:v>
                </c:pt>
                <c:pt idx="797">
                  <c:v>-0.23853581922767741</c:v>
                </c:pt>
                <c:pt idx="798">
                  <c:v>-0.23601673812910418</c:v>
                </c:pt>
                <c:pt idx="799">
                  <c:v>-0.21464275945721778</c:v>
                </c:pt>
                <c:pt idx="800">
                  <c:v>-0.23413366887342135</c:v>
                </c:pt>
                <c:pt idx="801">
                  <c:v>-0.21076447446671631</c:v>
                </c:pt>
                <c:pt idx="802">
                  <c:v>-0.21383393666941142</c:v>
                </c:pt>
                <c:pt idx="803">
                  <c:v>-0.2311117892864728</c:v>
                </c:pt>
                <c:pt idx="804">
                  <c:v>-0.21656066028213838</c:v>
                </c:pt>
                <c:pt idx="805">
                  <c:v>-0.21427795177970699</c:v>
                </c:pt>
                <c:pt idx="806">
                  <c:v>-0.20669849809024488</c:v>
                </c:pt>
                <c:pt idx="807">
                  <c:v>-0.1774877275404283</c:v>
                </c:pt>
                <c:pt idx="808">
                  <c:v>-0.1700102185127349</c:v>
                </c:pt>
                <c:pt idx="809">
                  <c:v>-0.19670223958430089</c:v>
                </c:pt>
                <c:pt idx="810">
                  <c:v>-0.20076947383096877</c:v>
                </c:pt>
                <c:pt idx="811">
                  <c:v>-0.22551838848257233</c:v>
                </c:pt>
                <c:pt idx="812">
                  <c:v>-0.22817528151306521</c:v>
                </c:pt>
                <c:pt idx="813">
                  <c:v>-0.21489547619791582</c:v>
                </c:pt>
                <c:pt idx="814">
                  <c:v>-0.2047998181753532</c:v>
                </c:pt>
                <c:pt idx="815">
                  <c:v>-0.25935989462275755</c:v>
                </c:pt>
                <c:pt idx="816">
                  <c:v>-0.30962299091624668</c:v>
                </c:pt>
                <c:pt idx="817">
                  <c:v>-0.3123004019333081</c:v>
                </c:pt>
                <c:pt idx="818">
                  <c:v>-0.33299789066276675</c:v>
                </c:pt>
                <c:pt idx="819">
                  <c:v>-0.23295093191796556</c:v>
                </c:pt>
                <c:pt idx="820">
                  <c:v>-0.26995582804211304</c:v>
                </c:pt>
                <c:pt idx="821">
                  <c:v>-0.25151442262367729</c:v>
                </c:pt>
                <c:pt idx="822">
                  <c:v>-0.24895236157075584</c:v>
                </c:pt>
                <c:pt idx="823">
                  <c:v>-0.24945367593565848</c:v>
                </c:pt>
                <c:pt idx="824">
                  <c:v>-0.28038812316739503</c:v>
                </c:pt>
                <c:pt idx="825">
                  <c:v>-0.28307371360792422</c:v>
                </c:pt>
                <c:pt idx="826">
                  <c:v>-0.30558942675088074</c:v>
                </c:pt>
                <c:pt idx="827">
                  <c:v>-0.28326181829410302</c:v>
                </c:pt>
                <c:pt idx="828">
                  <c:v>-0.25783824006225309</c:v>
                </c:pt>
                <c:pt idx="829">
                  <c:v>-0.23176296418281295</c:v>
                </c:pt>
                <c:pt idx="830">
                  <c:v>-0.21010506133739404</c:v>
                </c:pt>
                <c:pt idx="831">
                  <c:v>-0.21349005456108394</c:v>
                </c:pt>
                <c:pt idx="832">
                  <c:v>-0.20844883671951986</c:v>
                </c:pt>
                <c:pt idx="833">
                  <c:v>-0.21228751513483379</c:v>
                </c:pt>
                <c:pt idx="834">
                  <c:v>-0.19382829451715333</c:v>
                </c:pt>
                <c:pt idx="835">
                  <c:v>-0.18226109009181002</c:v>
                </c:pt>
                <c:pt idx="836">
                  <c:v>-0.19308375543073564</c:v>
                </c:pt>
                <c:pt idx="837">
                  <c:v>-0.1996547835691066</c:v>
                </c:pt>
                <c:pt idx="838">
                  <c:v>-0.19868886259544527</c:v>
                </c:pt>
                <c:pt idx="839">
                  <c:v>-0.18440915910897138</c:v>
                </c:pt>
                <c:pt idx="840">
                  <c:v>-0.17611885846796416</c:v>
                </c:pt>
                <c:pt idx="841">
                  <c:v>-0.13222292957726844</c:v>
                </c:pt>
                <c:pt idx="842">
                  <c:v>-0.10791290789050767</c:v>
                </c:pt>
                <c:pt idx="843">
                  <c:v>-9.6668562805248714E-2</c:v>
                </c:pt>
                <c:pt idx="844">
                  <c:v>-0.10243594584358451</c:v>
                </c:pt>
                <c:pt idx="845">
                  <c:v>-9.5337526220916957E-2</c:v>
                </c:pt>
                <c:pt idx="846">
                  <c:v>-9.635693036505999E-2</c:v>
                </c:pt>
                <c:pt idx="847">
                  <c:v>-9.9027891121774902E-2</c:v>
                </c:pt>
                <c:pt idx="848">
                  <c:v>-0.11235408162558869</c:v>
                </c:pt>
                <c:pt idx="849">
                  <c:v>-0.10378823798382653</c:v>
                </c:pt>
                <c:pt idx="850">
                  <c:v>-0.11732556445038256</c:v>
                </c:pt>
                <c:pt idx="851">
                  <c:v>-8.5800523474606982E-2</c:v>
                </c:pt>
                <c:pt idx="852">
                  <c:v>-9.2687335841609708E-2</c:v>
                </c:pt>
                <c:pt idx="853">
                  <c:v>-8.9388904507353373E-2</c:v>
                </c:pt>
                <c:pt idx="854">
                  <c:v>-9.7640614670915338E-2</c:v>
                </c:pt>
                <c:pt idx="855">
                  <c:v>-9.347230728682876E-2</c:v>
                </c:pt>
                <c:pt idx="856">
                  <c:v>-8.4045288136356699E-2</c:v>
                </c:pt>
                <c:pt idx="857">
                  <c:v>-8.4600078320552607E-2</c:v>
                </c:pt>
                <c:pt idx="858">
                  <c:v>-0.10589812165576251</c:v>
                </c:pt>
                <c:pt idx="859">
                  <c:v>-8.8765108707739571E-2</c:v>
                </c:pt>
                <c:pt idx="860">
                  <c:v>-7.9493452045611757E-2</c:v>
                </c:pt>
                <c:pt idx="861">
                  <c:v>-6.5434653435867518E-2</c:v>
                </c:pt>
                <c:pt idx="862">
                  <c:v>-6.5730800187068006E-2</c:v>
                </c:pt>
                <c:pt idx="863">
                  <c:v>-6.5374781264949999E-2</c:v>
                </c:pt>
                <c:pt idx="864">
                  <c:v>-7.2010802086091674E-2</c:v>
                </c:pt>
                <c:pt idx="865">
                  <c:v>-5.5577637076591913E-2</c:v>
                </c:pt>
                <c:pt idx="866">
                  <c:v>-6.7367550687276068E-2</c:v>
                </c:pt>
                <c:pt idx="867">
                  <c:v>-6.0768383829269301E-2</c:v>
                </c:pt>
                <c:pt idx="868">
                  <c:v>-6.4804991387068966E-2</c:v>
                </c:pt>
                <c:pt idx="869">
                  <c:v>-5.0836558498901008E-2</c:v>
                </c:pt>
                <c:pt idx="870">
                  <c:v>-3.6819913243091085E-2</c:v>
                </c:pt>
                <c:pt idx="871">
                  <c:v>-3.4788216822203011E-2</c:v>
                </c:pt>
                <c:pt idx="872">
                  <c:v>-2.8981155330381814E-2</c:v>
                </c:pt>
                <c:pt idx="873">
                  <c:v>-2.4448747616568123E-2</c:v>
                </c:pt>
                <c:pt idx="874">
                  <c:v>-1.8848204723713291E-2</c:v>
                </c:pt>
                <c:pt idx="875">
                  <c:v>-3.3080835276908749E-2</c:v>
                </c:pt>
                <c:pt idx="876">
                  <c:v>-9.9536550958551073E-3</c:v>
                </c:pt>
                <c:pt idx="877">
                  <c:v>-5.6570318830269084E-3</c:v>
                </c:pt>
                <c:pt idx="878">
                  <c:v>-2.5391601374518347E-2</c:v>
                </c:pt>
                <c:pt idx="879">
                  <c:v>-2.5957571084278763E-2</c:v>
                </c:pt>
                <c:pt idx="880">
                  <c:v>-1.5645428700246877E-2</c:v>
                </c:pt>
                <c:pt idx="881">
                  <c:v>-5.2959047010354698E-3</c:v>
                </c:pt>
                <c:pt idx="882">
                  <c:v>-6.0360453257601865E-4</c:v>
                </c:pt>
                <c:pt idx="883">
                  <c:v>-2.6018628430303226E-3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-3.3050513934241854E-3</c:v>
                </c:pt>
                <c:pt idx="889">
                  <c:v>-1.0930498265193878E-2</c:v>
                </c:pt>
                <c:pt idx="890">
                  <c:v>-5.1298879210012194E-3</c:v>
                </c:pt>
                <c:pt idx="891">
                  <c:v>-1.1220264737548558E-2</c:v>
                </c:pt>
                <c:pt idx="892">
                  <c:v>-4.2903413468642349E-4</c:v>
                </c:pt>
                <c:pt idx="893">
                  <c:v>0</c:v>
                </c:pt>
                <c:pt idx="894">
                  <c:v>-7.1551179163705791E-3</c:v>
                </c:pt>
                <c:pt idx="895">
                  <c:v>-2.9430131276739768E-3</c:v>
                </c:pt>
                <c:pt idx="896">
                  <c:v>-7.3042457250341863E-3</c:v>
                </c:pt>
                <c:pt idx="897">
                  <c:v>-3.4165119456822435E-2</c:v>
                </c:pt>
                <c:pt idx="898">
                  <c:v>-1.2612126200460483E-2</c:v>
                </c:pt>
                <c:pt idx="899">
                  <c:v>-2.065747771365023E-2</c:v>
                </c:pt>
                <c:pt idx="900">
                  <c:v>-7.0013129647794603E-3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-9.5005868586570674E-3</c:v>
                </c:pt>
                <c:pt idx="906">
                  <c:v>-6.4775874073520479E-3</c:v>
                </c:pt>
                <c:pt idx="907">
                  <c:v>-1.0928244969379497E-2</c:v>
                </c:pt>
                <c:pt idx="908">
                  <c:v>-6.6121883300961359E-3</c:v>
                </c:pt>
                <c:pt idx="909">
                  <c:v>-2.8496300006044528E-2</c:v>
                </c:pt>
                <c:pt idx="910">
                  <c:v>-4.3245335059485801E-2</c:v>
                </c:pt>
                <c:pt idx="911">
                  <c:v>-4.6962989312412162E-2</c:v>
                </c:pt>
                <c:pt idx="912">
                  <c:v>-2.3191101213504317E-2</c:v>
                </c:pt>
                <c:pt idx="913">
                  <c:v>-2.0494712480487176E-2</c:v>
                </c:pt>
                <c:pt idx="914">
                  <c:v>-1.467632717007239E-2</c:v>
                </c:pt>
                <c:pt idx="915">
                  <c:v>-1.6761416792488215E-2</c:v>
                </c:pt>
                <c:pt idx="916">
                  <c:v>-1.2778049475889008E-2</c:v>
                </c:pt>
                <c:pt idx="917">
                  <c:v>-2.7853815210083788E-2</c:v>
                </c:pt>
                <c:pt idx="918">
                  <c:v>-3.9352470311647458E-2</c:v>
                </c:pt>
                <c:pt idx="919">
                  <c:v>-2.3408499014772488E-2</c:v>
                </c:pt>
                <c:pt idx="920">
                  <c:v>-9.7102311365573346E-3</c:v>
                </c:pt>
                <c:pt idx="921">
                  <c:v>-5.7860812408077056E-3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-4.057506519001719E-3</c:v>
                </c:pt>
                <c:pt idx="934">
                  <c:v>-2.4678629076835268E-3</c:v>
                </c:pt>
                <c:pt idx="935">
                  <c:v>-1.6316407360239427E-2</c:v>
                </c:pt>
                <c:pt idx="936">
                  <c:v>-9.8172079260269163E-3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-3.3006683087970501E-3</c:v>
                </c:pt>
                <c:pt idx="941">
                  <c:v>-6.5338541677373296E-4</c:v>
                </c:pt>
                <c:pt idx="942">
                  <c:v>0</c:v>
                </c:pt>
                <c:pt idx="943">
                  <c:v>-1.5989958650587055E-2</c:v>
                </c:pt>
                <c:pt idx="944">
                  <c:v>0</c:v>
                </c:pt>
                <c:pt idx="945">
                  <c:v>-5.3990769416917272E-3</c:v>
                </c:pt>
                <c:pt idx="946">
                  <c:v>-5.2391481400589135E-2</c:v>
                </c:pt>
                <c:pt idx="947">
                  <c:v>-2.0815251465933438E-2</c:v>
                </c:pt>
                <c:pt idx="948">
                  <c:v>-3.6642670439688496E-2</c:v>
                </c:pt>
                <c:pt idx="949">
                  <c:v>-2.7060593029685331E-2</c:v>
                </c:pt>
                <c:pt idx="950">
                  <c:v>-3.091153448290207E-2</c:v>
                </c:pt>
                <c:pt idx="951">
                  <c:v>-2.6251858208267032E-2</c:v>
                </c:pt>
                <c:pt idx="952">
                  <c:v>-8.645954158091107E-3</c:v>
                </c:pt>
                <c:pt idx="953">
                  <c:v>-1.6667166144988643E-2</c:v>
                </c:pt>
                <c:pt idx="954">
                  <c:v>-2.7408023943164994E-2</c:v>
                </c:pt>
                <c:pt idx="955">
                  <c:v>-1.2453888759054177E-2</c:v>
                </c:pt>
                <c:pt idx="956">
                  <c:v>-1.1585755595768799E-3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-1.9774727521950197E-2</c:v>
                </c:pt>
                <c:pt idx="961">
                  <c:v>-7.4645659857101032E-3</c:v>
                </c:pt>
                <c:pt idx="962">
                  <c:v>0</c:v>
                </c:pt>
                <c:pt idx="963">
                  <c:v>-3.2235171541789454E-2</c:v>
                </c:pt>
                <c:pt idx="964">
                  <c:v>-1.7468722043359697E-2</c:v>
                </c:pt>
                <c:pt idx="965">
                  <c:v>-4.2950016146383607E-2</c:v>
                </c:pt>
                <c:pt idx="966">
                  <c:v>-5.0181679158887826E-2</c:v>
                </c:pt>
                <c:pt idx="967">
                  <c:v>-1.9886834266061415E-2</c:v>
                </c:pt>
                <c:pt idx="968">
                  <c:v>-2.8439720082912512E-2</c:v>
                </c:pt>
                <c:pt idx="969">
                  <c:v>-3.2370911687705006E-2</c:v>
                </c:pt>
                <c:pt idx="970">
                  <c:v>-6.6036633572546632E-2</c:v>
                </c:pt>
                <c:pt idx="971">
                  <c:v>-5.8204035818676614E-2</c:v>
                </c:pt>
                <c:pt idx="972">
                  <c:v>-6.631472845690245E-2</c:v>
                </c:pt>
                <c:pt idx="973">
                  <c:v>-8.5629881598349389E-2</c:v>
                </c:pt>
                <c:pt idx="974">
                  <c:v>-7.8057868858535495E-2</c:v>
                </c:pt>
                <c:pt idx="975">
                  <c:v>-0.10742332144931344</c:v>
                </c:pt>
                <c:pt idx="976">
                  <c:v>-0.10381343850004432</c:v>
                </c:pt>
                <c:pt idx="977">
                  <c:v>-6.8542737933610098E-2</c:v>
                </c:pt>
                <c:pt idx="978">
                  <c:v>-6.5589975420284552E-2</c:v>
                </c:pt>
                <c:pt idx="979">
                  <c:v>-4.7685251793320949E-2</c:v>
                </c:pt>
                <c:pt idx="980">
                  <c:v>-4.1021733794729731E-2</c:v>
                </c:pt>
                <c:pt idx="981">
                  <c:v>-4.4635234485795761E-2</c:v>
                </c:pt>
                <c:pt idx="982">
                  <c:v>-3.8002325674901249E-2</c:v>
                </c:pt>
                <c:pt idx="983">
                  <c:v>-3.1995234247927939E-2</c:v>
                </c:pt>
                <c:pt idx="984">
                  <c:v>-3.0967683025441395E-2</c:v>
                </c:pt>
                <c:pt idx="985">
                  <c:v>-2.9347003962864493E-2</c:v>
                </c:pt>
                <c:pt idx="986">
                  <c:v>-2.5106852261215895E-2</c:v>
                </c:pt>
                <c:pt idx="987">
                  <c:v>-2.0125962669961805E-2</c:v>
                </c:pt>
                <c:pt idx="988">
                  <c:v>-1.3457601226284366E-2</c:v>
                </c:pt>
                <c:pt idx="989">
                  <c:v>-2.9262570198229421E-2</c:v>
                </c:pt>
                <c:pt idx="990">
                  <c:v>-4.4418275108898397E-2</c:v>
                </c:pt>
                <c:pt idx="991">
                  <c:v>-4.8188860004069189E-2</c:v>
                </c:pt>
                <c:pt idx="992">
                  <c:v>-4.1326425574680803E-2</c:v>
                </c:pt>
                <c:pt idx="993">
                  <c:v>-6.5852325397602107E-2</c:v>
                </c:pt>
                <c:pt idx="994">
                  <c:v>-4.1245616972852783E-2</c:v>
                </c:pt>
                <c:pt idx="995">
                  <c:v>-2.6206378611371428E-2</c:v>
                </c:pt>
                <c:pt idx="996">
                  <c:v>-1.695682209209437E-2</c:v>
                </c:pt>
                <c:pt idx="997">
                  <c:v>-1.2241038146097893E-2</c:v>
                </c:pt>
                <c:pt idx="998">
                  <c:v>-7.1534208428928325E-3</c:v>
                </c:pt>
                <c:pt idx="999">
                  <c:v>-1.0848159317462969E-2</c:v>
                </c:pt>
                <c:pt idx="1000">
                  <c:v>-1.5735973379317869E-2</c:v>
                </c:pt>
                <c:pt idx="1001">
                  <c:v>-2.0367266666278971E-2</c:v>
                </c:pt>
                <c:pt idx="1002">
                  <c:v>-2.6953341490539962E-2</c:v>
                </c:pt>
                <c:pt idx="1003">
                  <c:v>-1.6486434027309094E-2</c:v>
                </c:pt>
                <c:pt idx="1004">
                  <c:v>-6.363413638922677E-3</c:v>
                </c:pt>
                <c:pt idx="1005">
                  <c:v>-1.3690549166682775E-3</c:v>
                </c:pt>
                <c:pt idx="1006">
                  <c:v>-6.4495319725594857E-3</c:v>
                </c:pt>
                <c:pt idx="1007">
                  <c:v>-1.2104208348722278E-2</c:v>
                </c:pt>
                <c:pt idx="1008">
                  <c:v>0</c:v>
                </c:pt>
                <c:pt idx="1009">
                  <c:v>0</c:v>
                </c:pt>
                <c:pt idx="1010">
                  <c:v>-2.7493557568469829E-3</c:v>
                </c:pt>
                <c:pt idx="1011">
                  <c:v>-1.6031039176409911E-2</c:v>
                </c:pt>
                <c:pt idx="1012">
                  <c:v>-1.5441711914682132E-2</c:v>
                </c:pt>
                <c:pt idx="1013">
                  <c:v>-9.2844120199184754E-3</c:v>
                </c:pt>
                <c:pt idx="1014">
                  <c:v>-3.7210675883349031E-2</c:v>
                </c:pt>
                <c:pt idx="1015">
                  <c:v>-2.4320046908135384E-2</c:v>
                </c:pt>
                <c:pt idx="1016">
                  <c:v>-9.8188151122076128E-3</c:v>
                </c:pt>
                <c:pt idx="1017">
                  <c:v>0</c:v>
                </c:pt>
                <c:pt idx="1018">
                  <c:v>-3.5771662279683314E-3</c:v>
                </c:pt>
                <c:pt idx="1019">
                  <c:v>0</c:v>
                </c:pt>
                <c:pt idx="1020">
                  <c:v>0</c:v>
                </c:pt>
                <c:pt idx="1021">
                  <c:v>-2.1192044409442334E-2</c:v>
                </c:pt>
                <c:pt idx="1022">
                  <c:v>-2.9478399588833137E-2</c:v>
                </c:pt>
                <c:pt idx="1023">
                  <c:v>-2.3627320124501194E-2</c:v>
                </c:pt>
                <c:pt idx="1024">
                  <c:v>-4.1822131422560416E-2</c:v>
                </c:pt>
                <c:pt idx="1025">
                  <c:v>-6.9808224876858005E-2</c:v>
                </c:pt>
                <c:pt idx="1026">
                  <c:v>-8.5226179243622857E-2</c:v>
                </c:pt>
                <c:pt idx="1027">
                  <c:v>-5.8909625759827167E-2</c:v>
                </c:pt>
                <c:pt idx="1028">
                  <c:v>-5.0825061034830976E-2</c:v>
                </c:pt>
                <c:pt idx="1029">
                  <c:v>-5.2193662242540184E-2</c:v>
                </c:pt>
                <c:pt idx="1030">
                  <c:v>-4.3103557355972155E-2</c:v>
                </c:pt>
                <c:pt idx="1031">
                  <c:v>-6.2944875977923531E-2</c:v>
                </c:pt>
                <c:pt idx="1032">
                  <c:v>-6.6926475897957416E-2</c:v>
                </c:pt>
                <c:pt idx="1033">
                  <c:v>-7.1532373036224617E-2</c:v>
                </c:pt>
                <c:pt idx="1034">
                  <c:v>-6.2115628587703586E-2</c:v>
                </c:pt>
                <c:pt idx="1035">
                  <c:v>-6.5639282187928805E-2</c:v>
                </c:pt>
                <c:pt idx="1036">
                  <c:v>-5.0690958726150814E-2</c:v>
                </c:pt>
                <c:pt idx="1037">
                  <c:v>-6.4832360744454531E-2</c:v>
                </c:pt>
                <c:pt idx="1038">
                  <c:v>-4.922972094451028E-2</c:v>
                </c:pt>
                <c:pt idx="1039">
                  <c:v>-3.2722159179038979E-2</c:v>
                </c:pt>
                <c:pt idx="1040">
                  <c:v>-5.0189350854156545E-2</c:v>
                </c:pt>
                <c:pt idx="1041">
                  <c:v>-6.4870399946356572E-2</c:v>
                </c:pt>
                <c:pt idx="1042">
                  <c:v>-6.2660837918356527E-2</c:v>
                </c:pt>
                <c:pt idx="1043">
                  <c:v>-8.5956660520269401E-2</c:v>
                </c:pt>
                <c:pt idx="1044">
                  <c:v>-6.6017301714536347E-2</c:v>
                </c:pt>
                <c:pt idx="1045">
                  <c:v>-6.9240353075713301E-2</c:v>
                </c:pt>
                <c:pt idx="1046">
                  <c:v>-9.5481317317008485E-2</c:v>
                </c:pt>
                <c:pt idx="1047">
                  <c:v>-7.7680080153802789E-2</c:v>
                </c:pt>
                <c:pt idx="1048">
                  <c:v>-7.3828490173333594E-2</c:v>
                </c:pt>
                <c:pt idx="1049">
                  <c:v>-6.2286568227766126E-2</c:v>
                </c:pt>
                <c:pt idx="1050">
                  <c:v>-8.6967567033703119E-2</c:v>
                </c:pt>
                <c:pt idx="1051">
                  <c:v>-8.9377390736796847E-2</c:v>
                </c:pt>
                <c:pt idx="1052">
                  <c:v>-7.5167836650757769E-2</c:v>
                </c:pt>
                <c:pt idx="1053">
                  <c:v>-6.1122221309014013E-2</c:v>
                </c:pt>
                <c:pt idx="1054">
                  <c:v>-7.4896561254224614E-2</c:v>
                </c:pt>
                <c:pt idx="1055">
                  <c:v>-8.8096099412882767E-2</c:v>
                </c:pt>
                <c:pt idx="1056">
                  <c:v>-0.11288900077715847</c:v>
                </c:pt>
                <c:pt idx="1057">
                  <c:v>-0.10458986370480661</c:v>
                </c:pt>
                <c:pt idx="1058">
                  <c:v>-0.11388363276190561</c:v>
                </c:pt>
                <c:pt idx="1059">
                  <c:v>-0.11046772084428458</c:v>
                </c:pt>
                <c:pt idx="1060">
                  <c:v>-0.14262904277032096</c:v>
                </c:pt>
                <c:pt idx="1061">
                  <c:v>-0.15821195987506209</c:v>
                </c:pt>
                <c:pt idx="1062">
                  <c:v>-0.17772498636309564</c:v>
                </c:pt>
                <c:pt idx="1063">
                  <c:v>-0.13881508575951818</c:v>
                </c:pt>
                <c:pt idx="1064">
                  <c:v>-0.11954873958973367</c:v>
                </c:pt>
                <c:pt idx="1065">
                  <c:v>-0.12777123938849255</c:v>
                </c:pt>
                <c:pt idx="1066">
                  <c:v>-0.12198523279962659</c:v>
                </c:pt>
                <c:pt idx="1067">
                  <c:v>-0.1235688137887978</c:v>
                </c:pt>
                <c:pt idx="1068">
                  <c:v>-9.5529761111984635E-2</c:v>
                </c:pt>
                <c:pt idx="1069">
                  <c:v>-8.6960889441104028E-2</c:v>
                </c:pt>
                <c:pt idx="1070">
                  <c:v>-8.2514271395131344E-2</c:v>
                </c:pt>
                <c:pt idx="1071">
                  <c:v>-7.2900422585366664E-2</c:v>
                </c:pt>
                <c:pt idx="1072">
                  <c:v>-3.6511606444364242E-2</c:v>
                </c:pt>
                <c:pt idx="1073">
                  <c:v>-1.5283783551465646E-2</c:v>
                </c:pt>
                <c:pt idx="1074">
                  <c:v>-2.0236999635824371E-2</c:v>
                </c:pt>
                <c:pt idx="1075">
                  <c:v>-4.122897827506633E-3</c:v>
                </c:pt>
                <c:pt idx="1076">
                  <c:v>-1.2321901057634754E-2</c:v>
                </c:pt>
                <c:pt idx="1077">
                  <c:v>-1.9651813687994069E-2</c:v>
                </c:pt>
                <c:pt idx="1078">
                  <c:v>0</c:v>
                </c:pt>
                <c:pt idx="1079">
                  <c:v>-1.8203851147071681E-2</c:v>
                </c:pt>
                <c:pt idx="1080">
                  <c:v>0</c:v>
                </c:pt>
                <c:pt idx="1081">
                  <c:v>0</c:v>
                </c:pt>
                <c:pt idx="1082">
                  <c:v>-1.2573071280506332E-2</c:v>
                </c:pt>
                <c:pt idx="1083">
                  <c:v>-1.7765259749740303E-2</c:v>
                </c:pt>
                <c:pt idx="1084">
                  <c:v>-1.1618244197369898E-2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-2.789940211731623E-3</c:v>
                </c:pt>
                <c:pt idx="1090">
                  <c:v>0</c:v>
                </c:pt>
                <c:pt idx="1091">
                  <c:v>0</c:v>
                </c:pt>
                <c:pt idx="1092">
                  <c:v>-1.6378841786873322E-2</c:v>
                </c:pt>
                <c:pt idx="1093">
                  <c:v>0</c:v>
                </c:pt>
                <c:pt idx="1094">
                  <c:v>0</c:v>
                </c:pt>
                <c:pt idx="1095">
                  <c:v>-2.8050714829295109E-2</c:v>
                </c:pt>
                <c:pt idx="1096">
                  <c:v>-4.7842897893569769E-2</c:v>
                </c:pt>
                <c:pt idx="1097">
                  <c:v>-5.290391119188298E-2</c:v>
                </c:pt>
                <c:pt idx="1098">
                  <c:v>-3.1054390494777095E-2</c:v>
                </c:pt>
                <c:pt idx="1099">
                  <c:v>-2.0737719188728687E-2</c:v>
                </c:pt>
                <c:pt idx="1100">
                  <c:v>-2.4992668759919789E-2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-1.1844303316886129E-2</c:v>
                </c:pt>
                <c:pt idx="1108">
                  <c:v>-2.3129469285646631E-2</c:v>
                </c:pt>
                <c:pt idx="1109">
                  <c:v>-8.7278851653954992E-2</c:v>
                </c:pt>
                <c:pt idx="1110">
                  <c:v>-5.940250979210171E-2</c:v>
                </c:pt>
                <c:pt idx="1111">
                  <c:v>-7.2678578333269406E-2</c:v>
                </c:pt>
                <c:pt idx="1112">
                  <c:v>-9.943567739809378E-2</c:v>
                </c:pt>
                <c:pt idx="1113">
                  <c:v>-5.919665446930078E-2</c:v>
                </c:pt>
                <c:pt idx="1114">
                  <c:v>-6.0862800394587802E-2</c:v>
                </c:pt>
                <c:pt idx="1115">
                  <c:v>-1.4803746718099142E-2</c:v>
                </c:pt>
                <c:pt idx="1116">
                  <c:v>-4.0445519866774804E-2</c:v>
                </c:pt>
                <c:pt idx="1117">
                  <c:v>-4.0240240862037036E-2</c:v>
                </c:pt>
                <c:pt idx="1118">
                  <c:v>0</c:v>
                </c:pt>
                <c:pt idx="1119">
                  <c:v>0</c:v>
                </c:pt>
                <c:pt idx="1120">
                  <c:v>-5.9928429513041226E-2</c:v>
                </c:pt>
                <c:pt idx="1121">
                  <c:v>-6.6881744782064767E-2</c:v>
                </c:pt>
                <c:pt idx="1122">
                  <c:v>-4.2667524970957937E-2</c:v>
                </c:pt>
                <c:pt idx="1123">
                  <c:v>-5.2838344156132977E-2</c:v>
                </c:pt>
                <c:pt idx="1124">
                  <c:v>-2.779697370820855E-2</c:v>
                </c:pt>
                <c:pt idx="1125">
                  <c:v>-1.0414626163434249E-2</c:v>
                </c:pt>
                <c:pt idx="1126">
                  <c:v>-4.0910178625364169E-2</c:v>
                </c:pt>
                <c:pt idx="1127">
                  <c:v>-5.9188991247307032E-2</c:v>
                </c:pt>
                <c:pt idx="1128">
                  <c:v>-3.5414770907799986E-2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E-40F2-8741-182B9F475409}"/>
            </c:ext>
          </c:extLst>
        </c:ser>
        <c:ser>
          <c:idx val="1"/>
          <c:order val="1"/>
          <c:tx>
            <c:v>S&amp;P 500</c:v>
          </c:tx>
          <c:spPr>
            <a:ln w="20000">
              <a:solidFill>
                <a:srgbClr val="8C9BAB"/>
              </a:solidFill>
              <a:prstDash val="solid"/>
            </a:ln>
          </c:spPr>
          <c:marker>
            <c:symbol val="none"/>
          </c:marker>
          <c:cat>
            <c:numRef>
              <c:f>'Tech Portfolio'!$A$2:$A$1130</c:f>
              <c:numCache>
                <c:formatCode>yyyy\-mm\-dd</c:formatCode>
                <c:ptCount val="112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44579</c:v>
                </c:pt>
                <c:pt idx="11">
                  <c:v>44580</c:v>
                </c:pt>
                <c:pt idx="12">
                  <c:v>44581</c:v>
                </c:pt>
                <c:pt idx="13">
                  <c:v>44582</c:v>
                </c:pt>
                <c:pt idx="14">
                  <c:v>44585</c:v>
                </c:pt>
                <c:pt idx="15">
                  <c:v>44586</c:v>
                </c:pt>
                <c:pt idx="16">
                  <c:v>44587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44614</c:v>
                </c:pt>
                <c:pt idx="35">
                  <c:v>44615</c:v>
                </c:pt>
                <c:pt idx="36">
                  <c:v>44616</c:v>
                </c:pt>
                <c:pt idx="37">
                  <c:v>44617</c:v>
                </c:pt>
                <c:pt idx="38">
                  <c:v>44620</c:v>
                </c:pt>
                <c:pt idx="39">
                  <c:v>44621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44638</c:v>
                </c:pt>
                <c:pt idx="53">
                  <c:v>44641</c:v>
                </c:pt>
                <c:pt idx="54">
                  <c:v>44642</c:v>
                </c:pt>
                <c:pt idx="55">
                  <c:v>44643</c:v>
                </c:pt>
                <c:pt idx="56">
                  <c:v>44644</c:v>
                </c:pt>
                <c:pt idx="57">
                  <c:v>44645</c:v>
                </c:pt>
                <c:pt idx="58">
                  <c:v>44648</c:v>
                </c:pt>
                <c:pt idx="59">
                  <c:v>44649</c:v>
                </c:pt>
                <c:pt idx="60">
                  <c:v>44650</c:v>
                </c:pt>
                <c:pt idx="61">
                  <c:v>44651</c:v>
                </c:pt>
                <c:pt idx="62">
                  <c:v>44652</c:v>
                </c:pt>
                <c:pt idx="63">
                  <c:v>44655</c:v>
                </c:pt>
                <c:pt idx="64">
                  <c:v>44656</c:v>
                </c:pt>
                <c:pt idx="65">
                  <c:v>44657</c:v>
                </c:pt>
                <c:pt idx="66">
                  <c:v>44658</c:v>
                </c:pt>
                <c:pt idx="67">
                  <c:v>44659</c:v>
                </c:pt>
                <c:pt idx="68">
                  <c:v>44662</c:v>
                </c:pt>
                <c:pt idx="69">
                  <c:v>44663</c:v>
                </c:pt>
                <c:pt idx="70">
                  <c:v>44664</c:v>
                </c:pt>
                <c:pt idx="71">
                  <c:v>44665</c:v>
                </c:pt>
                <c:pt idx="72">
                  <c:v>44669</c:v>
                </c:pt>
                <c:pt idx="73">
                  <c:v>44670</c:v>
                </c:pt>
                <c:pt idx="74">
                  <c:v>44671</c:v>
                </c:pt>
                <c:pt idx="75">
                  <c:v>44672</c:v>
                </c:pt>
                <c:pt idx="76">
                  <c:v>44673</c:v>
                </c:pt>
                <c:pt idx="77">
                  <c:v>44676</c:v>
                </c:pt>
                <c:pt idx="78">
                  <c:v>44677</c:v>
                </c:pt>
                <c:pt idx="79">
                  <c:v>44678</c:v>
                </c:pt>
                <c:pt idx="80">
                  <c:v>44679</c:v>
                </c:pt>
                <c:pt idx="81">
                  <c:v>44680</c:v>
                </c:pt>
                <c:pt idx="82">
                  <c:v>44683</c:v>
                </c:pt>
                <c:pt idx="83">
                  <c:v>44684</c:v>
                </c:pt>
                <c:pt idx="84">
                  <c:v>44685</c:v>
                </c:pt>
                <c:pt idx="85">
                  <c:v>44686</c:v>
                </c:pt>
                <c:pt idx="86">
                  <c:v>44687</c:v>
                </c:pt>
                <c:pt idx="87">
                  <c:v>44690</c:v>
                </c:pt>
                <c:pt idx="88">
                  <c:v>44691</c:v>
                </c:pt>
                <c:pt idx="89">
                  <c:v>44692</c:v>
                </c:pt>
                <c:pt idx="90">
                  <c:v>44693</c:v>
                </c:pt>
                <c:pt idx="91">
                  <c:v>44694</c:v>
                </c:pt>
                <c:pt idx="92">
                  <c:v>44697</c:v>
                </c:pt>
                <c:pt idx="93">
                  <c:v>44698</c:v>
                </c:pt>
                <c:pt idx="94">
                  <c:v>44699</c:v>
                </c:pt>
                <c:pt idx="95">
                  <c:v>44700</c:v>
                </c:pt>
                <c:pt idx="96">
                  <c:v>44701</c:v>
                </c:pt>
                <c:pt idx="97">
                  <c:v>44704</c:v>
                </c:pt>
                <c:pt idx="98">
                  <c:v>44705</c:v>
                </c:pt>
                <c:pt idx="99">
                  <c:v>44706</c:v>
                </c:pt>
                <c:pt idx="100">
                  <c:v>44707</c:v>
                </c:pt>
                <c:pt idx="101">
                  <c:v>44708</c:v>
                </c:pt>
                <c:pt idx="102">
                  <c:v>44712</c:v>
                </c:pt>
                <c:pt idx="103">
                  <c:v>44713</c:v>
                </c:pt>
                <c:pt idx="104">
                  <c:v>44714</c:v>
                </c:pt>
                <c:pt idx="105">
                  <c:v>44715</c:v>
                </c:pt>
                <c:pt idx="106">
                  <c:v>44718</c:v>
                </c:pt>
                <c:pt idx="107">
                  <c:v>44719</c:v>
                </c:pt>
                <c:pt idx="108">
                  <c:v>44720</c:v>
                </c:pt>
                <c:pt idx="109">
                  <c:v>44721</c:v>
                </c:pt>
                <c:pt idx="110">
                  <c:v>44722</c:v>
                </c:pt>
                <c:pt idx="111">
                  <c:v>44725</c:v>
                </c:pt>
                <c:pt idx="112">
                  <c:v>44726</c:v>
                </c:pt>
                <c:pt idx="113">
                  <c:v>44727</c:v>
                </c:pt>
                <c:pt idx="114">
                  <c:v>44728</c:v>
                </c:pt>
                <c:pt idx="115">
                  <c:v>44729</c:v>
                </c:pt>
                <c:pt idx="116">
                  <c:v>44733</c:v>
                </c:pt>
                <c:pt idx="117">
                  <c:v>44734</c:v>
                </c:pt>
                <c:pt idx="118">
                  <c:v>44735</c:v>
                </c:pt>
                <c:pt idx="119">
                  <c:v>44736</c:v>
                </c:pt>
                <c:pt idx="120">
                  <c:v>44739</c:v>
                </c:pt>
                <c:pt idx="121">
                  <c:v>44740</c:v>
                </c:pt>
                <c:pt idx="122">
                  <c:v>44741</c:v>
                </c:pt>
                <c:pt idx="123">
                  <c:v>44742</c:v>
                </c:pt>
                <c:pt idx="124">
                  <c:v>44743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44782</c:v>
                </c:pt>
                <c:pt idx="151">
                  <c:v>44783</c:v>
                </c:pt>
                <c:pt idx="152">
                  <c:v>44784</c:v>
                </c:pt>
                <c:pt idx="153">
                  <c:v>44785</c:v>
                </c:pt>
                <c:pt idx="154">
                  <c:v>44788</c:v>
                </c:pt>
                <c:pt idx="155">
                  <c:v>44789</c:v>
                </c:pt>
                <c:pt idx="156">
                  <c:v>44790</c:v>
                </c:pt>
                <c:pt idx="157">
                  <c:v>44791</c:v>
                </c:pt>
                <c:pt idx="158">
                  <c:v>44792</c:v>
                </c:pt>
                <c:pt idx="159">
                  <c:v>44795</c:v>
                </c:pt>
                <c:pt idx="160">
                  <c:v>44796</c:v>
                </c:pt>
                <c:pt idx="161">
                  <c:v>44797</c:v>
                </c:pt>
                <c:pt idx="162">
                  <c:v>44798</c:v>
                </c:pt>
                <c:pt idx="163">
                  <c:v>44799</c:v>
                </c:pt>
                <c:pt idx="164">
                  <c:v>44802</c:v>
                </c:pt>
                <c:pt idx="165">
                  <c:v>44803</c:v>
                </c:pt>
                <c:pt idx="166">
                  <c:v>44804</c:v>
                </c:pt>
                <c:pt idx="167">
                  <c:v>44805</c:v>
                </c:pt>
                <c:pt idx="168">
                  <c:v>44806</c:v>
                </c:pt>
                <c:pt idx="169">
                  <c:v>44810</c:v>
                </c:pt>
                <c:pt idx="170">
                  <c:v>44811</c:v>
                </c:pt>
                <c:pt idx="171">
                  <c:v>44812</c:v>
                </c:pt>
                <c:pt idx="172">
                  <c:v>44813</c:v>
                </c:pt>
                <c:pt idx="173">
                  <c:v>44816</c:v>
                </c:pt>
                <c:pt idx="174">
                  <c:v>44817</c:v>
                </c:pt>
                <c:pt idx="175">
                  <c:v>44818</c:v>
                </c:pt>
                <c:pt idx="176">
                  <c:v>44819</c:v>
                </c:pt>
                <c:pt idx="177">
                  <c:v>44820</c:v>
                </c:pt>
                <c:pt idx="178">
                  <c:v>44823</c:v>
                </c:pt>
                <c:pt idx="179">
                  <c:v>44824</c:v>
                </c:pt>
                <c:pt idx="180">
                  <c:v>44825</c:v>
                </c:pt>
                <c:pt idx="181">
                  <c:v>44826</c:v>
                </c:pt>
                <c:pt idx="182">
                  <c:v>44827</c:v>
                </c:pt>
                <c:pt idx="183">
                  <c:v>44830</c:v>
                </c:pt>
                <c:pt idx="184">
                  <c:v>44831</c:v>
                </c:pt>
                <c:pt idx="185">
                  <c:v>44832</c:v>
                </c:pt>
                <c:pt idx="186">
                  <c:v>44833</c:v>
                </c:pt>
                <c:pt idx="187">
                  <c:v>44834</c:v>
                </c:pt>
                <c:pt idx="188">
                  <c:v>44837</c:v>
                </c:pt>
                <c:pt idx="189">
                  <c:v>44838</c:v>
                </c:pt>
                <c:pt idx="190">
                  <c:v>44839</c:v>
                </c:pt>
                <c:pt idx="191">
                  <c:v>44840</c:v>
                </c:pt>
                <c:pt idx="192">
                  <c:v>44841</c:v>
                </c:pt>
                <c:pt idx="193">
                  <c:v>44844</c:v>
                </c:pt>
                <c:pt idx="194">
                  <c:v>44845</c:v>
                </c:pt>
                <c:pt idx="195">
                  <c:v>44846</c:v>
                </c:pt>
                <c:pt idx="196">
                  <c:v>44847</c:v>
                </c:pt>
                <c:pt idx="197">
                  <c:v>44848</c:v>
                </c:pt>
                <c:pt idx="198">
                  <c:v>44851</c:v>
                </c:pt>
                <c:pt idx="199">
                  <c:v>44852</c:v>
                </c:pt>
                <c:pt idx="200">
                  <c:v>44853</c:v>
                </c:pt>
                <c:pt idx="201">
                  <c:v>44854</c:v>
                </c:pt>
                <c:pt idx="202">
                  <c:v>44855</c:v>
                </c:pt>
                <c:pt idx="203">
                  <c:v>44858</c:v>
                </c:pt>
                <c:pt idx="204">
                  <c:v>44859</c:v>
                </c:pt>
                <c:pt idx="205">
                  <c:v>44860</c:v>
                </c:pt>
                <c:pt idx="206">
                  <c:v>44861</c:v>
                </c:pt>
                <c:pt idx="207">
                  <c:v>44862</c:v>
                </c:pt>
                <c:pt idx="208">
                  <c:v>44865</c:v>
                </c:pt>
                <c:pt idx="209">
                  <c:v>44866</c:v>
                </c:pt>
                <c:pt idx="210">
                  <c:v>44867</c:v>
                </c:pt>
                <c:pt idx="211">
                  <c:v>44868</c:v>
                </c:pt>
                <c:pt idx="212">
                  <c:v>44869</c:v>
                </c:pt>
                <c:pt idx="213">
                  <c:v>44872</c:v>
                </c:pt>
                <c:pt idx="214">
                  <c:v>44873</c:v>
                </c:pt>
                <c:pt idx="215">
                  <c:v>44874</c:v>
                </c:pt>
                <c:pt idx="216">
                  <c:v>44875</c:v>
                </c:pt>
                <c:pt idx="217">
                  <c:v>44876</c:v>
                </c:pt>
                <c:pt idx="218">
                  <c:v>44879</c:v>
                </c:pt>
                <c:pt idx="219">
                  <c:v>44880</c:v>
                </c:pt>
                <c:pt idx="220">
                  <c:v>44881</c:v>
                </c:pt>
                <c:pt idx="221">
                  <c:v>44882</c:v>
                </c:pt>
                <c:pt idx="222">
                  <c:v>44883</c:v>
                </c:pt>
                <c:pt idx="223">
                  <c:v>44886</c:v>
                </c:pt>
                <c:pt idx="224">
                  <c:v>44887</c:v>
                </c:pt>
                <c:pt idx="225">
                  <c:v>44888</c:v>
                </c:pt>
                <c:pt idx="226">
                  <c:v>44890</c:v>
                </c:pt>
                <c:pt idx="227">
                  <c:v>44893</c:v>
                </c:pt>
                <c:pt idx="228">
                  <c:v>44894</c:v>
                </c:pt>
                <c:pt idx="229">
                  <c:v>44895</c:v>
                </c:pt>
                <c:pt idx="230">
                  <c:v>44896</c:v>
                </c:pt>
                <c:pt idx="231">
                  <c:v>44897</c:v>
                </c:pt>
                <c:pt idx="232">
                  <c:v>44900</c:v>
                </c:pt>
                <c:pt idx="233">
                  <c:v>44901</c:v>
                </c:pt>
                <c:pt idx="234">
                  <c:v>44902</c:v>
                </c:pt>
                <c:pt idx="235">
                  <c:v>44903</c:v>
                </c:pt>
                <c:pt idx="236">
                  <c:v>44904</c:v>
                </c:pt>
                <c:pt idx="237">
                  <c:v>44907</c:v>
                </c:pt>
                <c:pt idx="238">
                  <c:v>44908</c:v>
                </c:pt>
                <c:pt idx="239">
                  <c:v>44909</c:v>
                </c:pt>
                <c:pt idx="240">
                  <c:v>44910</c:v>
                </c:pt>
                <c:pt idx="241">
                  <c:v>44911</c:v>
                </c:pt>
                <c:pt idx="242">
                  <c:v>44914</c:v>
                </c:pt>
                <c:pt idx="243">
                  <c:v>44915</c:v>
                </c:pt>
                <c:pt idx="244">
                  <c:v>44916</c:v>
                </c:pt>
                <c:pt idx="245">
                  <c:v>44917</c:v>
                </c:pt>
                <c:pt idx="246">
                  <c:v>44918</c:v>
                </c:pt>
                <c:pt idx="247">
                  <c:v>44922</c:v>
                </c:pt>
                <c:pt idx="248">
                  <c:v>44923</c:v>
                </c:pt>
                <c:pt idx="249">
                  <c:v>44924</c:v>
                </c:pt>
                <c:pt idx="250">
                  <c:v>44925</c:v>
                </c:pt>
                <c:pt idx="251">
                  <c:v>44929</c:v>
                </c:pt>
                <c:pt idx="252">
                  <c:v>44930</c:v>
                </c:pt>
                <c:pt idx="253">
                  <c:v>44931</c:v>
                </c:pt>
                <c:pt idx="254">
                  <c:v>44932</c:v>
                </c:pt>
                <c:pt idx="255">
                  <c:v>44935</c:v>
                </c:pt>
                <c:pt idx="256">
                  <c:v>44936</c:v>
                </c:pt>
                <c:pt idx="257">
                  <c:v>44937</c:v>
                </c:pt>
                <c:pt idx="258">
                  <c:v>44938</c:v>
                </c:pt>
                <c:pt idx="259">
                  <c:v>44939</c:v>
                </c:pt>
                <c:pt idx="260">
                  <c:v>44943</c:v>
                </c:pt>
                <c:pt idx="261">
                  <c:v>44944</c:v>
                </c:pt>
                <c:pt idx="262">
                  <c:v>44945</c:v>
                </c:pt>
                <c:pt idx="263">
                  <c:v>44946</c:v>
                </c:pt>
                <c:pt idx="264">
                  <c:v>44949</c:v>
                </c:pt>
                <c:pt idx="265">
                  <c:v>44950</c:v>
                </c:pt>
                <c:pt idx="266">
                  <c:v>44951</c:v>
                </c:pt>
                <c:pt idx="267">
                  <c:v>44952</c:v>
                </c:pt>
                <c:pt idx="268">
                  <c:v>44953</c:v>
                </c:pt>
                <c:pt idx="269">
                  <c:v>44956</c:v>
                </c:pt>
                <c:pt idx="270">
                  <c:v>44957</c:v>
                </c:pt>
                <c:pt idx="271">
                  <c:v>44958</c:v>
                </c:pt>
                <c:pt idx="272">
                  <c:v>44959</c:v>
                </c:pt>
                <c:pt idx="273">
                  <c:v>44960</c:v>
                </c:pt>
                <c:pt idx="274">
                  <c:v>44963</c:v>
                </c:pt>
                <c:pt idx="275">
                  <c:v>44964</c:v>
                </c:pt>
                <c:pt idx="276">
                  <c:v>44965</c:v>
                </c:pt>
                <c:pt idx="277">
                  <c:v>44966</c:v>
                </c:pt>
                <c:pt idx="278">
                  <c:v>44967</c:v>
                </c:pt>
                <c:pt idx="279">
                  <c:v>44970</c:v>
                </c:pt>
                <c:pt idx="280">
                  <c:v>44971</c:v>
                </c:pt>
                <c:pt idx="281">
                  <c:v>44972</c:v>
                </c:pt>
                <c:pt idx="282">
                  <c:v>44973</c:v>
                </c:pt>
                <c:pt idx="283">
                  <c:v>44974</c:v>
                </c:pt>
                <c:pt idx="284">
                  <c:v>44978</c:v>
                </c:pt>
                <c:pt idx="285">
                  <c:v>44979</c:v>
                </c:pt>
                <c:pt idx="286">
                  <c:v>44980</c:v>
                </c:pt>
                <c:pt idx="287">
                  <c:v>44981</c:v>
                </c:pt>
                <c:pt idx="288">
                  <c:v>44984</c:v>
                </c:pt>
                <c:pt idx="289">
                  <c:v>44985</c:v>
                </c:pt>
                <c:pt idx="290">
                  <c:v>44986</c:v>
                </c:pt>
                <c:pt idx="291">
                  <c:v>44987</c:v>
                </c:pt>
                <c:pt idx="292">
                  <c:v>44988</c:v>
                </c:pt>
                <c:pt idx="293">
                  <c:v>44991</c:v>
                </c:pt>
                <c:pt idx="294">
                  <c:v>44992</c:v>
                </c:pt>
                <c:pt idx="295">
                  <c:v>44993</c:v>
                </c:pt>
                <c:pt idx="296">
                  <c:v>44994</c:v>
                </c:pt>
                <c:pt idx="297">
                  <c:v>44995</c:v>
                </c:pt>
                <c:pt idx="298">
                  <c:v>44998</c:v>
                </c:pt>
                <c:pt idx="299">
                  <c:v>44999</c:v>
                </c:pt>
                <c:pt idx="300">
                  <c:v>45000</c:v>
                </c:pt>
                <c:pt idx="301">
                  <c:v>45001</c:v>
                </c:pt>
                <c:pt idx="302">
                  <c:v>45002</c:v>
                </c:pt>
                <c:pt idx="303">
                  <c:v>45005</c:v>
                </c:pt>
                <c:pt idx="304">
                  <c:v>45006</c:v>
                </c:pt>
                <c:pt idx="305">
                  <c:v>45007</c:v>
                </c:pt>
                <c:pt idx="306">
                  <c:v>45008</c:v>
                </c:pt>
                <c:pt idx="307">
                  <c:v>45009</c:v>
                </c:pt>
                <c:pt idx="308">
                  <c:v>45012</c:v>
                </c:pt>
                <c:pt idx="309">
                  <c:v>45013</c:v>
                </c:pt>
                <c:pt idx="310">
                  <c:v>45014</c:v>
                </c:pt>
                <c:pt idx="311">
                  <c:v>45015</c:v>
                </c:pt>
                <c:pt idx="312">
                  <c:v>45016</c:v>
                </c:pt>
                <c:pt idx="313">
                  <c:v>45019</c:v>
                </c:pt>
                <c:pt idx="314">
                  <c:v>45020</c:v>
                </c:pt>
                <c:pt idx="315">
                  <c:v>45021</c:v>
                </c:pt>
                <c:pt idx="316">
                  <c:v>45022</c:v>
                </c:pt>
                <c:pt idx="317">
                  <c:v>45026</c:v>
                </c:pt>
                <c:pt idx="318">
                  <c:v>45027</c:v>
                </c:pt>
                <c:pt idx="319">
                  <c:v>45028</c:v>
                </c:pt>
                <c:pt idx="320">
                  <c:v>45029</c:v>
                </c:pt>
                <c:pt idx="321">
                  <c:v>45030</c:v>
                </c:pt>
                <c:pt idx="322">
                  <c:v>45033</c:v>
                </c:pt>
                <c:pt idx="323">
                  <c:v>45034</c:v>
                </c:pt>
                <c:pt idx="324">
                  <c:v>45035</c:v>
                </c:pt>
                <c:pt idx="325">
                  <c:v>45036</c:v>
                </c:pt>
                <c:pt idx="326">
                  <c:v>45037</c:v>
                </c:pt>
                <c:pt idx="327">
                  <c:v>45040</c:v>
                </c:pt>
                <c:pt idx="328">
                  <c:v>45041</c:v>
                </c:pt>
                <c:pt idx="329">
                  <c:v>45042</c:v>
                </c:pt>
                <c:pt idx="330">
                  <c:v>45043</c:v>
                </c:pt>
                <c:pt idx="331">
                  <c:v>45044</c:v>
                </c:pt>
                <c:pt idx="332">
                  <c:v>45047</c:v>
                </c:pt>
                <c:pt idx="333">
                  <c:v>45048</c:v>
                </c:pt>
                <c:pt idx="334">
                  <c:v>45049</c:v>
                </c:pt>
                <c:pt idx="335">
                  <c:v>45050</c:v>
                </c:pt>
                <c:pt idx="336">
                  <c:v>45051</c:v>
                </c:pt>
                <c:pt idx="337">
                  <c:v>45054</c:v>
                </c:pt>
                <c:pt idx="338">
                  <c:v>45055</c:v>
                </c:pt>
                <c:pt idx="339">
                  <c:v>45056</c:v>
                </c:pt>
                <c:pt idx="340">
                  <c:v>45057</c:v>
                </c:pt>
                <c:pt idx="341">
                  <c:v>45058</c:v>
                </c:pt>
                <c:pt idx="342">
                  <c:v>45061</c:v>
                </c:pt>
                <c:pt idx="343">
                  <c:v>45062</c:v>
                </c:pt>
                <c:pt idx="344">
                  <c:v>45063</c:v>
                </c:pt>
                <c:pt idx="345">
                  <c:v>45064</c:v>
                </c:pt>
                <c:pt idx="346">
                  <c:v>45065</c:v>
                </c:pt>
                <c:pt idx="347">
                  <c:v>45068</c:v>
                </c:pt>
                <c:pt idx="348">
                  <c:v>45069</c:v>
                </c:pt>
                <c:pt idx="349">
                  <c:v>45070</c:v>
                </c:pt>
                <c:pt idx="350">
                  <c:v>45071</c:v>
                </c:pt>
                <c:pt idx="351">
                  <c:v>45072</c:v>
                </c:pt>
                <c:pt idx="352">
                  <c:v>45076</c:v>
                </c:pt>
                <c:pt idx="353">
                  <c:v>45077</c:v>
                </c:pt>
                <c:pt idx="354">
                  <c:v>45078</c:v>
                </c:pt>
                <c:pt idx="355">
                  <c:v>45079</c:v>
                </c:pt>
                <c:pt idx="356">
                  <c:v>45082</c:v>
                </c:pt>
                <c:pt idx="357">
                  <c:v>45083</c:v>
                </c:pt>
                <c:pt idx="358">
                  <c:v>45084</c:v>
                </c:pt>
                <c:pt idx="359">
                  <c:v>45085</c:v>
                </c:pt>
                <c:pt idx="360">
                  <c:v>45086</c:v>
                </c:pt>
                <c:pt idx="361">
                  <c:v>45089</c:v>
                </c:pt>
                <c:pt idx="362">
                  <c:v>45090</c:v>
                </c:pt>
                <c:pt idx="363">
                  <c:v>45091</c:v>
                </c:pt>
                <c:pt idx="364">
                  <c:v>45092</c:v>
                </c:pt>
                <c:pt idx="365">
                  <c:v>45093</c:v>
                </c:pt>
                <c:pt idx="366">
                  <c:v>45097</c:v>
                </c:pt>
                <c:pt idx="367">
                  <c:v>45098</c:v>
                </c:pt>
                <c:pt idx="368">
                  <c:v>45099</c:v>
                </c:pt>
                <c:pt idx="369">
                  <c:v>45100</c:v>
                </c:pt>
                <c:pt idx="370">
                  <c:v>45103</c:v>
                </c:pt>
                <c:pt idx="371">
                  <c:v>45104</c:v>
                </c:pt>
                <c:pt idx="372">
                  <c:v>45105</c:v>
                </c:pt>
                <c:pt idx="373">
                  <c:v>45106</c:v>
                </c:pt>
                <c:pt idx="374">
                  <c:v>45107</c:v>
                </c:pt>
                <c:pt idx="375">
                  <c:v>45110</c:v>
                </c:pt>
                <c:pt idx="376">
                  <c:v>45112</c:v>
                </c:pt>
                <c:pt idx="377">
                  <c:v>45113</c:v>
                </c:pt>
                <c:pt idx="378">
                  <c:v>45114</c:v>
                </c:pt>
                <c:pt idx="379">
                  <c:v>45117</c:v>
                </c:pt>
                <c:pt idx="380">
                  <c:v>45118</c:v>
                </c:pt>
                <c:pt idx="381">
                  <c:v>45119</c:v>
                </c:pt>
                <c:pt idx="382">
                  <c:v>45120</c:v>
                </c:pt>
                <c:pt idx="383">
                  <c:v>45121</c:v>
                </c:pt>
                <c:pt idx="384">
                  <c:v>45124</c:v>
                </c:pt>
                <c:pt idx="385">
                  <c:v>45125</c:v>
                </c:pt>
                <c:pt idx="386">
                  <c:v>45126</c:v>
                </c:pt>
                <c:pt idx="387">
                  <c:v>45127</c:v>
                </c:pt>
                <c:pt idx="388">
                  <c:v>45128</c:v>
                </c:pt>
                <c:pt idx="389">
                  <c:v>45131</c:v>
                </c:pt>
                <c:pt idx="390">
                  <c:v>45132</c:v>
                </c:pt>
                <c:pt idx="391">
                  <c:v>45133</c:v>
                </c:pt>
                <c:pt idx="392">
                  <c:v>45134</c:v>
                </c:pt>
                <c:pt idx="393">
                  <c:v>45135</c:v>
                </c:pt>
                <c:pt idx="394">
                  <c:v>45138</c:v>
                </c:pt>
                <c:pt idx="395">
                  <c:v>45139</c:v>
                </c:pt>
                <c:pt idx="396">
                  <c:v>45140</c:v>
                </c:pt>
                <c:pt idx="397">
                  <c:v>45141</c:v>
                </c:pt>
                <c:pt idx="398">
                  <c:v>45142</c:v>
                </c:pt>
                <c:pt idx="399">
                  <c:v>45145</c:v>
                </c:pt>
                <c:pt idx="400">
                  <c:v>45146</c:v>
                </c:pt>
                <c:pt idx="401">
                  <c:v>45147</c:v>
                </c:pt>
                <c:pt idx="402">
                  <c:v>45148</c:v>
                </c:pt>
                <c:pt idx="403">
                  <c:v>45149</c:v>
                </c:pt>
                <c:pt idx="404">
                  <c:v>45152</c:v>
                </c:pt>
                <c:pt idx="405">
                  <c:v>45153</c:v>
                </c:pt>
                <c:pt idx="406">
                  <c:v>45154</c:v>
                </c:pt>
                <c:pt idx="407">
                  <c:v>45155</c:v>
                </c:pt>
                <c:pt idx="408">
                  <c:v>45156</c:v>
                </c:pt>
                <c:pt idx="409">
                  <c:v>45159</c:v>
                </c:pt>
                <c:pt idx="410">
                  <c:v>45160</c:v>
                </c:pt>
                <c:pt idx="411">
                  <c:v>45161</c:v>
                </c:pt>
                <c:pt idx="412">
                  <c:v>45162</c:v>
                </c:pt>
                <c:pt idx="413">
                  <c:v>45163</c:v>
                </c:pt>
                <c:pt idx="414">
                  <c:v>45166</c:v>
                </c:pt>
                <c:pt idx="415">
                  <c:v>45167</c:v>
                </c:pt>
                <c:pt idx="416">
                  <c:v>45168</c:v>
                </c:pt>
                <c:pt idx="417">
                  <c:v>45169</c:v>
                </c:pt>
                <c:pt idx="418">
                  <c:v>45170</c:v>
                </c:pt>
                <c:pt idx="419">
                  <c:v>45174</c:v>
                </c:pt>
                <c:pt idx="420">
                  <c:v>45175</c:v>
                </c:pt>
                <c:pt idx="421">
                  <c:v>45176</c:v>
                </c:pt>
                <c:pt idx="422">
                  <c:v>45177</c:v>
                </c:pt>
                <c:pt idx="423">
                  <c:v>45180</c:v>
                </c:pt>
                <c:pt idx="424">
                  <c:v>45181</c:v>
                </c:pt>
                <c:pt idx="425">
                  <c:v>45182</c:v>
                </c:pt>
                <c:pt idx="426">
                  <c:v>45183</c:v>
                </c:pt>
                <c:pt idx="427">
                  <c:v>45184</c:v>
                </c:pt>
                <c:pt idx="428">
                  <c:v>45187</c:v>
                </c:pt>
                <c:pt idx="429">
                  <c:v>45188</c:v>
                </c:pt>
                <c:pt idx="430">
                  <c:v>45189</c:v>
                </c:pt>
                <c:pt idx="431">
                  <c:v>45190</c:v>
                </c:pt>
                <c:pt idx="432">
                  <c:v>45191</c:v>
                </c:pt>
                <c:pt idx="433">
                  <c:v>45194</c:v>
                </c:pt>
                <c:pt idx="434">
                  <c:v>45195</c:v>
                </c:pt>
                <c:pt idx="435">
                  <c:v>45196</c:v>
                </c:pt>
                <c:pt idx="436">
                  <c:v>45197</c:v>
                </c:pt>
                <c:pt idx="437">
                  <c:v>45198</c:v>
                </c:pt>
                <c:pt idx="438">
                  <c:v>45201</c:v>
                </c:pt>
                <c:pt idx="439">
                  <c:v>45202</c:v>
                </c:pt>
                <c:pt idx="440">
                  <c:v>45203</c:v>
                </c:pt>
                <c:pt idx="441">
                  <c:v>45204</c:v>
                </c:pt>
                <c:pt idx="442">
                  <c:v>45205</c:v>
                </c:pt>
                <c:pt idx="443">
                  <c:v>45208</c:v>
                </c:pt>
                <c:pt idx="444">
                  <c:v>45209</c:v>
                </c:pt>
                <c:pt idx="445">
                  <c:v>45210</c:v>
                </c:pt>
                <c:pt idx="446">
                  <c:v>45211</c:v>
                </c:pt>
                <c:pt idx="447">
                  <c:v>45212</c:v>
                </c:pt>
                <c:pt idx="448">
                  <c:v>45215</c:v>
                </c:pt>
                <c:pt idx="449">
                  <c:v>45216</c:v>
                </c:pt>
                <c:pt idx="450">
                  <c:v>45217</c:v>
                </c:pt>
                <c:pt idx="451">
                  <c:v>45218</c:v>
                </c:pt>
                <c:pt idx="452">
                  <c:v>45219</c:v>
                </c:pt>
                <c:pt idx="453">
                  <c:v>45222</c:v>
                </c:pt>
                <c:pt idx="454">
                  <c:v>45223</c:v>
                </c:pt>
                <c:pt idx="455">
                  <c:v>45224</c:v>
                </c:pt>
                <c:pt idx="456">
                  <c:v>45225</c:v>
                </c:pt>
                <c:pt idx="457">
                  <c:v>45226</c:v>
                </c:pt>
                <c:pt idx="458">
                  <c:v>45229</c:v>
                </c:pt>
                <c:pt idx="459">
                  <c:v>45230</c:v>
                </c:pt>
                <c:pt idx="460">
                  <c:v>45231</c:v>
                </c:pt>
                <c:pt idx="461">
                  <c:v>45232</c:v>
                </c:pt>
                <c:pt idx="462">
                  <c:v>45233</c:v>
                </c:pt>
                <c:pt idx="463">
                  <c:v>45236</c:v>
                </c:pt>
                <c:pt idx="464">
                  <c:v>45237</c:v>
                </c:pt>
                <c:pt idx="465">
                  <c:v>45238</c:v>
                </c:pt>
                <c:pt idx="466">
                  <c:v>45239</c:v>
                </c:pt>
                <c:pt idx="467">
                  <c:v>45240</c:v>
                </c:pt>
                <c:pt idx="468">
                  <c:v>45243</c:v>
                </c:pt>
                <c:pt idx="469">
                  <c:v>45244</c:v>
                </c:pt>
                <c:pt idx="470">
                  <c:v>45245</c:v>
                </c:pt>
                <c:pt idx="471">
                  <c:v>45246</c:v>
                </c:pt>
                <c:pt idx="472">
                  <c:v>45247</c:v>
                </c:pt>
                <c:pt idx="473">
                  <c:v>45250</c:v>
                </c:pt>
                <c:pt idx="474">
                  <c:v>45251</c:v>
                </c:pt>
                <c:pt idx="475">
                  <c:v>45252</c:v>
                </c:pt>
                <c:pt idx="476">
                  <c:v>45254</c:v>
                </c:pt>
                <c:pt idx="477">
                  <c:v>45257</c:v>
                </c:pt>
                <c:pt idx="478">
                  <c:v>45258</c:v>
                </c:pt>
                <c:pt idx="479">
                  <c:v>45259</c:v>
                </c:pt>
                <c:pt idx="480">
                  <c:v>45260</c:v>
                </c:pt>
                <c:pt idx="481">
                  <c:v>45261</c:v>
                </c:pt>
                <c:pt idx="482">
                  <c:v>45264</c:v>
                </c:pt>
                <c:pt idx="483">
                  <c:v>45265</c:v>
                </c:pt>
                <c:pt idx="484">
                  <c:v>45266</c:v>
                </c:pt>
                <c:pt idx="485">
                  <c:v>45267</c:v>
                </c:pt>
                <c:pt idx="486">
                  <c:v>45268</c:v>
                </c:pt>
                <c:pt idx="487">
                  <c:v>45271</c:v>
                </c:pt>
                <c:pt idx="488">
                  <c:v>45272</c:v>
                </c:pt>
                <c:pt idx="489">
                  <c:v>45273</c:v>
                </c:pt>
                <c:pt idx="490">
                  <c:v>45274</c:v>
                </c:pt>
                <c:pt idx="491">
                  <c:v>45275</c:v>
                </c:pt>
                <c:pt idx="492">
                  <c:v>45278</c:v>
                </c:pt>
                <c:pt idx="493">
                  <c:v>45279</c:v>
                </c:pt>
                <c:pt idx="494">
                  <c:v>45280</c:v>
                </c:pt>
                <c:pt idx="495">
                  <c:v>45281</c:v>
                </c:pt>
                <c:pt idx="496">
                  <c:v>45282</c:v>
                </c:pt>
                <c:pt idx="497">
                  <c:v>45286</c:v>
                </c:pt>
                <c:pt idx="498">
                  <c:v>45287</c:v>
                </c:pt>
                <c:pt idx="499">
                  <c:v>45288</c:v>
                </c:pt>
                <c:pt idx="500">
                  <c:v>45289</c:v>
                </c:pt>
                <c:pt idx="501">
                  <c:v>45293</c:v>
                </c:pt>
                <c:pt idx="502">
                  <c:v>45294</c:v>
                </c:pt>
                <c:pt idx="503">
                  <c:v>45295</c:v>
                </c:pt>
                <c:pt idx="504">
                  <c:v>45296</c:v>
                </c:pt>
                <c:pt idx="505">
                  <c:v>45299</c:v>
                </c:pt>
                <c:pt idx="506">
                  <c:v>45300</c:v>
                </c:pt>
                <c:pt idx="507">
                  <c:v>45301</c:v>
                </c:pt>
                <c:pt idx="508">
                  <c:v>45302</c:v>
                </c:pt>
                <c:pt idx="509">
                  <c:v>45303</c:v>
                </c:pt>
                <c:pt idx="510">
                  <c:v>45307</c:v>
                </c:pt>
                <c:pt idx="511">
                  <c:v>45308</c:v>
                </c:pt>
                <c:pt idx="512">
                  <c:v>45309</c:v>
                </c:pt>
                <c:pt idx="513">
                  <c:v>45310</c:v>
                </c:pt>
                <c:pt idx="514">
                  <c:v>45313</c:v>
                </c:pt>
                <c:pt idx="515">
                  <c:v>45314</c:v>
                </c:pt>
                <c:pt idx="516">
                  <c:v>45315</c:v>
                </c:pt>
                <c:pt idx="517">
                  <c:v>45316</c:v>
                </c:pt>
                <c:pt idx="518">
                  <c:v>45317</c:v>
                </c:pt>
                <c:pt idx="519">
                  <c:v>45320</c:v>
                </c:pt>
                <c:pt idx="520">
                  <c:v>45321</c:v>
                </c:pt>
                <c:pt idx="521">
                  <c:v>45322</c:v>
                </c:pt>
                <c:pt idx="522">
                  <c:v>45323</c:v>
                </c:pt>
                <c:pt idx="523">
                  <c:v>45324</c:v>
                </c:pt>
                <c:pt idx="524">
                  <c:v>45327</c:v>
                </c:pt>
                <c:pt idx="525">
                  <c:v>45328</c:v>
                </c:pt>
                <c:pt idx="526">
                  <c:v>45329</c:v>
                </c:pt>
                <c:pt idx="527">
                  <c:v>45330</c:v>
                </c:pt>
                <c:pt idx="528">
                  <c:v>45331</c:v>
                </c:pt>
                <c:pt idx="529">
                  <c:v>45334</c:v>
                </c:pt>
                <c:pt idx="530">
                  <c:v>45335</c:v>
                </c:pt>
                <c:pt idx="531">
                  <c:v>45336</c:v>
                </c:pt>
                <c:pt idx="532">
                  <c:v>45337</c:v>
                </c:pt>
                <c:pt idx="533">
                  <c:v>45338</c:v>
                </c:pt>
                <c:pt idx="534">
                  <c:v>45342</c:v>
                </c:pt>
                <c:pt idx="535">
                  <c:v>45343</c:v>
                </c:pt>
                <c:pt idx="536">
                  <c:v>45344</c:v>
                </c:pt>
                <c:pt idx="537">
                  <c:v>45345</c:v>
                </c:pt>
                <c:pt idx="538">
                  <c:v>45348</c:v>
                </c:pt>
                <c:pt idx="539">
                  <c:v>45349</c:v>
                </c:pt>
                <c:pt idx="540">
                  <c:v>45350</c:v>
                </c:pt>
                <c:pt idx="541">
                  <c:v>45351</c:v>
                </c:pt>
                <c:pt idx="542">
                  <c:v>45352</c:v>
                </c:pt>
                <c:pt idx="543">
                  <c:v>45355</c:v>
                </c:pt>
                <c:pt idx="544">
                  <c:v>45356</c:v>
                </c:pt>
                <c:pt idx="545">
                  <c:v>45357</c:v>
                </c:pt>
                <c:pt idx="546">
                  <c:v>45358</c:v>
                </c:pt>
                <c:pt idx="547">
                  <c:v>45359</c:v>
                </c:pt>
                <c:pt idx="548">
                  <c:v>45362</c:v>
                </c:pt>
                <c:pt idx="549">
                  <c:v>45363</c:v>
                </c:pt>
                <c:pt idx="550">
                  <c:v>45364</c:v>
                </c:pt>
                <c:pt idx="551">
                  <c:v>45365</c:v>
                </c:pt>
                <c:pt idx="552">
                  <c:v>45366</c:v>
                </c:pt>
                <c:pt idx="553">
                  <c:v>45369</c:v>
                </c:pt>
                <c:pt idx="554">
                  <c:v>45370</c:v>
                </c:pt>
                <c:pt idx="555">
                  <c:v>45371</c:v>
                </c:pt>
                <c:pt idx="556">
                  <c:v>45372</c:v>
                </c:pt>
                <c:pt idx="557">
                  <c:v>45373</c:v>
                </c:pt>
                <c:pt idx="558">
                  <c:v>45376</c:v>
                </c:pt>
                <c:pt idx="559">
                  <c:v>45377</c:v>
                </c:pt>
                <c:pt idx="560">
                  <c:v>45378</c:v>
                </c:pt>
                <c:pt idx="561">
                  <c:v>45379</c:v>
                </c:pt>
                <c:pt idx="562">
                  <c:v>45383</c:v>
                </c:pt>
                <c:pt idx="563">
                  <c:v>45384</c:v>
                </c:pt>
                <c:pt idx="564">
                  <c:v>45385</c:v>
                </c:pt>
                <c:pt idx="565">
                  <c:v>45386</c:v>
                </c:pt>
                <c:pt idx="566">
                  <c:v>45387</c:v>
                </c:pt>
                <c:pt idx="567">
                  <c:v>45390</c:v>
                </c:pt>
                <c:pt idx="568">
                  <c:v>45391</c:v>
                </c:pt>
                <c:pt idx="569">
                  <c:v>45392</c:v>
                </c:pt>
                <c:pt idx="570">
                  <c:v>45393</c:v>
                </c:pt>
                <c:pt idx="571">
                  <c:v>45394</c:v>
                </c:pt>
                <c:pt idx="572">
                  <c:v>45397</c:v>
                </c:pt>
                <c:pt idx="573">
                  <c:v>45398</c:v>
                </c:pt>
                <c:pt idx="574">
                  <c:v>45399</c:v>
                </c:pt>
                <c:pt idx="575">
                  <c:v>45400</c:v>
                </c:pt>
                <c:pt idx="576">
                  <c:v>45401</c:v>
                </c:pt>
                <c:pt idx="577">
                  <c:v>45404</c:v>
                </c:pt>
                <c:pt idx="578">
                  <c:v>45405</c:v>
                </c:pt>
                <c:pt idx="579">
                  <c:v>45406</c:v>
                </c:pt>
                <c:pt idx="580">
                  <c:v>45407</c:v>
                </c:pt>
                <c:pt idx="581">
                  <c:v>45408</c:v>
                </c:pt>
                <c:pt idx="582">
                  <c:v>45411</c:v>
                </c:pt>
                <c:pt idx="583">
                  <c:v>45412</c:v>
                </c:pt>
                <c:pt idx="584">
                  <c:v>45413</c:v>
                </c:pt>
                <c:pt idx="585">
                  <c:v>45414</c:v>
                </c:pt>
                <c:pt idx="586">
                  <c:v>45415</c:v>
                </c:pt>
                <c:pt idx="587">
                  <c:v>45418</c:v>
                </c:pt>
                <c:pt idx="588">
                  <c:v>45419</c:v>
                </c:pt>
                <c:pt idx="589">
                  <c:v>45420</c:v>
                </c:pt>
                <c:pt idx="590">
                  <c:v>45421</c:v>
                </c:pt>
                <c:pt idx="591">
                  <c:v>45422</c:v>
                </c:pt>
                <c:pt idx="592">
                  <c:v>45425</c:v>
                </c:pt>
                <c:pt idx="593">
                  <c:v>45426</c:v>
                </c:pt>
                <c:pt idx="594">
                  <c:v>45427</c:v>
                </c:pt>
                <c:pt idx="595">
                  <c:v>45428</c:v>
                </c:pt>
                <c:pt idx="596">
                  <c:v>45429</c:v>
                </c:pt>
                <c:pt idx="597">
                  <c:v>45432</c:v>
                </c:pt>
                <c:pt idx="598">
                  <c:v>45433</c:v>
                </c:pt>
                <c:pt idx="599">
                  <c:v>45434</c:v>
                </c:pt>
                <c:pt idx="600">
                  <c:v>45435</c:v>
                </c:pt>
                <c:pt idx="601">
                  <c:v>45436</c:v>
                </c:pt>
                <c:pt idx="602">
                  <c:v>45440</c:v>
                </c:pt>
                <c:pt idx="603">
                  <c:v>45441</c:v>
                </c:pt>
                <c:pt idx="604">
                  <c:v>45442</c:v>
                </c:pt>
                <c:pt idx="605">
                  <c:v>45443</c:v>
                </c:pt>
                <c:pt idx="606">
                  <c:v>45446</c:v>
                </c:pt>
                <c:pt idx="607">
                  <c:v>45447</c:v>
                </c:pt>
                <c:pt idx="608">
                  <c:v>45448</c:v>
                </c:pt>
                <c:pt idx="609">
                  <c:v>45449</c:v>
                </c:pt>
                <c:pt idx="610">
                  <c:v>45450</c:v>
                </c:pt>
                <c:pt idx="611">
                  <c:v>45453</c:v>
                </c:pt>
                <c:pt idx="612">
                  <c:v>45454</c:v>
                </c:pt>
                <c:pt idx="613">
                  <c:v>45455</c:v>
                </c:pt>
                <c:pt idx="614">
                  <c:v>45456</c:v>
                </c:pt>
                <c:pt idx="615">
                  <c:v>45457</c:v>
                </c:pt>
                <c:pt idx="616">
                  <c:v>45460</c:v>
                </c:pt>
                <c:pt idx="617">
                  <c:v>45461</c:v>
                </c:pt>
                <c:pt idx="618">
                  <c:v>45463</c:v>
                </c:pt>
                <c:pt idx="619">
                  <c:v>45464</c:v>
                </c:pt>
                <c:pt idx="620">
                  <c:v>45467</c:v>
                </c:pt>
                <c:pt idx="621">
                  <c:v>45468</c:v>
                </c:pt>
                <c:pt idx="622">
                  <c:v>45469</c:v>
                </c:pt>
                <c:pt idx="623">
                  <c:v>45470</c:v>
                </c:pt>
                <c:pt idx="624">
                  <c:v>45471</c:v>
                </c:pt>
                <c:pt idx="625">
                  <c:v>45474</c:v>
                </c:pt>
                <c:pt idx="626">
                  <c:v>45475</c:v>
                </c:pt>
                <c:pt idx="627">
                  <c:v>45476</c:v>
                </c:pt>
                <c:pt idx="628">
                  <c:v>45478</c:v>
                </c:pt>
                <c:pt idx="629">
                  <c:v>45481</c:v>
                </c:pt>
                <c:pt idx="630">
                  <c:v>45482</c:v>
                </c:pt>
                <c:pt idx="631">
                  <c:v>45483</c:v>
                </c:pt>
                <c:pt idx="632">
                  <c:v>45484</c:v>
                </c:pt>
                <c:pt idx="633">
                  <c:v>45485</c:v>
                </c:pt>
                <c:pt idx="634">
                  <c:v>45488</c:v>
                </c:pt>
                <c:pt idx="635">
                  <c:v>45489</c:v>
                </c:pt>
                <c:pt idx="636">
                  <c:v>45490</c:v>
                </c:pt>
                <c:pt idx="637">
                  <c:v>45491</c:v>
                </c:pt>
                <c:pt idx="638">
                  <c:v>45492</c:v>
                </c:pt>
                <c:pt idx="639">
                  <c:v>45495</c:v>
                </c:pt>
                <c:pt idx="640">
                  <c:v>45496</c:v>
                </c:pt>
                <c:pt idx="641">
                  <c:v>45497</c:v>
                </c:pt>
                <c:pt idx="642">
                  <c:v>45498</c:v>
                </c:pt>
                <c:pt idx="643">
                  <c:v>45499</c:v>
                </c:pt>
                <c:pt idx="644">
                  <c:v>45502</c:v>
                </c:pt>
                <c:pt idx="645">
                  <c:v>45503</c:v>
                </c:pt>
                <c:pt idx="646">
                  <c:v>45504</c:v>
                </c:pt>
                <c:pt idx="647">
                  <c:v>45505</c:v>
                </c:pt>
                <c:pt idx="648">
                  <c:v>45506</c:v>
                </c:pt>
                <c:pt idx="649">
                  <c:v>45509</c:v>
                </c:pt>
                <c:pt idx="650">
                  <c:v>45510</c:v>
                </c:pt>
                <c:pt idx="651">
                  <c:v>45511</c:v>
                </c:pt>
                <c:pt idx="652">
                  <c:v>45512</c:v>
                </c:pt>
                <c:pt idx="653">
                  <c:v>45513</c:v>
                </c:pt>
                <c:pt idx="654">
                  <c:v>45516</c:v>
                </c:pt>
                <c:pt idx="655">
                  <c:v>45517</c:v>
                </c:pt>
                <c:pt idx="656">
                  <c:v>45518</c:v>
                </c:pt>
                <c:pt idx="657">
                  <c:v>45519</c:v>
                </c:pt>
                <c:pt idx="658">
                  <c:v>45520</c:v>
                </c:pt>
                <c:pt idx="659">
                  <c:v>45523</c:v>
                </c:pt>
                <c:pt idx="660">
                  <c:v>45524</c:v>
                </c:pt>
                <c:pt idx="661">
                  <c:v>45525</c:v>
                </c:pt>
                <c:pt idx="662">
                  <c:v>45526</c:v>
                </c:pt>
                <c:pt idx="663">
                  <c:v>45527</c:v>
                </c:pt>
                <c:pt idx="664">
                  <c:v>45530</c:v>
                </c:pt>
                <c:pt idx="665">
                  <c:v>45531</c:v>
                </c:pt>
                <c:pt idx="666">
                  <c:v>45532</c:v>
                </c:pt>
                <c:pt idx="667">
                  <c:v>45533</c:v>
                </c:pt>
                <c:pt idx="668">
                  <c:v>45534</c:v>
                </c:pt>
                <c:pt idx="669">
                  <c:v>45538</c:v>
                </c:pt>
                <c:pt idx="670">
                  <c:v>45539</c:v>
                </c:pt>
                <c:pt idx="671">
                  <c:v>45540</c:v>
                </c:pt>
                <c:pt idx="672">
                  <c:v>45541</c:v>
                </c:pt>
                <c:pt idx="673">
                  <c:v>45544</c:v>
                </c:pt>
                <c:pt idx="674">
                  <c:v>45545</c:v>
                </c:pt>
                <c:pt idx="675">
                  <c:v>45546</c:v>
                </c:pt>
                <c:pt idx="676">
                  <c:v>45547</c:v>
                </c:pt>
                <c:pt idx="677">
                  <c:v>45548</c:v>
                </c:pt>
                <c:pt idx="678">
                  <c:v>45551</c:v>
                </c:pt>
                <c:pt idx="679">
                  <c:v>45552</c:v>
                </c:pt>
                <c:pt idx="680">
                  <c:v>45553</c:v>
                </c:pt>
                <c:pt idx="681">
                  <c:v>45554</c:v>
                </c:pt>
                <c:pt idx="682">
                  <c:v>45555</c:v>
                </c:pt>
                <c:pt idx="683">
                  <c:v>45558</c:v>
                </c:pt>
                <c:pt idx="684">
                  <c:v>45559</c:v>
                </c:pt>
                <c:pt idx="685">
                  <c:v>45560</c:v>
                </c:pt>
                <c:pt idx="686">
                  <c:v>45561</c:v>
                </c:pt>
                <c:pt idx="687">
                  <c:v>45562</c:v>
                </c:pt>
                <c:pt idx="688">
                  <c:v>45565</c:v>
                </c:pt>
                <c:pt idx="689">
                  <c:v>45566</c:v>
                </c:pt>
                <c:pt idx="690">
                  <c:v>45567</c:v>
                </c:pt>
                <c:pt idx="691">
                  <c:v>45568</c:v>
                </c:pt>
                <c:pt idx="692">
                  <c:v>45569</c:v>
                </c:pt>
                <c:pt idx="693">
                  <c:v>45572</c:v>
                </c:pt>
                <c:pt idx="694">
                  <c:v>45573</c:v>
                </c:pt>
                <c:pt idx="695">
                  <c:v>45574</c:v>
                </c:pt>
                <c:pt idx="696">
                  <c:v>45575</c:v>
                </c:pt>
                <c:pt idx="697">
                  <c:v>45576</c:v>
                </c:pt>
                <c:pt idx="698">
                  <c:v>45579</c:v>
                </c:pt>
                <c:pt idx="699">
                  <c:v>45580</c:v>
                </c:pt>
                <c:pt idx="700">
                  <c:v>45581</c:v>
                </c:pt>
                <c:pt idx="701">
                  <c:v>45582</c:v>
                </c:pt>
                <c:pt idx="702">
                  <c:v>45583</c:v>
                </c:pt>
                <c:pt idx="703">
                  <c:v>45586</c:v>
                </c:pt>
                <c:pt idx="704">
                  <c:v>45587</c:v>
                </c:pt>
                <c:pt idx="705">
                  <c:v>45588</c:v>
                </c:pt>
                <c:pt idx="706">
                  <c:v>45589</c:v>
                </c:pt>
                <c:pt idx="707">
                  <c:v>45590</c:v>
                </c:pt>
                <c:pt idx="708">
                  <c:v>45593</c:v>
                </c:pt>
                <c:pt idx="709">
                  <c:v>45594</c:v>
                </c:pt>
                <c:pt idx="710">
                  <c:v>45595</c:v>
                </c:pt>
                <c:pt idx="711">
                  <c:v>45596</c:v>
                </c:pt>
                <c:pt idx="712">
                  <c:v>45597</c:v>
                </c:pt>
                <c:pt idx="713">
                  <c:v>45600</c:v>
                </c:pt>
                <c:pt idx="714">
                  <c:v>45601</c:v>
                </c:pt>
                <c:pt idx="715">
                  <c:v>45602</c:v>
                </c:pt>
                <c:pt idx="716">
                  <c:v>45603</c:v>
                </c:pt>
                <c:pt idx="717">
                  <c:v>45604</c:v>
                </c:pt>
                <c:pt idx="718">
                  <c:v>45607</c:v>
                </c:pt>
                <c:pt idx="719">
                  <c:v>45608</c:v>
                </c:pt>
                <c:pt idx="720">
                  <c:v>45609</c:v>
                </c:pt>
                <c:pt idx="721">
                  <c:v>45610</c:v>
                </c:pt>
                <c:pt idx="722">
                  <c:v>45611</c:v>
                </c:pt>
                <c:pt idx="723">
                  <c:v>45614</c:v>
                </c:pt>
                <c:pt idx="724">
                  <c:v>45615</c:v>
                </c:pt>
                <c:pt idx="725">
                  <c:v>45616</c:v>
                </c:pt>
                <c:pt idx="726">
                  <c:v>45617</c:v>
                </c:pt>
                <c:pt idx="727">
                  <c:v>45618</c:v>
                </c:pt>
                <c:pt idx="728">
                  <c:v>45621</c:v>
                </c:pt>
                <c:pt idx="729">
                  <c:v>45622</c:v>
                </c:pt>
                <c:pt idx="730">
                  <c:v>45623</c:v>
                </c:pt>
                <c:pt idx="731">
                  <c:v>45625</c:v>
                </c:pt>
                <c:pt idx="732">
                  <c:v>45628</c:v>
                </c:pt>
                <c:pt idx="733">
                  <c:v>45629</c:v>
                </c:pt>
                <c:pt idx="734">
                  <c:v>45630</c:v>
                </c:pt>
                <c:pt idx="735">
                  <c:v>45631</c:v>
                </c:pt>
                <c:pt idx="736">
                  <c:v>45632</c:v>
                </c:pt>
                <c:pt idx="737">
                  <c:v>45635</c:v>
                </c:pt>
                <c:pt idx="738">
                  <c:v>45636</c:v>
                </c:pt>
                <c:pt idx="739">
                  <c:v>45637</c:v>
                </c:pt>
                <c:pt idx="740">
                  <c:v>45638</c:v>
                </c:pt>
                <c:pt idx="741">
                  <c:v>45639</c:v>
                </c:pt>
                <c:pt idx="742">
                  <c:v>45642</c:v>
                </c:pt>
                <c:pt idx="743">
                  <c:v>45643</c:v>
                </c:pt>
                <c:pt idx="744">
                  <c:v>45644</c:v>
                </c:pt>
                <c:pt idx="745">
                  <c:v>45645</c:v>
                </c:pt>
                <c:pt idx="746">
                  <c:v>45646</c:v>
                </c:pt>
                <c:pt idx="747">
                  <c:v>45649</c:v>
                </c:pt>
                <c:pt idx="748">
                  <c:v>45650</c:v>
                </c:pt>
                <c:pt idx="749">
                  <c:v>45652</c:v>
                </c:pt>
                <c:pt idx="750">
                  <c:v>45653</c:v>
                </c:pt>
                <c:pt idx="751">
                  <c:v>45656</c:v>
                </c:pt>
                <c:pt idx="752">
                  <c:v>45657</c:v>
                </c:pt>
                <c:pt idx="753">
                  <c:v>45659</c:v>
                </c:pt>
                <c:pt idx="754">
                  <c:v>45660</c:v>
                </c:pt>
                <c:pt idx="755">
                  <c:v>45663</c:v>
                </c:pt>
                <c:pt idx="756">
                  <c:v>45664</c:v>
                </c:pt>
                <c:pt idx="757">
                  <c:v>45665</c:v>
                </c:pt>
                <c:pt idx="758">
                  <c:v>45667</c:v>
                </c:pt>
                <c:pt idx="759">
                  <c:v>45670</c:v>
                </c:pt>
                <c:pt idx="760">
                  <c:v>45671</c:v>
                </c:pt>
                <c:pt idx="761">
                  <c:v>45672</c:v>
                </c:pt>
                <c:pt idx="762">
                  <c:v>45673</c:v>
                </c:pt>
                <c:pt idx="763">
                  <c:v>45674</c:v>
                </c:pt>
                <c:pt idx="764">
                  <c:v>45678</c:v>
                </c:pt>
                <c:pt idx="765">
                  <c:v>45679</c:v>
                </c:pt>
                <c:pt idx="766">
                  <c:v>45680</c:v>
                </c:pt>
                <c:pt idx="767">
                  <c:v>45681</c:v>
                </c:pt>
                <c:pt idx="768">
                  <c:v>45684</c:v>
                </c:pt>
                <c:pt idx="769">
                  <c:v>45685</c:v>
                </c:pt>
                <c:pt idx="770">
                  <c:v>45686</c:v>
                </c:pt>
                <c:pt idx="771">
                  <c:v>45687</c:v>
                </c:pt>
                <c:pt idx="772">
                  <c:v>45688</c:v>
                </c:pt>
                <c:pt idx="773">
                  <c:v>45691</c:v>
                </c:pt>
                <c:pt idx="774">
                  <c:v>45692</c:v>
                </c:pt>
                <c:pt idx="775">
                  <c:v>45693</c:v>
                </c:pt>
                <c:pt idx="776">
                  <c:v>45694</c:v>
                </c:pt>
                <c:pt idx="777">
                  <c:v>45695</c:v>
                </c:pt>
                <c:pt idx="778">
                  <c:v>45698</c:v>
                </c:pt>
                <c:pt idx="779">
                  <c:v>45699</c:v>
                </c:pt>
                <c:pt idx="780">
                  <c:v>45700</c:v>
                </c:pt>
                <c:pt idx="781">
                  <c:v>45701</c:v>
                </c:pt>
                <c:pt idx="782">
                  <c:v>45702</c:v>
                </c:pt>
                <c:pt idx="783">
                  <c:v>45706</c:v>
                </c:pt>
                <c:pt idx="784">
                  <c:v>45707</c:v>
                </c:pt>
                <c:pt idx="785">
                  <c:v>45708</c:v>
                </c:pt>
                <c:pt idx="786">
                  <c:v>45709</c:v>
                </c:pt>
                <c:pt idx="787">
                  <c:v>45712</c:v>
                </c:pt>
                <c:pt idx="788">
                  <c:v>45713</c:v>
                </c:pt>
                <c:pt idx="789">
                  <c:v>45714</c:v>
                </c:pt>
                <c:pt idx="790">
                  <c:v>45715</c:v>
                </c:pt>
                <c:pt idx="791">
                  <c:v>45716</c:v>
                </c:pt>
                <c:pt idx="792">
                  <c:v>45719</c:v>
                </c:pt>
                <c:pt idx="793">
                  <c:v>45720</c:v>
                </c:pt>
                <c:pt idx="794">
                  <c:v>45721</c:v>
                </c:pt>
                <c:pt idx="795">
                  <c:v>45722</c:v>
                </c:pt>
                <c:pt idx="796">
                  <c:v>45723</c:v>
                </c:pt>
                <c:pt idx="797">
                  <c:v>45726</c:v>
                </c:pt>
                <c:pt idx="798">
                  <c:v>45727</c:v>
                </c:pt>
                <c:pt idx="799">
                  <c:v>45728</c:v>
                </c:pt>
                <c:pt idx="800">
                  <c:v>45729</c:v>
                </c:pt>
                <c:pt idx="801">
                  <c:v>45730</c:v>
                </c:pt>
                <c:pt idx="802">
                  <c:v>45733</c:v>
                </c:pt>
                <c:pt idx="803">
                  <c:v>45734</c:v>
                </c:pt>
                <c:pt idx="804">
                  <c:v>45735</c:v>
                </c:pt>
                <c:pt idx="805">
                  <c:v>45736</c:v>
                </c:pt>
                <c:pt idx="806">
                  <c:v>45737</c:v>
                </c:pt>
                <c:pt idx="807">
                  <c:v>45740</c:v>
                </c:pt>
                <c:pt idx="808">
                  <c:v>45741</c:v>
                </c:pt>
                <c:pt idx="809">
                  <c:v>45742</c:v>
                </c:pt>
                <c:pt idx="810">
                  <c:v>45743</c:v>
                </c:pt>
                <c:pt idx="811">
                  <c:v>45744</c:v>
                </c:pt>
                <c:pt idx="812">
                  <c:v>45747</c:v>
                </c:pt>
                <c:pt idx="813">
                  <c:v>45748</c:v>
                </c:pt>
                <c:pt idx="814">
                  <c:v>45749</c:v>
                </c:pt>
                <c:pt idx="815">
                  <c:v>45750</c:v>
                </c:pt>
                <c:pt idx="816">
                  <c:v>45751</c:v>
                </c:pt>
                <c:pt idx="817">
                  <c:v>45754</c:v>
                </c:pt>
                <c:pt idx="818">
                  <c:v>45755</c:v>
                </c:pt>
                <c:pt idx="819">
                  <c:v>45756</c:v>
                </c:pt>
                <c:pt idx="820">
                  <c:v>45757</c:v>
                </c:pt>
                <c:pt idx="821">
                  <c:v>45758</c:v>
                </c:pt>
                <c:pt idx="822">
                  <c:v>45761</c:v>
                </c:pt>
                <c:pt idx="823">
                  <c:v>45762</c:v>
                </c:pt>
                <c:pt idx="824">
                  <c:v>45763</c:v>
                </c:pt>
                <c:pt idx="825">
                  <c:v>45764</c:v>
                </c:pt>
                <c:pt idx="826">
                  <c:v>45768</c:v>
                </c:pt>
                <c:pt idx="827">
                  <c:v>45769</c:v>
                </c:pt>
                <c:pt idx="828">
                  <c:v>45770</c:v>
                </c:pt>
                <c:pt idx="829">
                  <c:v>45771</c:v>
                </c:pt>
                <c:pt idx="830">
                  <c:v>45772</c:v>
                </c:pt>
                <c:pt idx="831">
                  <c:v>45775</c:v>
                </c:pt>
                <c:pt idx="832">
                  <c:v>45776</c:v>
                </c:pt>
                <c:pt idx="833">
                  <c:v>45777</c:v>
                </c:pt>
                <c:pt idx="834">
                  <c:v>45778</c:v>
                </c:pt>
                <c:pt idx="835">
                  <c:v>45779</c:v>
                </c:pt>
                <c:pt idx="836">
                  <c:v>45782</c:v>
                </c:pt>
                <c:pt idx="837">
                  <c:v>45783</c:v>
                </c:pt>
                <c:pt idx="838">
                  <c:v>45784</c:v>
                </c:pt>
                <c:pt idx="839">
                  <c:v>45785</c:v>
                </c:pt>
                <c:pt idx="840">
                  <c:v>45786</c:v>
                </c:pt>
                <c:pt idx="841">
                  <c:v>45789</c:v>
                </c:pt>
                <c:pt idx="842">
                  <c:v>45790</c:v>
                </c:pt>
                <c:pt idx="843">
                  <c:v>45791</c:v>
                </c:pt>
                <c:pt idx="844">
                  <c:v>45792</c:v>
                </c:pt>
                <c:pt idx="845">
                  <c:v>45793</c:v>
                </c:pt>
                <c:pt idx="846">
                  <c:v>45796</c:v>
                </c:pt>
                <c:pt idx="847">
                  <c:v>45797</c:v>
                </c:pt>
                <c:pt idx="848">
                  <c:v>45798</c:v>
                </c:pt>
                <c:pt idx="849">
                  <c:v>45799</c:v>
                </c:pt>
                <c:pt idx="850">
                  <c:v>45800</c:v>
                </c:pt>
                <c:pt idx="851">
                  <c:v>45804</c:v>
                </c:pt>
                <c:pt idx="852">
                  <c:v>45805</c:v>
                </c:pt>
                <c:pt idx="853">
                  <c:v>45806</c:v>
                </c:pt>
                <c:pt idx="854">
                  <c:v>45807</c:v>
                </c:pt>
                <c:pt idx="855">
                  <c:v>45810</c:v>
                </c:pt>
                <c:pt idx="856">
                  <c:v>45811</c:v>
                </c:pt>
                <c:pt idx="857">
                  <c:v>45812</c:v>
                </c:pt>
                <c:pt idx="858">
                  <c:v>45813</c:v>
                </c:pt>
                <c:pt idx="859">
                  <c:v>45814</c:v>
                </c:pt>
                <c:pt idx="860">
                  <c:v>45817</c:v>
                </c:pt>
                <c:pt idx="861">
                  <c:v>45818</c:v>
                </c:pt>
                <c:pt idx="862">
                  <c:v>45819</c:v>
                </c:pt>
                <c:pt idx="863">
                  <c:v>45820</c:v>
                </c:pt>
                <c:pt idx="864">
                  <c:v>45821</c:v>
                </c:pt>
                <c:pt idx="865">
                  <c:v>45824</c:v>
                </c:pt>
                <c:pt idx="866">
                  <c:v>45825</c:v>
                </c:pt>
                <c:pt idx="867">
                  <c:v>45826</c:v>
                </c:pt>
                <c:pt idx="868">
                  <c:v>45828</c:v>
                </c:pt>
                <c:pt idx="869">
                  <c:v>45831</c:v>
                </c:pt>
                <c:pt idx="870">
                  <c:v>45832</c:v>
                </c:pt>
                <c:pt idx="871">
                  <c:v>45833</c:v>
                </c:pt>
                <c:pt idx="872">
                  <c:v>45834</c:v>
                </c:pt>
                <c:pt idx="873">
                  <c:v>45835</c:v>
                </c:pt>
                <c:pt idx="874">
                  <c:v>45838</c:v>
                </c:pt>
                <c:pt idx="875">
                  <c:v>45839</c:v>
                </c:pt>
                <c:pt idx="876">
                  <c:v>45840</c:v>
                </c:pt>
                <c:pt idx="877">
                  <c:v>45841</c:v>
                </c:pt>
                <c:pt idx="878">
                  <c:v>45845</c:v>
                </c:pt>
                <c:pt idx="879">
                  <c:v>45846</c:v>
                </c:pt>
                <c:pt idx="880">
                  <c:v>45847</c:v>
                </c:pt>
                <c:pt idx="881">
                  <c:v>45848</c:v>
                </c:pt>
                <c:pt idx="882">
                  <c:v>45849</c:v>
                </c:pt>
                <c:pt idx="883">
                  <c:v>45852</c:v>
                </c:pt>
                <c:pt idx="884">
                  <c:v>45853</c:v>
                </c:pt>
                <c:pt idx="885">
                  <c:v>45854</c:v>
                </c:pt>
                <c:pt idx="886">
                  <c:v>45855</c:v>
                </c:pt>
                <c:pt idx="887">
                  <c:v>45856</c:v>
                </c:pt>
                <c:pt idx="888">
                  <c:v>45859</c:v>
                </c:pt>
                <c:pt idx="889">
                  <c:v>45860</c:v>
                </c:pt>
                <c:pt idx="890">
                  <c:v>45861</c:v>
                </c:pt>
                <c:pt idx="891">
                  <c:v>45862</c:v>
                </c:pt>
                <c:pt idx="892">
                  <c:v>45863</c:v>
                </c:pt>
                <c:pt idx="893">
                  <c:v>45866</c:v>
                </c:pt>
                <c:pt idx="894">
                  <c:v>45867</c:v>
                </c:pt>
                <c:pt idx="895">
                  <c:v>45868</c:v>
                </c:pt>
                <c:pt idx="896">
                  <c:v>45869</c:v>
                </c:pt>
                <c:pt idx="897">
                  <c:v>45870</c:v>
                </c:pt>
                <c:pt idx="898">
                  <c:v>45873</c:v>
                </c:pt>
                <c:pt idx="899">
                  <c:v>45874</c:v>
                </c:pt>
                <c:pt idx="900">
                  <c:v>45875</c:v>
                </c:pt>
                <c:pt idx="901">
                  <c:v>45876</c:v>
                </c:pt>
                <c:pt idx="902">
                  <c:v>45877</c:v>
                </c:pt>
                <c:pt idx="903">
                  <c:v>45880</c:v>
                </c:pt>
                <c:pt idx="904">
                  <c:v>45881</c:v>
                </c:pt>
                <c:pt idx="905">
                  <c:v>45882</c:v>
                </c:pt>
                <c:pt idx="906">
                  <c:v>45883</c:v>
                </c:pt>
                <c:pt idx="907">
                  <c:v>45884</c:v>
                </c:pt>
                <c:pt idx="908">
                  <c:v>45887</c:v>
                </c:pt>
                <c:pt idx="909">
                  <c:v>45888</c:v>
                </c:pt>
                <c:pt idx="910">
                  <c:v>45889</c:v>
                </c:pt>
                <c:pt idx="911">
                  <c:v>45890</c:v>
                </c:pt>
                <c:pt idx="912">
                  <c:v>45891</c:v>
                </c:pt>
                <c:pt idx="913">
                  <c:v>45894</c:v>
                </c:pt>
                <c:pt idx="914">
                  <c:v>45895</c:v>
                </c:pt>
                <c:pt idx="915">
                  <c:v>45896</c:v>
                </c:pt>
                <c:pt idx="916">
                  <c:v>45897</c:v>
                </c:pt>
                <c:pt idx="917">
                  <c:v>45898</c:v>
                </c:pt>
                <c:pt idx="918">
                  <c:v>45902</c:v>
                </c:pt>
                <c:pt idx="919">
                  <c:v>45903</c:v>
                </c:pt>
                <c:pt idx="920">
                  <c:v>45904</c:v>
                </c:pt>
                <c:pt idx="921">
                  <c:v>45905</c:v>
                </c:pt>
                <c:pt idx="922">
                  <c:v>45908</c:v>
                </c:pt>
                <c:pt idx="923">
                  <c:v>45909</c:v>
                </c:pt>
                <c:pt idx="924">
                  <c:v>45910</c:v>
                </c:pt>
                <c:pt idx="925">
                  <c:v>45911</c:v>
                </c:pt>
                <c:pt idx="926">
                  <c:v>45912</c:v>
                </c:pt>
                <c:pt idx="927">
                  <c:v>45915</c:v>
                </c:pt>
                <c:pt idx="928">
                  <c:v>45916</c:v>
                </c:pt>
                <c:pt idx="929">
                  <c:v>45917</c:v>
                </c:pt>
                <c:pt idx="930">
                  <c:v>45918</c:v>
                </c:pt>
                <c:pt idx="931">
                  <c:v>45919</c:v>
                </c:pt>
                <c:pt idx="932">
                  <c:v>45922</c:v>
                </c:pt>
                <c:pt idx="933">
                  <c:v>45923</c:v>
                </c:pt>
                <c:pt idx="934">
                  <c:v>45924</c:v>
                </c:pt>
                <c:pt idx="935">
                  <c:v>45925</c:v>
                </c:pt>
                <c:pt idx="936">
                  <c:v>45926</c:v>
                </c:pt>
                <c:pt idx="937">
                  <c:v>45929</c:v>
                </c:pt>
                <c:pt idx="938">
                  <c:v>45930</c:v>
                </c:pt>
                <c:pt idx="939">
                  <c:v>45931</c:v>
                </c:pt>
                <c:pt idx="940">
                  <c:v>45932</c:v>
                </c:pt>
                <c:pt idx="941">
                  <c:v>45933</c:v>
                </c:pt>
                <c:pt idx="942">
                  <c:v>45936</c:v>
                </c:pt>
                <c:pt idx="943">
                  <c:v>45937</c:v>
                </c:pt>
                <c:pt idx="944">
                  <c:v>45938</c:v>
                </c:pt>
                <c:pt idx="945">
                  <c:v>45939</c:v>
                </c:pt>
                <c:pt idx="946">
                  <c:v>45940</c:v>
                </c:pt>
                <c:pt idx="947">
                  <c:v>45943</c:v>
                </c:pt>
                <c:pt idx="948">
                  <c:v>45944</c:v>
                </c:pt>
                <c:pt idx="949">
                  <c:v>45945</c:v>
                </c:pt>
                <c:pt idx="950">
                  <c:v>45946</c:v>
                </c:pt>
                <c:pt idx="951">
                  <c:v>45947</c:v>
                </c:pt>
                <c:pt idx="952">
                  <c:v>45950</c:v>
                </c:pt>
                <c:pt idx="953">
                  <c:v>45951</c:v>
                </c:pt>
                <c:pt idx="954">
                  <c:v>45952</c:v>
                </c:pt>
                <c:pt idx="955">
                  <c:v>45953</c:v>
                </c:pt>
                <c:pt idx="956">
                  <c:v>45954</c:v>
                </c:pt>
                <c:pt idx="957">
                  <c:v>45957</c:v>
                </c:pt>
                <c:pt idx="958">
                  <c:v>45958</c:v>
                </c:pt>
                <c:pt idx="959">
                  <c:v>45959</c:v>
                </c:pt>
                <c:pt idx="960">
                  <c:v>45960</c:v>
                </c:pt>
                <c:pt idx="961">
                  <c:v>45961</c:v>
                </c:pt>
                <c:pt idx="962">
                  <c:v>45964</c:v>
                </c:pt>
                <c:pt idx="963">
                  <c:v>45965</c:v>
                </c:pt>
                <c:pt idx="964">
                  <c:v>45966</c:v>
                </c:pt>
                <c:pt idx="965">
                  <c:v>45967</c:v>
                </c:pt>
                <c:pt idx="966">
                  <c:v>45968</c:v>
                </c:pt>
                <c:pt idx="967">
                  <c:v>45971</c:v>
                </c:pt>
                <c:pt idx="968">
                  <c:v>45972</c:v>
                </c:pt>
                <c:pt idx="969">
                  <c:v>45973</c:v>
                </c:pt>
                <c:pt idx="970">
                  <c:v>45974</c:v>
                </c:pt>
                <c:pt idx="971">
                  <c:v>45975</c:v>
                </c:pt>
                <c:pt idx="972">
                  <c:v>45978</c:v>
                </c:pt>
                <c:pt idx="973">
                  <c:v>45979</c:v>
                </c:pt>
                <c:pt idx="974">
                  <c:v>45980</c:v>
                </c:pt>
                <c:pt idx="975">
                  <c:v>45981</c:v>
                </c:pt>
                <c:pt idx="976">
                  <c:v>45982</c:v>
                </c:pt>
                <c:pt idx="977">
                  <c:v>45985</c:v>
                </c:pt>
                <c:pt idx="978">
                  <c:v>45986</c:v>
                </c:pt>
                <c:pt idx="979">
                  <c:v>45987</c:v>
                </c:pt>
                <c:pt idx="980">
                  <c:v>45989</c:v>
                </c:pt>
                <c:pt idx="981">
                  <c:v>45992</c:v>
                </c:pt>
                <c:pt idx="982">
                  <c:v>45993</c:v>
                </c:pt>
                <c:pt idx="983">
                  <c:v>45994</c:v>
                </c:pt>
                <c:pt idx="984">
                  <c:v>45995</c:v>
                </c:pt>
                <c:pt idx="985">
                  <c:v>45996</c:v>
                </c:pt>
                <c:pt idx="986">
                  <c:v>45999</c:v>
                </c:pt>
                <c:pt idx="987">
                  <c:v>46000</c:v>
                </c:pt>
                <c:pt idx="988">
                  <c:v>46001</c:v>
                </c:pt>
                <c:pt idx="989">
                  <c:v>46002</c:v>
                </c:pt>
                <c:pt idx="990">
                  <c:v>46003</c:v>
                </c:pt>
                <c:pt idx="991">
                  <c:v>46006</c:v>
                </c:pt>
                <c:pt idx="992">
                  <c:v>46007</c:v>
                </c:pt>
                <c:pt idx="993">
                  <c:v>46008</c:v>
                </c:pt>
                <c:pt idx="994">
                  <c:v>46009</c:v>
                </c:pt>
                <c:pt idx="995">
                  <c:v>46010</c:v>
                </c:pt>
                <c:pt idx="996">
                  <c:v>46013</c:v>
                </c:pt>
                <c:pt idx="997">
                  <c:v>46014</c:v>
                </c:pt>
                <c:pt idx="998">
                  <c:v>46015</c:v>
                </c:pt>
                <c:pt idx="999">
                  <c:v>46017</c:v>
                </c:pt>
                <c:pt idx="1000">
                  <c:v>46020</c:v>
                </c:pt>
                <c:pt idx="1001">
                  <c:v>46021</c:v>
                </c:pt>
                <c:pt idx="1002">
                  <c:v>46022</c:v>
                </c:pt>
                <c:pt idx="1003">
                  <c:v>46024</c:v>
                </c:pt>
                <c:pt idx="1004">
                  <c:v>46027</c:v>
                </c:pt>
                <c:pt idx="1005">
                  <c:v>46028</c:v>
                </c:pt>
                <c:pt idx="1006">
                  <c:v>46029</c:v>
                </c:pt>
                <c:pt idx="1007">
                  <c:v>46030</c:v>
                </c:pt>
                <c:pt idx="1008">
                  <c:v>46031</c:v>
                </c:pt>
                <c:pt idx="1009">
                  <c:v>46034</c:v>
                </c:pt>
                <c:pt idx="1010">
                  <c:v>46035</c:v>
                </c:pt>
                <c:pt idx="1011">
                  <c:v>46036</c:v>
                </c:pt>
                <c:pt idx="1012">
                  <c:v>46037</c:v>
                </c:pt>
                <c:pt idx="1013">
                  <c:v>46038</c:v>
                </c:pt>
                <c:pt idx="1014">
                  <c:v>46042</c:v>
                </c:pt>
                <c:pt idx="1015">
                  <c:v>46043</c:v>
                </c:pt>
                <c:pt idx="1016">
                  <c:v>46044</c:v>
                </c:pt>
                <c:pt idx="1017">
                  <c:v>46045</c:v>
                </c:pt>
                <c:pt idx="1018">
                  <c:v>46048</c:v>
                </c:pt>
                <c:pt idx="1019">
                  <c:v>46049</c:v>
                </c:pt>
                <c:pt idx="1020">
                  <c:v>46050</c:v>
                </c:pt>
                <c:pt idx="1021">
                  <c:v>46051</c:v>
                </c:pt>
                <c:pt idx="1022">
                  <c:v>46052</c:v>
                </c:pt>
                <c:pt idx="1023">
                  <c:v>46055</c:v>
                </c:pt>
                <c:pt idx="1024">
                  <c:v>46056</c:v>
                </c:pt>
                <c:pt idx="1025">
                  <c:v>46057</c:v>
                </c:pt>
                <c:pt idx="1026">
                  <c:v>46058</c:v>
                </c:pt>
                <c:pt idx="1027">
                  <c:v>46059</c:v>
                </c:pt>
                <c:pt idx="1028">
                  <c:v>46062</c:v>
                </c:pt>
                <c:pt idx="1029">
                  <c:v>46063</c:v>
                </c:pt>
                <c:pt idx="1030">
                  <c:v>46064</c:v>
                </c:pt>
                <c:pt idx="1031">
                  <c:v>46065</c:v>
                </c:pt>
                <c:pt idx="1032">
                  <c:v>46066</c:v>
                </c:pt>
                <c:pt idx="1033">
                  <c:v>46070</c:v>
                </c:pt>
                <c:pt idx="1034">
                  <c:v>46071</c:v>
                </c:pt>
                <c:pt idx="1035">
                  <c:v>46072</c:v>
                </c:pt>
                <c:pt idx="1036">
                  <c:v>46073</c:v>
                </c:pt>
                <c:pt idx="1037">
                  <c:v>46076</c:v>
                </c:pt>
                <c:pt idx="1038">
                  <c:v>46077</c:v>
                </c:pt>
                <c:pt idx="1039">
                  <c:v>46078</c:v>
                </c:pt>
                <c:pt idx="1040">
                  <c:v>46079</c:v>
                </c:pt>
                <c:pt idx="1041">
                  <c:v>46080</c:v>
                </c:pt>
                <c:pt idx="1042">
                  <c:v>46083</c:v>
                </c:pt>
                <c:pt idx="1043">
                  <c:v>46084</c:v>
                </c:pt>
                <c:pt idx="1044">
                  <c:v>46085</c:v>
                </c:pt>
                <c:pt idx="1045">
                  <c:v>46086</c:v>
                </c:pt>
                <c:pt idx="1046">
                  <c:v>46087</c:v>
                </c:pt>
                <c:pt idx="1047">
                  <c:v>46090</c:v>
                </c:pt>
                <c:pt idx="1048">
                  <c:v>46091</c:v>
                </c:pt>
                <c:pt idx="1049">
                  <c:v>46092</c:v>
                </c:pt>
                <c:pt idx="1050">
                  <c:v>46093</c:v>
                </c:pt>
                <c:pt idx="1051">
                  <c:v>46094</c:v>
                </c:pt>
                <c:pt idx="1052">
                  <c:v>46097</c:v>
                </c:pt>
                <c:pt idx="1053">
                  <c:v>46098</c:v>
                </c:pt>
                <c:pt idx="1054">
                  <c:v>46099</c:v>
                </c:pt>
                <c:pt idx="1055">
                  <c:v>46100</c:v>
                </c:pt>
                <c:pt idx="1056">
                  <c:v>46101</c:v>
                </c:pt>
                <c:pt idx="1057">
                  <c:v>46104</c:v>
                </c:pt>
                <c:pt idx="1058">
                  <c:v>46105</c:v>
                </c:pt>
                <c:pt idx="1059">
                  <c:v>46106</c:v>
                </c:pt>
                <c:pt idx="1060">
                  <c:v>46107</c:v>
                </c:pt>
                <c:pt idx="1061">
                  <c:v>46108</c:v>
                </c:pt>
                <c:pt idx="1062">
                  <c:v>46111</c:v>
                </c:pt>
                <c:pt idx="1063">
                  <c:v>46112</c:v>
                </c:pt>
                <c:pt idx="1064">
                  <c:v>46113</c:v>
                </c:pt>
                <c:pt idx="1065">
                  <c:v>46114</c:v>
                </c:pt>
                <c:pt idx="1066">
                  <c:v>46118</c:v>
                </c:pt>
                <c:pt idx="1067">
                  <c:v>46119</c:v>
                </c:pt>
                <c:pt idx="1068">
                  <c:v>46120</c:v>
                </c:pt>
                <c:pt idx="1069">
                  <c:v>46121</c:v>
                </c:pt>
                <c:pt idx="1070">
                  <c:v>46122</c:v>
                </c:pt>
                <c:pt idx="1071">
                  <c:v>46125</c:v>
                </c:pt>
                <c:pt idx="1072">
                  <c:v>46126</c:v>
                </c:pt>
                <c:pt idx="1073">
                  <c:v>46127</c:v>
                </c:pt>
                <c:pt idx="1074">
                  <c:v>46128</c:v>
                </c:pt>
                <c:pt idx="1075">
                  <c:v>46129</c:v>
                </c:pt>
                <c:pt idx="1076">
                  <c:v>46132</c:v>
                </c:pt>
                <c:pt idx="1077">
                  <c:v>46133</c:v>
                </c:pt>
                <c:pt idx="1078">
                  <c:v>46134</c:v>
                </c:pt>
                <c:pt idx="1079">
                  <c:v>46135</c:v>
                </c:pt>
                <c:pt idx="1080">
                  <c:v>46136</c:v>
                </c:pt>
                <c:pt idx="1081">
                  <c:v>46139</c:v>
                </c:pt>
                <c:pt idx="1082">
                  <c:v>46140</c:v>
                </c:pt>
                <c:pt idx="1083">
                  <c:v>46141</c:v>
                </c:pt>
                <c:pt idx="1084">
                  <c:v>46142</c:v>
                </c:pt>
                <c:pt idx="1085">
                  <c:v>46143</c:v>
                </c:pt>
                <c:pt idx="1086">
                  <c:v>46146</c:v>
                </c:pt>
                <c:pt idx="1087">
                  <c:v>46147</c:v>
                </c:pt>
                <c:pt idx="1088">
                  <c:v>46148</c:v>
                </c:pt>
                <c:pt idx="1089">
                  <c:v>46149</c:v>
                </c:pt>
                <c:pt idx="1090">
                  <c:v>46150</c:v>
                </c:pt>
                <c:pt idx="1091">
                  <c:v>46153</c:v>
                </c:pt>
                <c:pt idx="1092">
                  <c:v>46154</c:v>
                </c:pt>
                <c:pt idx="1093">
                  <c:v>46155</c:v>
                </c:pt>
                <c:pt idx="1094">
                  <c:v>46156</c:v>
                </c:pt>
                <c:pt idx="1095">
                  <c:v>46157</c:v>
                </c:pt>
                <c:pt idx="1096">
                  <c:v>46160</c:v>
                </c:pt>
                <c:pt idx="1097">
                  <c:v>46161</c:v>
                </c:pt>
                <c:pt idx="1098">
                  <c:v>46162</c:v>
                </c:pt>
                <c:pt idx="1099">
                  <c:v>46163</c:v>
                </c:pt>
                <c:pt idx="1100">
                  <c:v>46164</c:v>
                </c:pt>
                <c:pt idx="1101">
                  <c:v>46168</c:v>
                </c:pt>
                <c:pt idx="1102">
                  <c:v>46169</c:v>
                </c:pt>
                <c:pt idx="1103">
                  <c:v>46170</c:v>
                </c:pt>
                <c:pt idx="1104">
                  <c:v>46171</c:v>
                </c:pt>
                <c:pt idx="1105">
                  <c:v>46174</c:v>
                </c:pt>
                <c:pt idx="1106">
                  <c:v>46175</c:v>
                </c:pt>
                <c:pt idx="1107">
                  <c:v>46176</c:v>
                </c:pt>
                <c:pt idx="1108">
                  <c:v>46177</c:v>
                </c:pt>
                <c:pt idx="1109">
                  <c:v>46178</c:v>
                </c:pt>
                <c:pt idx="1110">
                  <c:v>46181</c:v>
                </c:pt>
                <c:pt idx="1111">
                  <c:v>46182</c:v>
                </c:pt>
                <c:pt idx="1112">
                  <c:v>46183</c:v>
                </c:pt>
                <c:pt idx="1113">
                  <c:v>46184</c:v>
                </c:pt>
                <c:pt idx="1114">
                  <c:v>46185</c:v>
                </c:pt>
                <c:pt idx="1115">
                  <c:v>46188</c:v>
                </c:pt>
                <c:pt idx="1116">
                  <c:v>46189</c:v>
                </c:pt>
                <c:pt idx="1117">
                  <c:v>46190</c:v>
                </c:pt>
                <c:pt idx="1118">
                  <c:v>46191</c:v>
                </c:pt>
                <c:pt idx="1119">
                  <c:v>46195</c:v>
                </c:pt>
                <c:pt idx="1120">
                  <c:v>46196</c:v>
                </c:pt>
                <c:pt idx="1121">
                  <c:v>46197</c:v>
                </c:pt>
                <c:pt idx="1122">
                  <c:v>46198</c:v>
                </c:pt>
                <c:pt idx="1123">
                  <c:v>46199</c:v>
                </c:pt>
                <c:pt idx="1124">
                  <c:v>46202</c:v>
                </c:pt>
                <c:pt idx="1125">
                  <c:v>46203</c:v>
                </c:pt>
                <c:pt idx="1126">
                  <c:v>46204</c:v>
                </c:pt>
                <c:pt idx="1127">
                  <c:v>46205</c:v>
                </c:pt>
                <c:pt idx="1128">
                  <c:v>46209</c:v>
                </c:pt>
              </c:numCache>
            </c:numRef>
          </c:cat>
          <c:val>
            <c:numRef>
              <c:f>'S&amp;P 500'!$E$2:$E$1130</c:f>
              <c:numCache>
                <c:formatCode>0.0%;\(0.0%\);\-</c:formatCode>
                <c:ptCount val="1129"/>
                <c:pt idx="0">
                  <c:v>0</c:v>
                </c:pt>
                <c:pt idx="1">
                  <c:v>-3.3485479984463051E-4</c:v>
                </c:pt>
                <c:pt idx="2">
                  <c:v>-1.9530752461916046E-2</c:v>
                </c:pt>
                <c:pt idx="3">
                  <c:v>-2.0451874738776854E-2</c:v>
                </c:pt>
                <c:pt idx="4">
                  <c:v>-2.4324499014582446E-2</c:v>
                </c:pt>
                <c:pt idx="5">
                  <c:v>-2.5538585294143989E-2</c:v>
                </c:pt>
                <c:pt idx="6">
                  <c:v>-1.6662692585642014E-2</c:v>
                </c:pt>
                <c:pt idx="7">
                  <c:v>-1.4004358272367901E-2</c:v>
                </c:pt>
                <c:pt idx="8">
                  <c:v>-2.7589876467638441E-2</c:v>
                </c:pt>
                <c:pt idx="9">
                  <c:v>-2.7192151524921493E-2</c:v>
                </c:pt>
                <c:pt idx="10">
                  <c:v>-4.4420200136169097E-2</c:v>
                </c:pt>
                <c:pt idx="11">
                  <c:v>-5.4342548041344085E-2</c:v>
                </c:pt>
                <c:pt idx="12">
                  <c:v>-6.4809204732071302E-2</c:v>
                </c:pt>
                <c:pt idx="13">
                  <c:v>-8.3167490134277378E-2</c:v>
                </c:pt>
                <c:pt idx="14">
                  <c:v>-7.9274225984353297E-2</c:v>
                </c:pt>
                <c:pt idx="15">
                  <c:v>-9.0515149531816164E-2</c:v>
                </c:pt>
                <c:pt idx="16">
                  <c:v>-9.2796941931073906E-2</c:v>
                </c:pt>
                <c:pt idx="17">
                  <c:v>-9.7276677240981657E-2</c:v>
                </c:pt>
                <c:pt idx="18">
                  <c:v>-7.4856953451380992E-2</c:v>
                </c:pt>
                <c:pt idx="19">
                  <c:v>-5.8194328760063696E-2</c:v>
                </c:pt>
                <c:pt idx="20">
                  <c:v>-5.1830593887937648E-2</c:v>
                </c:pt>
                <c:pt idx="21">
                  <c:v>-4.2619914273913762E-2</c:v>
                </c:pt>
                <c:pt idx="22">
                  <c:v>-6.5123148080505233E-2</c:v>
                </c:pt>
                <c:pt idx="23">
                  <c:v>-6.0727126470558113E-2</c:v>
                </c:pt>
                <c:pt idx="24">
                  <c:v>-6.3741498612377323E-2</c:v>
                </c:pt>
                <c:pt idx="25">
                  <c:v>-5.6038140857907925E-2</c:v>
                </c:pt>
                <c:pt idx="26">
                  <c:v>-4.2222189331196702E-2</c:v>
                </c:pt>
                <c:pt idx="27">
                  <c:v>-5.9429394385358325E-2</c:v>
                </c:pt>
                <c:pt idx="28">
                  <c:v>-7.7976222321861521E-2</c:v>
                </c:pt>
                <c:pt idx="29">
                  <c:v>-8.0990662358003118E-2</c:v>
                </c:pt>
                <c:pt idx="30">
                  <c:v>-6.6169874854470345E-2</c:v>
                </c:pt>
                <c:pt idx="31">
                  <c:v>-6.5123148080505233E-2</c:v>
                </c:pt>
                <c:pt idx="32">
                  <c:v>-8.5093516282282011E-2</c:v>
                </c:pt>
                <c:pt idx="33">
                  <c:v>-9.1017567520226828E-2</c:v>
                </c:pt>
                <c:pt idx="34">
                  <c:v>-0.10077235223683345</c:v>
                </c:pt>
                <c:pt idx="35">
                  <c:v>-0.11672344442564708</c:v>
                </c:pt>
                <c:pt idx="36">
                  <c:v>-0.10343102602172227</c:v>
                </c:pt>
                <c:pt idx="37">
                  <c:v>-8.3648996671277343E-2</c:v>
                </c:pt>
                <c:pt idx="38">
                  <c:v>-8.5993591319087237E-2</c:v>
                </c:pt>
                <c:pt idx="39">
                  <c:v>-9.9914167997169789E-2</c:v>
                </c:pt>
                <c:pt idx="40">
                  <c:v>-8.3355896879931501E-2</c:v>
                </c:pt>
                <c:pt idx="41">
                  <c:v>-8.7919481678446987E-2</c:v>
                </c:pt>
                <c:pt idx="42">
                  <c:v>-9.5329807535890931E-2</c:v>
                </c:pt>
                <c:pt idx="43">
                  <c:v>-0.12199883330395844</c:v>
                </c:pt>
                <c:pt idx="44">
                  <c:v>-0.12865526060149535</c:v>
                </c:pt>
                <c:pt idx="45">
                  <c:v>-0.10529384255523999</c:v>
                </c:pt>
                <c:pt idx="46">
                  <c:v>-0.109334097913934</c:v>
                </c:pt>
                <c:pt idx="47">
                  <c:v>-0.12065887095000249</c:v>
                </c:pt>
                <c:pt idx="48">
                  <c:v>-0.12708547596500308</c:v>
                </c:pt>
                <c:pt idx="49">
                  <c:v>-0.10788978198589905</c:v>
                </c:pt>
                <c:pt idx="50">
                  <c:v>-8.8107820529776615E-2</c:v>
                </c:pt>
                <c:pt idx="51">
                  <c:v>-7.6699265899425217E-2</c:v>
                </c:pt>
                <c:pt idx="52">
                  <c:v>-6.6586542313237129E-2</c:v>
                </c:pt>
                <c:pt idx="53">
                  <c:v>-6.685954538504657E-2</c:v>
                </c:pt>
                <c:pt idx="54">
                  <c:v>-5.5940440927458757E-2</c:v>
                </c:pt>
                <c:pt idx="55">
                  <c:v>-6.8098277303770827E-2</c:v>
                </c:pt>
                <c:pt idx="56">
                  <c:v>-5.4050602453484919E-2</c:v>
                </c:pt>
                <c:pt idx="57">
                  <c:v>-4.943086905004701E-2</c:v>
                </c:pt>
                <c:pt idx="58">
                  <c:v>-4.266954502384912E-2</c:v>
                </c:pt>
                <c:pt idx="59">
                  <c:v>-3.0826534622167556E-2</c:v>
                </c:pt>
                <c:pt idx="60">
                  <c:v>-3.6810876018721794E-2</c:v>
                </c:pt>
                <c:pt idx="61">
                  <c:v>-5.1635737181621177E-2</c:v>
                </c:pt>
                <c:pt idx="62">
                  <c:v>-4.8947936732268271E-2</c:v>
                </c:pt>
                <c:pt idx="63">
                  <c:v>-4.0800753789930866E-2</c:v>
                </c:pt>
                <c:pt idx="64">
                  <c:v>-5.2916631474776765E-2</c:v>
                </c:pt>
                <c:pt idx="65">
                  <c:v>-6.2386871084705642E-2</c:v>
                </c:pt>
                <c:pt idx="66">
                  <c:v>-5.7662376741251631E-2</c:v>
                </c:pt>
                <c:pt idx="67">
                  <c:v>-6.0181867164486702E-2</c:v>
                </c:pt>
                <c:pt idx="68">
                  <c:v>-7.6245596034755336E-2</c:v>
                </c:pt>
                <c:pt idx="69">
                  <c:v>-7.9668488316610553E-2</c:v>
                </c:pt>
                <c:pt idx="70">
                  <c:v>-6.9127215765170669E-2</c:v>
                </c:pt>
                <c:pt idx="71">
                  <c:v>-8.0718406123743369E-2</c:v>
                </c:pt>
                <c:pt idx="72">
                  <c:v>-8.0340302640303118E-2</c:v>
                </c:pt>
                <c:pt idx="73">
                  <c:v>-6.5494665814638142E-2</c:v>
                </c:pt>
                <c:pt idx="74">
                  <c:v>-6.618759527270901E-2</c:v>
                </c:pt>
                <c:pt idx="75">
                  <c:v>-8.0151420634389292E-2</c:v>
                </c:pt>
                <c:pt idx="76">
                  <c:v>-0.10539127090839717</c:v>
                </c:pt>
                <c:pt idx="77">
                  <c:v>-0.10020461990993001</c:v>
                </c:pt>
                <c:pt idx="78">
                  <c:v>-0.12626354729369282</c:v>
                </c:pt>
                <c:pt idx="79">
                  <c:v>-0.12380679122468741</c:v>
                </c:pt>
                <c:pt idx="80">
                  <c:v>-0.10167459989196703</c:v>
                </c:pt>
                <c:pt idx="81">
                  <c:v>-0.1348728189967231</c:v>
                </c:pt>
                <c:pt idx="82">
                  <c:v>-0.12966512075820025</c:v>
                </c:pt>
                <c:pt idx="83">
                  <c:v>-0.12567558245860566</c:v>
                </c:pt>
                <c:pt idx="84">
                  <c:v>-9.9049873268458488E-2</c:v>
                </c:pt>
                <c:pt idx="85">
                  <c:v>-0.13107223059736484</c:v>
                </c:pt>
                <c:pt idx="86">
                  <c:v>-0.13625867791286461</c:v>
                </c:pt>
                <c:pt idx="87">
                  <c:v>-0.16391346135305873</c:v>
                </c:pt>
                <c:pt idx="88">
                  <c:v>-0.16198139261032884</c:v>
                </c:pt>
                <c:pt idx="89">
                  <c:v>-0.17529438299404743</c:v>
                </c:pt>
                <c:pt idx="90">
                  <c:v>-0.17615535090094392</c:v>
                </c:pt>
                <c:pt idx="91">
                  <c:v>-0.15645886839717538</c:v>
                </c:pt>
                <c:pt idx="92">
                  <c:v>-0.15988176067903059</c:v>
                </c:pt>
                <c:pt idx="93">
                  <c:v>-0.1426000755528033</c:v>
                </c:pt>
                <c:pt idx="94">
                  <c:v>-0.17716331001661278</c:v>
                </c:pt>
                <c:pt idx="95">
                  <c:v>-0.18220276612334019</c:v>
                </c:pt>
                <c:pt idx="96">
                  <c:v>-0.18184570987995563</c:v>
                </c:pt>
                <c:pt idx="97">
                  <c:v>-0.16653825587088977</c:v>
                </c:pt>
                <c:pt idx="98">
                  <c:v>-0.17290049706791677</c:v>
                </c:pt>
                <c:pt idx="99">
                  <c:v>-0.16559316689809556</c:v>
                </c:pt>
                <c:pt idx="100">
                  <c:v>-0.14892069752997872</c:v>
                </c:pt>
                <c:pt idx="101">
                  <c:v>-0.12802730601030488</c:v>
                </c:pt>
                <c:pt idx="102">
                  <c:v>-0.13291990669690723</c:v>
                </c:pt>
                <c:pt idx="103">
                  <c:v>-0.13993332234350608</c:v>
                </c:pt>
                <c:pt idx="104">
                  <c:v>-0.12355469960428656</c:v>
                </c:pt>
                <c:pt idx="105">
                  <c:v>-0.13793845135222393</c:v>
                </c:pt>
                <c:pt idx="106">
                  <c:v>-0.13531365683439289</c:v>
                </c:pt>
                <c:pt idx="107">
                  <c:v>-0.12701934689463612</c:v>
                </c:pt>
                <c:pt idx="108">
                  <c:v>-0.13651056585029808</c:v>
                </c:pt>
                <c:pt idx="109">
                  <c:v>-0.15704690112658504</c:v>
                </c:pt>
                <c:pt idx="110">
                  <c:v>-0.18148878942521607</c:v>
                </c:pt>
                <c:pt idx="111">
                  <c:v>-0.21256619356997319</c:v>
                </c:pt>
                <c:pt idx="112">
                  <c:v>-0.21493903225605049</c:v>
                </c:pt>
                <c:pt idx="113">
                  <c:v>-0.20374685683232852</c:v>
                </c:pt>
                <c:pt idx="114">
                  <c:v>-0.23009976663363385</c:v>
                </c:pt>
                <c:pt idx="115">
                  <c:v>-0.22844008991381093</c:v>
                </c:pt>
                <c:pt idx="116">
                  <c:v>-0.2090172215307563</c:v>
                </c:pt>
                <c:pt idx="117">
                  <c:v>-0.21045114962740963</c:v>
                </c:pt>
                <c:pt idx="118">
                  <c:v>-0.20271160419891143</c:v>
                </c:pt>
                <c:pt idx="119">
                  <c:v>-0.17736264774823096</c:v>
                </c:pt>
                <c:pt idx="120">
                  <c:v>-0.18050493279412549</c:v>
                </c:pt>
                <c:pt idx="121">
                  <c:v>-0.19724950593301449</c:v>
                </c:pt>
                <c:pt idx="122">
                  <c:v>-0.19790319247252941</c:v>
                </c:pt>
                <c:pt idx="123">
                  <c:v>-0.20441975746518537</c:v>
                </c:pt>
                <c:pt idx="124">
                  <c:v>-0.19600527457414707</c:v>
                </c:pt>
                <c:pt idx="125">
                  <c:v>-0.19448702172862875</c:v>
                </c:pt>
                <c:pt idx="126">
                  <c:v>-0.19176642832138435</c:v>
                </c:pt>
                <c:pt idx="127">
                  <c:v>-0.17966127793953268</c:v>
                </c:pt>
                <c:pt idx="128">
                  <c:v>-0.18033601171910307</c:v>
                </c:pt>
                <c:pt idx="129">
                  <c:v>-0.18969958934797959</c:v>
                </c:pt>
                <c:pt idx="130">
                  <c:v>-0.19687004456311807</c:v>
                </c:pt>
                <c:pt idx="131">
                  <c:v>-0.20108763989285772</c:v>
                </c:pt>
                <c:pt idx="132">
                  <c:v>-0.2030278559543186</c:v>
                </c:pt>
                <c:pt idx="133">
                  <c:v>-0.18780167144959514</c:v>
                </c:pt>
                <c:pt idx="134">
                  <c:v>-0.19450793318003712</c:v>
                </c:pt>
                <c:pt idx="135">
                  <c:v>-0.17274413644260422</c:v>
                </c:pt>
                <c:pt idx="136">
                  <c:v>-0.16747200649178529</c:v>
                </c:pt>
                <c:pt idx="137">
                  <c:v>-0.15899411030329036</c:v>
                </c:pt>
                <c:pt idx="138">
                  <c:v>-0.16679713692356768</c:v>
                </c:pt>
                <c:pt idx="139">
                  <c:v>-0.16578469678259733</c:v>
                </c:pt>
                <c:pt idx="140">
                  <c:v>-0.17565429079898942</c:v>
                </c:pt>
                <c:pt idx="141">
                  <c:v>-0.15424917976868735</c:v>
                </c:pt>
                <c:pt idx="142">
                  <c:v>-0.14364130288662313</c:v>
                </c:pt>
                <c:pt idx="143">
                  <c:v>-0.13115669113487716</c:v>
                </c:pt>
                <c:pt idx="144">
                  <c:v>-0.13372954649579738</c:v>
                </c:pt>
                <c:pt idx="145">
                  <c:v>-0.13944475479693907</c:v>
                </c:pt>
                <c:pt idx="146">
                  <c:v>-0.1259688859329211</c:v>
                </c:pt>
                <c:pt idx="147">
                  <c:v>-0.12655915917498139</c:v>
                </c:pt>
                <c:pt idx="148">
                  <c:v>-0.12803558911768087</c:v>
                </c:pt>
                <c:pt idx="149">
                  <c:v>-0.12904796136432872</c:v>
                </c:pt>
                <c:pt idx="150">
                  <c:v>-0.13250643027131026</c:v>
                </c:pt>
                <c:pt idx="151">
                  <c:v>-0.11428569876701178</c:v>
                </c:pt>
                <c:pt idx="152">
                  <c:v>-0.11428569876701178</c:v>
                </c:pt>
                <c:pt idx="153">
                  <c:v>-9.9291373374507996E-2</c:v>
                </c:pt>
                <c:pt idx="154">
                  <c:v>-9.5579862326608644E-2</c:v>
                </c:pt>
                <c:pt idx="155">
                  <c:v>-9.3808159974232974E-2</c:v>
                </c:pt>
                <c:pt idx="156">
                  <c:v>-0.10024026442937661</c:v>
                </c:pt>
                <c:pt idx="157">
                  <c:v>-9.7625450376990219E-2</c:v>
                </c:pt>
                <c:pt idx="158">
                  <c:v>-0.10975137642160548</c:v>
                </c:pt>
                <c:pt idx="159">
                  <c:v>-0.12828863125860102</c:v>
                </c:pt>
                <c:pt idx="160">
                  <c:v>-0.13039749681779444</c:v>
                </c:pt>
                <c:pt idx="161">
                  <c:v>-0.12761376169038541</c:v>
                </c:pt>
                <c:pt idx="162">
                  <c:v>-0.11529793522501464</c:v>
                </c:pt>
                <c:pt idx="163">
                  <c:v>-0.14524421995262127</c:v>
                </c:pt>
                <c:pt idx="164">
                  <c:v>-0.15089581127333673</c:v>
                </c:pt>
                <c:pt idx="165">
                  <c:v>-0.1602172265277797</c:v>
                </c:pt>
                <c:pt idx="166">
                  <c:v>-0.16660730439713678</c:v>
                </c:pt>
                <c:pt idx="167">
                  <c:v>-0.16399221876745829</c:v>
                </c:pt>
                <c:pt idx="168">
                  <c:v>-0.17280741395141608</c:v>
                </c:pt>
                <c:pt idx="169">
                  <c:v>-0.17592858386293264</c:v>
                </c:pt>
                <c:pt idx="170">
                  <c:v>-0.16112415889118425</c:v>
                </c:pt>
                <c:pt idx="171">
                  <c:v>-0.15564108127955412</c:v>
                </c:pt>
                <c:pt idx="172">
                  <c:v>-0.14252383022834669</c:v>
                </c:pt>
                <c:pt idx="173">
                  <c:v>-0.13330785485714691</c:v>
                </c:pt>
                <c:pt idx="174">
                  <c:v>-0.17099382080189884</c:v>
                </c:pt>
                <c:pt idx="175">
                  <c:v>-0.16783035272730151</c:v>
                </c:pt>
                <c:pt idx="176">
                  <c:v>-0.17727825510504325</c:v>
                </c:pt>
                <c:pt idx="177">
                  <c:v>-0.18355474577242403</c:v>
                </c:pt>
                <c:pt idx="178">
                  <c:v>-0.17722326070360961</c:v>
                </c:pt>
                <c:pt idx="179">
                  <c:v>-0.18666749678791972</c:v>
                </c:pt>
                <c:pt idx="180">
                  <c:v>-0.20085510183741107</c:v>
                </c:pt>
                <c:pt idx="181">
                  <c:v>-0.20756781352851539</c:v>
                </c:pt>
                <c:pt idx="182">
                  <c:v>-0.22084488781549516</c:v>
                </c:pt>
                <c:pt idx="183">
                  <c:v>-0.22855286238391093</c:v>
                </c:pt>
                <c:pt idx="184">
                  <c:v>-0.23052213721551351</c:v>
                </c:pt>
                <c:pt idx="185">
                  <c:v>-0.21538156745178894</c:v>
                </c:pt>
                <c:pt idx="186">
                  <c:v>-0.2317715285429095</c:v>
                </c:pt>
                <c:pt idx="187">
                  <c:v>-0.24365093030158935</c:v>
                </c:pt>
                <c:pt idx="188">
                  <c:v>-0.22368259892949804</c:v>
                </c:pt>
                <c:pt idx="189">
                  <c:v>-0.19962689353871577</c:v>
                </c:pt>
                <c:pt idx="190">
                  <c:v>-0.20149032112113796</c:v>
                </c:pt>
                <c:pt idx="191">
                  <c:v>-0.20972773561842062</c:v>
                </c:pt>
                <c:pt idx="192">
                  <c:v>-0.2317715285429095</c:v>
                </c:pt>
                <c:pt idx="193">
                  <c:v>-0.23763705487463627</c:v>
                </c:pt>
                <c:pt idx="194">
                  <c:v>-0.24246522384894009</c:v>
                </c:pt>
                <c:pt idx="195">
                  <c:v>-0.24496400650373418</c:v>
                </c:pt>
                <c:pt idx="196">
                  <c:v>-0.2250376338231046</c:v>
                </c:pt>
                <c:pt idx="197">
                  <c:v>-0.24269810137600123</c:v>
                </c:pt>
                <c:pt idx="198">
                  <c:v>-0.22323775532678625</c:v>
                </c:pt>
                <c:pt idx="199">
                  <c:v>-0.21411106099001498</c:v>
                </c:pt>
                <c:pt idx="200">
                  <c:v>-0.21968029649722387</c:v>
                </c:pt>
                <c:pt idx="201">
                  <c:v>-0.22622340817007858</c:v>
                </c:pt>
                <c:pt idx="202">
                  <c:v>-0.20741960022193384</c:v>
                </c:pt>
                <c:pt idx="203">
                  <c:v>-0.19772123568753741</c:v>
                </c:pt>
                <c:pt idx="204">
                  <c:v>-0.1849099164546778</c:v>
                </c:pt>
                <c:pt idx="205">
                  <c:v>-0.19105095794815896</c:v>
                </c:pt>
                <c:pt idx="206">
                  <c:v>-0.19537066633932687</c:v>
                </c:pt>
                <c:pt idx="207">
                  <c:v>-0.17622799782629583</c:v>
                </c:pt>
                <c:pt idx="208">
                  <c:v>-0.18217839206146969</c:v>
                </c:pt>
                <c:pt idx="209">
                  <c:v>-0.18575689813108776</c:v>
                </c:pt>
                <c:pt idx="210">
                  <c:v>-0.20619145981756104</c:v>
                </c:pt>
                <c:pt idx="211">
                  <c:v>-0.21436518944009697</c:v>
                </c:pt>
                <c:pt idx="212">
                  <c:v>-0.20305732209039729</c:v>
                </c:pt>
                <c:pt idx="213">
                  <c:v>-0.1954342154254286</c:v>
                </c:pt>
                <c:pt idx="214">
                  <c:v>-0.19109339189988261</c:v>
                </c:pt>
                <c:pt idx="215">
                  <c:v>-0.20775839289249776</c:v>
                </c:pt>
                <c:pt idx="216">
                  <c:v>-0.16422156578973501</c:v>
                </c:pt>
                <c:pt idx="217">
                  <c:v>-0.15613229670470896</c:v>
                </c:pt>
                <c:pt idx="218">
                  <c:v>-0.16331076344993334</c:v>
                </c:pt>
                <c:pt idx="219">
                  <c:v>-0.15617479855075511</c:v>
                </c:pt>
                <c:pt idx="220">
                  <c:v>-0.16261199508010704</c:v>
                </c:pt>
                <c:pt idx="221">
                  <c:v>-0.16517439471532303</c:v>
                </c:pt>
                <c:pt idx="222">
                  <c:v>-0.16138378678141163</c:v>
                </c:pt>
                <c:pt idx="223">
                  <c:v>-0.16443319239377319</c:v>
                </c:pt>
                <c:pt idx="224">
                  <c:v>-0.15318894202449529</c:v>
                </c:pt>
                <c:pt idx="225">
                  <c:v>-0.14785285562163764</c:v>
                </c:pt>
                <c:pt idx="226">
                  <c:v>-0.14804336709129762</c:v>
                </c:pt>
                <c:pt idx="227">
                  <c:v>-0.16163784733717124</c:v>
                </c:pt>
                <c:pt idx="228">
                  <c:v>-0.1630778180285497</c:v>
                </c:pt>
                <c:pt idx="229">
                  <c:v>-0.13671438460721774</c:v>
                </c:pt>
                <c:pt idx="230">
                  <c:v>-0.13734953599661992</c:v>
                </c:pt>
                <c:pt idx="231">
                  <c:v>-0.13834493466257869</c:v>
                </c:pt>
                <c:pt idx="232">
                  <c:v>-0.15384534433692276</c:v>
                </c:pt>
                <c:pt idx="233">
                  <c:v>-0.16604255942043356</c:v>
                </c:pt>
                <c:pt idx="234">
                  <c:v>-0.16746134708311144</c:v>
                </c:pt>
                <c:pt idx="235">
                  <c:v>-0.16093928265031243</c:v>
                </c:pt>
                <c:pt idx="236">
                  <c:v>-0.16720715073870474</c:v>
                </c:pt>
                <c:pt idx="237">
                  <c:v>-0.15520058291349892</c:v>
                </c:pt>
                <c:pt idx="238">
                  <c:v>-0.14880554875858076</c:v>
                </c:pt>
                <c:pt idx="239">
                  <c:v>-0.15424775398790869</c:v>
                </c:pt>
                <c:pt idx="240">
                  <c:v>-0.17493624044149869</c:v>
                </c:pt>
                <c:pt idx="241">
                  <c:v>-0.18467703892761878</c:v>
                </c:pt>
                <c:pt idx="242">
                  <c:v>-0.19159078570840971</c:v>
                </c:pt>
                <c:pt idx="243">
                  <c:v>-0.19048451561338708</c:v>
                </c:pt>
                <c:pt idx="244">
                  <c:v>-0.17838031575205449</c:v>
                </c:pt>
                <c:pt idx="245">
                  <c:v>-0.19010159163303075</c:v>
                </c:pt>
                <c:pt idx="246">
                  <c:v>-0.18544288688833122</c:v>
                </c:pt>
                <c:pt idx="247">
                  <c:v>-0.18865496729802034</c:v>
                </c:pt>
                <c:pt idx="248">
                  <c:v>-0.19873842843110134</c:v>
                </c:pt>
                <c:pt idx="249">
                  <c:v>-0.18431536587028563</c:v>
                </c:pt>
                <c:pt idx="250">
                  <c:v>-0.18646394960829227</c:v>
                </c:pt>
                <c:pt idx="251">
                  <c:v>-0.18988894661415101</c:v>
                </c:pt>
                <c:pt idx="252">
                  <c:v>-0.18363458949598765</c:v>
                </c:pt>
                <c:pt idx="253">
                  <c:v>-0.19295220266835611</c:v>
                </c:pt>
                <c:pt idx="254">
                  <c:v>-0.17444488922769674</c:v>
                </c:pt>
                <c:pt idx="255">
                  <c:v>-0.17491281690014748</c:v>
                </c:pt>
                <c:pt idx="256">
                  <c:v>-0.16912665903172475</c:v>
                </c:pt>
                <c:pt idx="257">
                  <c:v>-0.15861790786088625</c:v>
                </c:pt>
                <c:pt idx="258">
                  <c:v>-0.15555458391235855</c:v>
                </c:pt>
                <c:pt idx="259">
                  <c:v>-0.15227861494495332</c:v>
                </c:pt>
                <c:pt idx="260">
                  <c:v>-0.15383156178940149</c:v>
                </c:pt>
                <c:pt idx="261">
                  <c:v>-0.16719085610124274</c:v>
                </c:pt>
                <c:pt idx="262">
                  <c:v>-0.17325347965193694</c:v>
                </c:pt>
                <c:pt idx="263">
                  <c:v>-0.15785199200585132</c:v>
                </c:pt>
                <c:pt idx="264">
                  <c:v>-0.14774761942136172</c:v>
                </c:pt>
                <c:pt idx="265">
                  <c:v>-0.14866215594891541</c:v>
                </c:pt>
                <c:pt idx="266">
                  <c:v>-0.14834305263195069</c:v>
                </c:pt>
                <c:pt idx="267">
                  <c:v>-0.1389830734021833</c:v>
                </c:pt>
                <c:pt idx="268">
                  <c:v>-0.13700476862565314</c:v>
                </c:pt>
                <c:pt idx="269">
                  <c:v>-0.14783262311345613</c:v>
                </c:pt>
                <c:pt idx="270">
                  <c:v>-0.13530292953139655</c:v>
                </c:pt>
                <c:pt idx="271">
                  <c:v>-0.12611309347446065</c:v>
                </c:pt>
                <c:pt idx="272">
                  <c:v>-0.11339187000790152</c:v>
                </c:pt>
                <c:pt idx="273">
                  <c:v>-0.12281546621809525</c:v>
                </c:pt>
                <c:pt idx="274">
                  <c:v>-0.12817653773172799</c:v>
                </c:pt>
                <c:pt idx="275">
                  <c:v>-0.11677416148474662</c:v>
                </c:pt>
                <c:pt idx="276">
                  <c:v>-0.12643212889710065</c:v>
                </c:pt>
                <c:pt idx="277">
                  <c:v>-0.13400519744619677</c:v>
                </c:pt>
                <c:pt idx="278">
                  <c:v>-0.13198432292929796</c:v>
                </c:pt>
                <c:pt idx="279">
                  <c:v>-0.12179460718110169</c:v>
                </c:pt>
                <c:pt idx="280">
                  <c:v>-0.12219884997880359</c:v>
                </c:pt>
                <c:pt idx="281">
                  <c:v>-0.11934823894347812</c:v>
                </c:pt>
                <c:pt idx="282">
                  <c:v>-0.1314737576221563</c:v>
                </c:pt>
                <c:pt idx="283">
                  <c:v>-0.13364359228318612</c:v>
                </c:pt>
                <c:pt idx="284">
                  <c:v>-0.15102338470579957</c:v>
                </c:pt>
                <c:pt idx="285">
                  <c:v>-0.15219340756989153</c:v>
                </c:pt>
                <c:pt idx="286">
                  <c:v>-0.14768359507500062</c:v>
                </c:pt>
                <c:pt idx="287">
                  <c:v>-0.15678842743984422</c:v>
                </c:pt>
                <c:pt idx="288">
                  <c:v>-0.1539164975871733</c:v>
                </c:pt>
                <c:pt idx="289">
                  <c:v>-0.15704364219909261</c:v>
                </c:pt>
                <c:pt idx="290">
                  <c:v>-0.1602772451090968</c:v>
                </c:pt>
                <c:pt idx="291">
                  <c:v>-0.15374642230866209</c:v>
                </c:pt>
                <c:pt idx="292">
                  <c:v>-0.14017427929497583</c:v>
                </c:pt>
                <c:pt idx="293">
                  <c:v>-0.13957871029573965</c:v>
                </c:pt>
                <c:pt idx="294">
                  <c:v>-0.15276786143474952</c:v>
                </c:pt>
                <c:pt idx="295">
                  <c:v>-0.15138512565745532</c:v>
                </c:pt>
                <c:pt idx="296">
                  <c:v>-0.16704196385143433</c:v>
                </c:pt>
                <c:pt idx="297">
                  <c:v>-0.17906109212635013</c:v>
                </c:pt>
                <c:pt idx="298">
                  <c:v>-0.18023097920179698</c:v>
                </c:pt>
                <c:pt idx="299">
                  <c:v>-0.16668022289977868</c:v>
                </c:pt>
                <c:pt idx="300">
                  <c:v>-0.1718921305863107</c:v>
                </c:pt>
                <c:pt idx="301">
                  <c:v>-0.15736274551605511</c:v>
                </c:pt>
                <c:pt idx="302">
                  <c:v>-0.16721550174040323</c:v>
                </c:pt>
                <c:pt idx="303">
                  <c:v>-0.15920777373700956</c:v>
                </c:pt>
                <c:pt idx="304">
                  <c:v>-0.14816768159626592</c:v>
                </c:pt>
                <c:pt idx="305">
                  <c:v>-0.16268844408753325</c:v>
                </c:pt>
                <c:pt idx="306">
                  <c:v>-0.16042498315541864</c:v>
                </c:pt>
                <c:pt idx="307">
                  <c:v>-0.15491549465223708</c:v>
                </c:pt>
                <c:pt idx="308">
                  <c:v>-0.15333545797300818</c:v>
                </c:pt>
                <c:pt idx="309">
                  <c:v>-0.15523588796133314</c:v>
                </c:pt>
                <c:pt idx="310">
                  <c:v>-0.14295733547915745</c:v>
                </c:pt>
                <c:pt idx="311">
                  <c:v>-0.13793906240113063</c:v>
                </c:pt>
                <c:pt idx="312">
                  <c:v>-0.12578855861167537</c:v>
                </c:pt>
                <c:pt idx="313">
                  <c:v>-0.12245752734851401</c:v>
                </c:pt>
                <c:pt idx="314">
                  <c:v>-0.12732622923350312</c:v>
                </c:pt>
                <c:pt idx="315">
                  <c:v>-0.1296110089829634</c:v>
                </c:pt>
                <c:pt idx="316">
                  <c:v>-0.12621574969047111</c:v>
                </c:pt>
                <c:pt idx="317">
                  <c:v>-0.1253190014754807</c:v>
                </c:pt>
                <c:pt idx="318">
                  <c:v>-0.12508401922441381</c:v>
                </c:pt>
                <c:pt idx="319">
                  <c:v>-0.12865016852728928</c:v>
                </c:pt>
                <c:pt idx="320">
                  <c:v>-0.11707635911534264</c:v>
                </c:pt>
                <c:pt idx="321">
                  <c:v>-0.11923302227775778</c:v>
                </c:pt>
                <c:pt idx="322">
                  <c:v>-0.11607274523633249</c:v>
                </c:pt>
                <c:pt idx="323">
                  <c:v>-0.11549618664746863</c:v>
                </c:pt>
                <c:pt idx="324">
                  <c:v>-0.11564562205185924</c:v>
                </c:pt>
                <c:pt idx="325">
                  <c:v>-0.12047161840783482</c:v>
                </c:pt>
                <c:pt idx="326">
                  <c:v>-0.11978826204927384</c:v>
                </c:pt>
                <c:pt idx="327">
                  <c:v>-0.11887005922829286</c:v>
                </c:pt>
                <c:pt idx="328">
                  <c:v>-0.13285696865970997</c:v>
                </c:pt>
                <c:pt idx="329">
                  <c:v>-0.13652984783796029</c:v>
                </c:pt>
                <c:pt idx="330">
                  <c:v>-0.11933982004745725</c:v>
                </c:pt>
                <c:pt idx="331">
                  <c:v>-0.11182330746921842</c:v>
                </c:pt>
                <c:pt idx="332">
                  <c:v>-0.11272005568420873</c:v>
                </c:pt>
                <c:pt idx="333">
                  <c:v>-0.12269244170525617</c:v>
                </c:pt>
                <c:pt idx="334">
                  <c:v>-0.12871432866229549</c:v>
                </c:pt>
                <c:pt idx="335">
                  <c:v>-0.13488537944643297</c:v>
                </c:pt>
                <c:pt idx="336">
                  <c:v>-0.11887005922829286</c:v>
                </c:pt>
                <c:pt idx="337">
                  <c:v>-0.11863521276587097</c:v>
                </c:pt>
                <c:pt idx="338">
                  <c:v>-0.12250030077185003</c:v>
                </c:pt>
                <c:pt idx="339">
                  <c:v>-0.11840029840912869</c:v>
                </c:pt>
                <c:pt idx="340">
                  <c:v>-0.11993762955934195</c:v>
                </c:pt>
                <c:pt idx="341">
                  <c:v>-0.12109081463138971</c:v>
                </c:pt>
                <c:pt idx="342">
                  <c:v>-0.11805851838836434</c:v>
                </c:pt>
                <c:pt idx="343">
                  <c:v>-0.12395228875835862</c:v>
                </c:pt>
                <c:pt idx="344">
                  <c:v>-0.11331806887906304</c:v>
                </c:pt>
                <c:pt idx="345">
                  <c:v>-0.1047763520271765</c:v>
                </c:pt>
                <c:pt idx="346">
                  <c:v>-0.10607904039793725</c:v>
                </c:pt>
                <c:pt idx="347">
                  <c:v>-0.10571600945414994</c:v>
                </c:pt>
                <c:pt idx="348">
                  <c:v>-0.11575241982155871</c:v>
                </c:pt>
                <c:pt idx="349">
                  <c:v>-0.12215858864540829</c:v>
                </c:pt>
                <c:pt idx="350">
                  <c:v>-0.11455666500914008</c:v>
                </c:pt>
                <c:pt idx="351">
                  <c:v>-0.10308931389528064</c:v>
                </c:pt>
                <c:pt idx="352">
                  <c:v>-0.10274780545180617</c:v>
                </c:pt>
                <c:pt idx="353">
                  <c:v>-0.10772323721217236</c:v>
                </c:pt>
                <c:pt idx="354">
                  <c:v>-9.9245680495292032E-2</c:v>
                </c:pt>
                <c:pt idx="355">
                  <c:v>-8.6219747308194039E-2</c:v>
                </c:pt>
                <c:pt idx="356">
                  <c:v>-8.7970809786451221E-2</c:v>
                </c:pt>
                <c:pt idx="357">
                  <c:v>-8.5984900845774148E-2</c:v>
                </c:pt>
                <c:pt idx="358">
                  <c:v>-8.9145109992877059E-2</c:v>
                </c:pt>
                <c:pt idx="359">
                  <c:v>-8.3635960961307765E-2</c:v>
                </c:pt>
                <c:pt idx="360">
                  <c:v>-8.1991764147072654E-2</c:v>
                </c:pt>
                <c:pt idx="361">
                  <c:v>-7.3663574940260323E-2</c:v>
                </c:pt>
                <c:pt idx="362">
                  <c:v>-6.7556344819514336E-2</c:v>
                </c:pt>
                <c:pt idx="363">
                  <c:v>-6.6446001065127214E-2</c:v>
                </c:pt>
                <c:pt idx="364">
                  <c:v>-5.487219165318058E-2</c:v>
                </c:pt>
                <c:pt idx="365">
                  <c:v>-5.8091400966761131E-2</c:v>
                </c:pt>
                <c:pt idx="366">
                  <c:v>-6.2978230635928001E-2</c:v>
                </c:pt>
                <c:pt idx="367">
                  <c:v>-6.7779377669775931E-2</c:v>
                </c:pt>
                <c:pt idx="368">
                  <c:v>-6.4414127667942078E-2</c:v>
                </c:pt>
                <c:pt idx="369">
                  <c:v>-7.1487086635600772E-2</c:v>
                </c:pt>
                <c:pt idx="370">
                  <c:v>-7.5280885602684311E-2</c:v>
                </c:pt>
                <c:pt idx="371">
                  <c:v>-6.5142905328429257E-2</c:v>
                </c:pt>
                <c:pt idx="372">
                  <c:v>-6.4671379256873718E-2</c:v>
                </c:pt>
                <c:pt idx="373">
                  <c:v>-6.0984921214071841E-2</c:v>
                </c:pt>
                <c:pt idx="374">
                  <c:v>-4.9903820902381324E-2</c:v>
                </c:pt>
                <c:pt idx="375">
                  <c:v>-4.8810790200297771E-2</c:v>
                </c:pt>
                <c:pt idx="376">
                  <c:v>-5.0225300520641558E-2</c:v>
                </c:pt>
                <c:pt idx="377">
                  <c:v>-5.7662784107188836E-2</c:v>
                </c:pt>
                <c:pt idx="378">
                  <c:v>-6.0041869070958764E-2</c:v>
                </c:pt>
                <c:pt idx="379">
                  <c:v>-5.7662784107188836E-2</c:v>
                </c:pt>
                <c:pt idx="380">
                  <c:v>-5.1661469129945736E-2</c:v>
                </c:pt>
                <c:pt idx="381">
                  <c:v>-4.4031165666765126E-2</c:v>
                </c:pt>
                <c:pt idx="382">
                  <c:v>-3.6443839309890258E-2</c:v>
                </c:pt>
                <c:pt idx="383">
                  <c:v>-3.7043821440105318E-2</c:v>
                </c:pt>
                <c:pt idx="384">
                  <c:v>-3.3700433410199349E-2</c:v>
                </c:pt>
                <c:pt idx="385">
                  <c:v>-2.652020141258371E-2</c:v>
                </c:pt>
                <c:pt idx="386">
                  <c:v>-2.4355458825760179E-2</c:v>
                </c:pt>
                <c:pt idx="387">
                  <c:v>-3.0828299874558707E-2</c:v>
                </c:pt>
                <c:pt idx="388">
                  <c:v>-3.0828299874558707E-2</c:v>
                </c:pt>
                <c:pt idx="389">
                  <c:v>-2.6498746806591145E-2</c:v>
                </c:pt>
                <c:pt idx="390">
                  <c:v>-2.3840887753576512E-2</c:v>
                </c:pt>
                <c:pt idx="391">
                  <c:v>-2.3690909194603815E-2</c:v>
                </c:pt>
                <c:pt idx="392">
                  <c:v>-3.0163750243402565E-2</c:v>
                </c:pt>
                <c:pt idx="393">
                  <c:v>-2.0668797099990699E-2</c:v>
                </c:pt>
                <c:pt idx="394">
                  <c:v>-1.8804147419759332E-2</c:v>
                </c:pt>
                <c:pt idx="395">
                  <c:v>-2.1611849243101666E-2</c:v>
                </c:pt>
                <c:pt idx="396">
                  <c:v>-3.5222013077534808E-2</c:v>
                </c:pt>
                <c:pt idx="397">
                  <c:v>-3.7986941477538783E-2</c:v>
                </c:pt>
                <c:pt idx="398">
                  <c:v>-4.2337881257176635E-2</c:v>
                </c:pt>
                <c:pt idx="399">
                  <c:v>-3.3978868027831566E-2</c:v>
                </c:pt>
                <c:pt idx="400">
                  <c:v>-3.817989714281711E-2</c:v>
                </c:pt>
                <c:pt idx="401">
                  <c:v>-4.4609761085310007E-2</c:v>
                </c:pt>
                <c:pt idx="402">
                  <c:v>-4.4266894755381592E-2</c:v>
                </c:pt>
                <c:pt idx="403">
                  <c:v>-4.48241713565809E-2</c:v>
                </c:pt>
                <c:pt idx="404">
                  <c:v>-3.9551634039824979E-2</c:v>
                </c:pt>
                <c:pt idx="405">
                  <c:v>-5.0739735804180341E-2</c:v>
                </c:pt>
                <c:pt idx="406">
                  <c:v>-5.7705557530527085E-2</c:v>
                </c:pt>
                <c:pt idx="407">
                  <c:v>-6.4885789528142501E-2</c:v>
                </c:pt>
                <c:pt idx="408">
                  <c:v>-6.4435582273934866E-2</c:v>
                </c:pt>
                <c:pt idx="409">
                  <c:v>-5.8348584661370273E-2</c:v>
                </c:pt>
                <c:pt idx="410">
                  <c:v>-6.0899170684427961E-2</c:v>
                </c:pt>
                <c:pt idx="411">
                  <c:v>-5.0439710791912673E-2</c:v>
                </c:pt>
                <c:pt idx="412">
                  <c:v>-6.3599735266458235E-2</c:v>
                </c:pt>
                <c:pt idx="413">
                  <c:v>-5.6998302370355192E-2</c:v>
                </c:pt>
                <c:pt idx="414">
                  <c:v>-5.1018374104780051E-2</c:v>
                </c:pt>
                <c:pt idx="415">
                  <c:v>-3.7301208817682063E-2</c:v>
                </c:pt>
                <c:pt idx="416">
                  <c:v>-3.3335908791310764E-2</c:v>
                </c:pt>
                <c:pt idx="417">
                  <c:v>-3.4750554900301767E-2</c:v>
                </c:pt>
                <c:pt idx="418">
                  <c:v>-3.2950133249399216E-2</c:v>
                </c:pt>
                <c:pt idx="419">
                  <c:v>-3.712977565271669E-2</c:v>
                </c:pt>
                <c:pt idx="420">
                  <c:v>-4.3602548807192831E-2</c:v>
                </c:pt>
                <c:pt idx="421">
                  <c:v>-4.6538842477839681E-2</c:v>
                </c:pt>
                <c:pt idx="422">
                  <c:v>-4.5102809657180609E-2</c:v>
                </c:pt>
                <c:pt idx="423">
                  <c:v>-3.8822788485015303E-2</c:v>
                </c:pt>
                <c:pt idx="424">
                  <c:v>-4.4095461590416329E-2</c:v>
                </c:pt>
                <c:pt idx="425">
                  <c:v>-4.2980840493695216E-2</c:v>
                </c:pt>
                <c:pt idx="426">
                  <c:v>-3.4729168188631698E-2</c:v>
                </c:pt>
                <c:pt idx="427">
                  <c:v>-4.635899041685354E-2</c:v>
                </c:pt>
                <c:pt idx="428">
                  <c:v>-4.5799744880293369E-2</c:v>
                </c:pt>
                <c:pt idx="429">
                  <c:v>-4.7778592811403398E-2</c:v>
                </c:pt>
                <c:pt idx="430">
                  <c:v>-5.6532750999202297E-2</c:v>
                </c:pt>
                <c:pt idx="431">
                  <c:v>-7.2126719050306654E-2</c:v>
                </c:pt>
                <c:pt idx="432">
                  <c:v>-7.4212975800020731E-2</c:v>
                </c:pt>
                <c:pt idx="433">
                  <c:v>-7.0319847438741756E-2</c:v>
                </c:pt>
                <c:pt idx="434">
                  <c:v>-8.397808045368671E-2</c:v>
                </c:pt>
                <c:pt idx="435">
                  <c:v>-8.3612469525633948E-2</c:v>
                </c:pt>
                <c:pt idx="436">
                  <c:v>-7.8299806664127614E-2</c:v>
                </c:pt>
                <c:pt idx="437">
                  <c:v>-8.0536585127396254E-2</c:v>
                </c:pt>
                <c:pt idx="438">
                  <c:v>-8.0902263949771513E-2</c:v>
                </c:pt>
                <c:pt idx="439">
                  <c:v>-9.3205326282462586E-2</c:v>
                </c:pt>
                <c:pt idx="440">
                  <c:v>-8.6602196028290668E-2</c:v>
                </c:pt>
                <c:pt idx="441">
                  <c:v>-8.6946352350352751E-2</c:v>
                </c:pt>
                <c:pt idx="442">
                  <c:v>-7.6105801624197E-2</c:v>
                </c:pt>
                <c:pt idx="443">
                  <c:v>-7.0190848225502256E-2</c:v>
                </c:pt>
                <c:pt idx="444">
                  <c:v>-6.5351408793619892E-2</c:v>
                </c:pt>
                <c:pt idx="445">
                  <c:v>-6.152284793328433E-2</c:v>
                </c:pt>
                <c:pt idx="446">
                  <c:v>-6.7244098829149057E-2</c:v>
                </c:pt>
                <c:pt idx="447">
                  <c:v>-7.1890039441171005E-2</c:v>
                </c:pt>
                <c:pt idx="448">
                  <c:v>-6.2125002681827635E-2</c:v>
                </c:pt>
                <c:pt idx="449">
                  <c:v>-6.2168047682455874E-2</c:v>
                </c:pt>
                <c:pt idx="450">
                  <c:v>-7.4664744623652135E-2</c:v>
                </c:pt>
                <c:pt idx="451">
                  <c:v>-8.279515766827017E-2</c:v>
                </c:pt>
                <c:pt idx="452">
                  <c:v>-9.4065615246132106E-2</c:v>
                </c:pt>
                <c:pt idx="453">
                  <c:v>-9.5635943037206239E-2</c:v>
                </c:pt>
                <c:pt idx="454">
                  <c:v>-8.8817519885568852E-2</c:v>
                </c:pt>
                <c:pt idx="455">
                  <c:v>-0.10189518854660817</c:v>
                </c:pt>
                <c:pt idx="456">
                  <c:v>-0.11264951348286267</c:v>
                </c:pt>
                <c:pt idx="457">
                  <c:v>-0.11667177684602614</c:v>
                </c:pt>
                <c:pt idx="458">
                  <c:v>-0.10611074704666668</c:v>
                </c:pt>
                <c:pt idx="459">
                  <c:v>-0.10049697286372616</c:v>
                </c:pt>
                <c:pt idx="460">
                  <c:v>-9.0903980318250421E-2</c:v>
                </c:pt>
                <c:pt idx="461">
                  <c:v>-7.3481753943913208E-2</c:v>
                </c:pt>
                <c:pt idx="462">
                  <c:v>-6.5028707077550485E-2</c:v>
                </c:pt>
                <c:pt idx="463">
                  <c:v>-6.2877882826892995E-2</c:v>
                </c:pt>
                <c:pt idx="464">
                  <c:v>-6.0210722251658799E-2</c:v>
                </c:pt>
                <c:pt idx="465">
                  <c:v>-5.9522341713214133E-2</c:v>
                </c:pt>
                <c:pt idx="466">
                  <c:v>-6.6856965400783452E-2</c:v>
                </c:pt>
                <c:pt idx="467">
                  <c:v>-5.2295534210185846E-2</c:v>
                </c:pt>
                <c:pt idx="468">
                  <c:v>-5.3198800280160996E-2</c:v>
                </c:pt>
                <c:pt idx="469">
                  <c:v>-3.4830262835218284E-2</c:v>
                </c:pt>
                <c:pt idx="470">
                  <c:v>-3.2786711614519959E-2</c:v>
                </c:pt>
                <c:pt idx="471">
                  <c:v>-3.1603924617748413E-2</c:v>
                </c:pt>
                <c:pt idx="472">
                  <c:v>-3.0399343543374036E-2</c:v>
                </c:pt>
                <c:pt idx="473">
                  <c:v>-2.2935720642562996E-2</c:v>
                </c:pt>
                <c:pt idx="474">
                  <c:v>-2.5065158181552527E-2</c:v>
                </c:pt>
                <c:pt idx="475">
                  <c:v>-2.1301164822160046E-2</c:v>
                </c:pt>
                <c:pt idx="476">
                  <c:v>-2.0698942179294355E-2</c:v>
                </c:pt>
                <c:pt idx="477">
                  <c:v>-2.2462565107261412E-2</c:v>
                </c:pt>
                <c:pt idx="478">
                  <c:v>-2.1494731536342959E-2</c:v>
                </c:pt>
                <c:pt idx="479">
                  <c:v>-2.2183044180467237E-2</c:v>
                </c:pt>
                <c:pt idx="480">
                  <c:v>-1.8332825031171396E-2</c:v>
                </c:pt>
                <c:pt idx="481">
                  <c:v>-1.2525484134048082E-2</c:v>
                </c:pt>
                <c:pt idx="482">
                  <c:v>-1.7709011993667922E-2</c:v>
                </c:pt>
                <c:pt idx="483">
                  <c:v>-1.7902782390820438E-2</c:v>
                </c:pt>
                <c:pt idx="484">
                  <c:v>-2.1860274570073113E-2</c:v>
                </c:pt>
                <c:pt idx="485">
                  <c:v>-1.4396719563586791E-2</c:v>
                </c:pt>
                <c:pt idx="486">
                  <c:v>-1.0159434880247731E-2</c:v>
                </c:pt>
                <c:pt idx="487">
                  <c:v>-6.3094873082440994E-3</c:v>
                </c:pt>
                <c:pt idx="488">
                  <c:v>-1.7710234091485866E-3</c:v>
                </c:pt>
                <c:pt idx="489">
                  <c:v>0</c:v>
                </c:pt>
                <c:pt idx="490">
                  <c:v>0</c:v>
                </c:pt>
                <c:pt idx="491">
                  <c:v>-1.6465288275299139E-3</c:v>
                </c:pt>
                <c:pt idx="492">
                  <c:v>0</c:v>
                </c:pt>
                <c:pt idx="493">
                  <c:v>0</c:v>
                </c:pt>
                <c:pt idx="494">
                  <c:v>-1.3857264462288743E-2</c:v>
                </c:pt>
                <c:pt idx="495">
                  <c:v>-4.5067111390104664E-3</c:v>
                </c:pt>
                <c:pt idx="496">
                  <c:v>-2.5059721255120682E-3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-2.8949203595176609E-3</c:v>
                </c:pt>
                <c:pt idx="501">
                  <c:v>-8.475102761593134E-3</c:v>
                </c:pt>
                <c:pt idx="502">
                  <c:v>-1.6572569938756998E-2</c:v>
                </c:pt>
                <c:pt idx="503">
                  <c:v>-1.9740329699739934E-2</c:v>
                </c:pt>
                <c:pt idx="504">
                  <c:v>-1.8397632727432556E-2</c:v>
                </c:pt>
                <c:pt idx="505">
                  <c:v>-4.3842924173601583E-3</c:v>
                </c:pt>
                <c:pt idx="506">
                  <c:v>-5.8948347550841218E-3</c:v>
                </c:pt>
                <c:pt idx="507">
                  <c:v>-2.7270749941021855E-4</c:v>
                </c:pt>
                <c:pt idx="508">
                  <c:v>-7.1332631526466184E-4</c:v>
                </c:pt>
                <c:pt idx="509">
                  <c:v>-2.0972426799104049E-5</c:v>
                </c:pt>
                <c:pt idx="510">
                  <c:v>-3.6920044799222396E-3</c:v>
                </c:pt>
                <c:pt idx="511">
                  <c:v>-9.2302420284012809E-3</c:v>
                </c:pt>
                <c:pt idx="512">
                  <c:v>-4.1958043802758915E-4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-1.2704629601292261E-3</c:v>
                </c:pt>
                <c:pt idx="519">
                  <c:v>0</c:v>
                </c:pt>
                <c:pt idx="520">
                  <c:v>-7.7342811742098228E-4</c:v>
                </c:pt>
                <c:pt idx="521">
                  <c:v>-1.707826041771543E-2</c:v>
                </c:pt>
                <c:pt idx="522">
                  <c:v>-4.2136025950232359E-3</c:v>
                </c:pt>
                <c:pt idx="523">
                  <c:v>0</c:v>
                </c:pt>
                <c:pt idx="524">
                  <c:v>-3.641132568705352E-3</c:v>
                </c:pt>
                <c:pt idx="525">
                  <c:v>-7.4838613341232652E-4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-4.3895545913108514E-4</c:v>
                </c:pt>
                <c:pt idx="530">
                  <c:v>-1.420608651449573E-2</c:v>
                </c:pt>
                <c:pt idx="531">
                  <c:v>-5.2474559652023745E-3</c:v>
                </c:pt>
                <c:pt idx="532">
                  <c:v>0</c:v>
                </c:pt>
                <c:pt idx="533">
                  <c:v>-4.9799738930423887E-3</c:v>
                </c:pt>
                <c:pt idx="534">
                  <c:v>-1.0457938912922904E-2</c:v>
                </c:pt>
                <c:pt idx="535">
                  <c:v>-9.5615924593941415E-3</c:v>
                </c:pt>
                <c:pt idx="536">
                  <c:v>0</c:v>
                </c:pt>
                <c:pt idx="537">
                  <c:v>0</c:v>
                </c:pt>
                <c:pt idx="538">
                  <c:v>-3.6625170438536747E-3</c:v>
                </c:pt>
                <c:pt idx="539">
                  <c:v>-1.8115728951948462E-3</c:v>
                </c:pt>
                <c:pt idx="540">
                  <c:v>-3.1308194086414609E-3</c:v>
                </c:pt>
                <c:pt idx="541">
                  <c:v>0</c:v>
                </c:pt>
                <c:pt idx="542">
                  <c:v>0</c:v>
                </c:pt>
                <c:pt idx="543">
                  <c:v>-1.0723376427300702E-3</c:v>
                </c:pt>
                <c:pt idx="544">
                  <c:v>-1.1055811517701852E-2</c:v>
                </c:pt>
                <c:pt idx="545">
                  <c:v>-6.0447034777690867E-3</c:v>
                </c:pt>
                <c:pt idx="546">
                  <c:v>0</c:v>
                </c:pt>
                <c:pt idx="547">
                  <c:v>-6.002148112792538E-3</c:v>
                </c:pt>
                <c:pt idx="548">
                  <c:v>-6.8568498026044811E-3</c:v>
                </c:pt>
                <c:pt idx="549">
                  <c:v>0</c:v>
                </c:pt>
                <c:pt idx="550">
                  <c:v>-1.567347105637662E-3</c:v>
                </c:pt>
                <c:pt idx="551">
                  <c:v>-3.541253002879774E-3</c:v>
                </c:pt>
                <c:pt idx="552">
                  <c:v>-1.0383461653134307E-2</c:v>
                </c:pt>
                <c:pt idx="553">
                  <c:v>-4.5020165814918522E-3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-1.8958732333044237E-3</c:v>
                </c:pt>
                <c:pt idx="558">
                  <c:v>-4.6534688346444586E-3</c:v>
                </c:pt>
                <c:pt idx="559">
                  <c:v>-6.4917858796951222E-3</c:v>
                </c:pt>
                <c:pt idx="560">
                  <c:v>0</c:v>
                </c:pt>
                <c:pt idx="561">
                  <c:v>-1.9103900658345996E-4</c:v>
                </c:pt>
                <c:pt idx="562">
                  <c:v>-1.9304584468891051E-3</c:v>
                </c:pt>
                <c:pt idx="563">
                  <c:v>-8.2762602553931863E-3</c:v>
                </c:pt>
                <c:pt idx="564">
                  <c:v>-7.1868766446332444E-3</c:v>
                </c:pt>
                <c:pt idx="565">
                  <c:v>-1.9305303336275892E-2</c:v>
                </c:pt>
                <c:pt idx="566">
                  <c:v>-9.0600054178642253E-3</c:v>
                </c:pt>
                <c:pt idx="567">
                  <c:v>-8.5058185724911084E-3</c:v>
                </c:pt>
                <c:pt idx="568">
                  <c:v>-7.3589854768432161E-3</c:v>
                </c:pt>
                <c:pt idx="569">
                  <c:v>-1.7298285513276834E-2</c:v>
                </c:pt>
                <c:pt idx="570">
                  <c:v>-9.8820901740052092E-3</c:v>
                </c:pt>
                <c:pt idx="571">
                  <c:v>-2.3548657676910612E-2</c:v>
                </c:pt>
                <c:pt idx="572">
                  <c:v>-3.5781683810256593E-2</c:v>
                </c:pt>
                <c:pt idx="573">
                  <c:v>-3.7540273047397155E-2</c:v>
                </c:pt>
                <c:pt idx="574">
                  <c:v>-4.3236458365657482E-2</c:v>
                </c:pt>
                <c:pt idx="575">
                  <c:v>-4.5205136594986817E-2</c:v>
                </c:pt>
                <c:pt idx="576">
                  <c:v>-5.3538846335267953E-2</c:v>
                </c:pt>
                <c:pt idx="577">
                  <c:v>-4.4822818959360355E-2</c:v>
                </c:pt>
                <c:pt idx="578">
                  <c:v>-3.3488017618960919E-2</c:v>
                </c:pt>
                <c:pt idx="579">
                  <c:v>-3.3946834725080532E-2</c:v>
                </c:pt>
                <c:pt idx="580">
                  <c:v>-3.7616772517892083E-2</c:v>
                </c:pt>
                <c:pt idx="581">
                  <c:v>-2.8499137898293392E-2</c:v>
                </c:pt>
                <c:pt idx="582">
                  <c:v>-2.5058698516964739E-2</c:v>
                </c:pt>
                <c:pt idx="583">
                  <c:v>-4.0502965148230707E-2</c:v>
                </c:pt>
                <c:pt idx="584">
                  <c:v>-4.3618536378822625E-2</c:v>
                </c:pt>
                <c:pt idx="585">
                  <c:v>-3.4673130402663621E-2</c:v>
                </c:pt>
                <c:pt idx="586">
                  <c:v>-2.2707582840779339E-2</c:v>
                </c:pt>
                <c:pt idx="587">
                  <c:v>-1.2615283863355642E-2</c:v>
                </c:pt>
                <c:pt idx="588">
                  <c:v>-1.1525900252597698E-2</c:v>
                </c:pt>
                <c:pt idx="589">
                  <c:v>-1.1430171079654827E-2</c:v>
                </c:pt>
                <c:pt idx="590">
                  <c:v>-5.7342852894687324E-3</c:v>
                </c:pt>
                <c:pt idx="591">
                  <c:v>-4.4536829552827006E-3</c:v>
                </c:pt>
                <c:pt idx="592">
                  <c:v>-4.319853811129426E-3</c:v>
                </c:pt>
                <c:pt idx="593">
                  <c:v>0</c:v>
                </c:pt>
                <c:pt idx="594">
                  <c:v>0</c:v>
                </c:pt>
                <c:pt idx="595">
                  <c:v>-2.057639461244487E-3</c:v>
                </c:pt>
                <c:pt idx="596">
                  <c:v>-6.2293552777126227E-4</c:v>
                </c:pt>
                <c:pt idx="597">
                  <c:v>0</c:v>
                </c:pt>
                <c:pt idx="598">
                  <c:v>0</c:v>
                </c:pt>
                <c:pt idx="599">
                  <c:v>-2.8795139861678143E-3</c:v>
                </c:pt>
                <c:pt idx="600">
                  <c:v>-1.0162525620419194E-2</c:v>
                </c:pt>
                <c:pt idx="601">
                  <c:v>-3.6134892431101129E-3</c:v>
                </c:pt>
                <c:pt idx="602">
                  <c:v>-2.9171446687404901E-3</c:v>
                </c:pt>
                <c:pt idx="603">
                  <c:v>-9.8992288069359446E-3</c:v>
                </c:pt>
                <c:pt idx="604">
                  <c:v>-1.6467375436837406E-2</c:v>
                </c:pt>
                <c:pt idx="605">
                  <c:v>-7.5090316587275163E-3</c:v>
                </c:pt>
                <c:pt idx="606">
                  <c:v>-6.6999130011649033E-3</c:v>
                </c:pt>
                <c:pt idx="607">
                  <c:v>-5.5896309185012871E-3</c:v>
                </c:pt>
                <c:pt idx="608">
                  <c:v>0</c:v>
                </c:pt>
                <c:pt idx="609">
                  <c:v>-1.8640246754908496E-5</c:v>
                </c:pt>
                <c:pt idx="610">
                  <c:v>-1.2343594847800121E-3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-2.7164444541954991E-3</c:v>
                </c:pt>
                <c:pt idx="619">
                  <c:v>-4.0536390927544685E-3</c:v>
                </c:pt>
                <c:pt idx="620">
                  <c:v>-7.2908592044089726E-3</c:v>
                </c:pt>
                <c:pt idx="621">
                  <c:v>-3.4680664640921455E-3</c:v>
                </c:pt>
                <c:pt idx="622">
                  <c:v>-2.2243531702347275E-3</c:v>
                </c:pt>
                <c:pt idx="623">
                  <c:v>-6.5139812321912682E-4</c:v>
                </c:pt>
                <c:pt idx="624">
                  <c:v>-4.5840143015029033E-3</c:v>
                </c:pt>
                <c:pt idx="625">
                  <c:v>-2.5351957834199856E-3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-8.6228985664047464E-3</c:v>
                </c:pt>
                <c:pt idx="633">
                  <c:v>-2.3693269335021139E-3</c:v>
                </c:pt>
                <c:pt idx="634">
                  <c:v>0</c:v>
                </c:pt>
                <c:pt idx="635">
                  <c:v>0</c:v>
                </c:pt>
                <c:pt idx="636">
                  <c:v>-1.402123565533564E-2</c:v>
                </c:pt>
                <c:pt idx="637">
                  <c:v>-2.1598350736961147E-2</c:v>
                </c:pt>
                <c:pt idx="638">
                  <c:v>-2.8095564873475198E-2</c:v>
                </c:pt>
                <c:pt idx="639">
                  <c:v>-1.807515039857821E-2</c:v>
                </c:pt>
                <c:pt idx="640">
                  <c:v>-1.9615416777831296E-2</c:v>
                </c:pt>
                <c:pt idx="641">
                  <c:v>-4.1833413637346717E-2</c:v>
                </c:pt>
                <c:pt idx="642">
                  <c:v>-4.6825978326322404E-2</c:v>
                </c:pt>
                <c:pt idx="643">
                  <c:v>-3.6150411408745198E-2</c:v>
                </c:pt>
                <c:pt idx="644">
                  <c:v>-3.5583969460582066E-2</c:v>
                </c:pt>
                <c:pt idx="645">
                  <c:v>-4.0470457635540469E-2</c:v>
                </c:pt>
                <c:pt idx="646">
                  <c:v>-2.4873559892414354E-2</c:v>
                </c:pt>
                <c:pt idx="647">
                  <c:v>-3.8682200073357653E-2</c:v>
                </c:pt>
                <c:pt idx="648">
                  <c:v>-5.6580482540845578E-2</c:v>
                </c:pt>
                <c:pt idx="649">
                  <c:v>-8.4056290680177614E-2</c:v>
                </c:pt>
                <c:pt idx="650">
                  <c:v>-7.5611538293068103E-2</c:v>
                </c:pt>
                <c:pt idx="651">
                  <c:v>-8.1790301664350085E-2</c:v>
                </c:pt>
                <c:pt idx="652">
                  <c:v>-6.0563827090194033E-2</c:v>
                </c:pt>
                <c:pt idx="653">
                  <c:v>-5.64210912408456E-2</c:v>
                </c:pt>
                <c:pt idx="654">
                  <c:v>-5.5925330098165138E-2</c:v>
                </c:pt>
                <c:pt idx="655">
                  <c:v>-4.0399776830057688E-2</c:v>
                </c:pt>
                <c:pt idx="656">
                  <c:v>-3.737222702276477E-2</c:v>
                </c:pt>
                <c:pt idx="657">
                  <c:v>-2.0872406877209149E-2</c:v>
                </c:pt>
                <c:pt idx="658">
                  <c:v>-1.8677209278453399E-2</c:v>
                </c:pt>
                <c:pt idx="659">
                  <c:v>-9.2945812267352101E-3</c:v>
                </c:pt>
                <c:pt idx="660">
                  <c:v>-1.0905528411471188E-2</c:v>
                </c:pt>
                <c:pt idx="661">
                  <c:v>-7.5063236645523945E-3</c:v>
                </c:pt>
                <c:pt idx="662">
                  <c:v>-1.5295923608981465E-2</c:v>
                </c:pt>
                <c:pt idx="663">
                  <c:v>-4.8330627773855994E-3</c:v>
                </c:pt>
                <c:pt idx="664">
                  <c:v>-7.2053495304091886E-3</c:v>
                </c:pt>
                <c:pt idx="665">
                  <c:v>-5.84228291701272E-3</c:v>
                </c:pt>
                <c:pt idx="666">
                  <c:v>-1.1613442582187328E-2</c:v>
                </c:pt>
                <c:pt idx="667">
                  <c:v>-1.1525174534026905E-2</c:v>
                </c:pt>
                <c:pt idx="668">
                  <c:v>-2.0890104731470238E-3</c:v>
                </c:pt>
                <c:pt idx="669">
                  <c:v>-2.2625047507677132E-2</c:v>
                </c:pt>
                <c:pt idx="670">
                  <c:v>-2.4625679321074956E-2</c:v>
                </c:pt>
                <c:pt idx="671">
                  <c:v>-2.6997966074098656E-2</c:v>
                </c:pt>
                <c:pt idx="672">
                  <c:v>-4.3373680016599914E-2</c:v>
                </c:pt>
                <c:pt idx="673">
                  <c:v>-3.2663159836843536E-2</c:v>
                </c:pt>
                <c:pt idx="674">
                  <c:v>-2.8449632570423433E-2</c:v>
                </c:pt>
                <c:pt idx="675">
                  <c:v>-1.8482532881506475E-2</c:v>
                </c:pt>
                <c:pt idx="676">
                  <c:v>-1.0214980260255135E-2</c:v>
                </c:pt>
                <c:pt idx="677">
                  <c:v>-5.0456582517793835E-3</c:v>
                </c:pt>
                <c:pt idx="678">
                  <c:v>-3.5762939011866335E-3</c:v>
                </c:pt>
                <c:pt idx="679">
                  <c:v>-3.1690220298459248E-3</c:v>
                </c:pt>
                <c:pt idx="680">
                  <c:v>-6.1253379737102875E-3</c:v>
                </c:pt>
                <c:pt idx="681">
                  <c:v>0</c:v>
                </c:pt>
                <c:pt idx="682">
                  <c:v>-1.7288213638072536E-3</c:v>
                </c:pt>
                <c:pt idx="683">
                  <c:v>0</c:v>
                </c:pt>
                <c:pt idx="684">
                  <c:v>0</c:v>
                </c:pt>
                <c:pt idx="685">
                  <c:v>-2.2056828114733751E-3</c:v>
                </c:pt>
                <c:pt idx="686">
                  <c:v>0</c:v>
                </c:pt>
                <c:pt idx="687">
                  <c:v>-1.4502902539620388E-3</c:v>
                </c:pt>
                <c:pt idx="688">
                  <c:v>0</c:v>
                </c:pt>
                <c:pt idx="689">
                  <c:v>-8.9583884063579866E-3</c:v>
                </c:pt>
                <c:pt idx="690">
                  <c:v>-8.5399872221537665E-3</c:v>
                </c:pt>
                <c:pt idx="691">
                  <c:v>-1.0352552393783521E-2</c:v>
                </c:pt>
                <c:pt idx="692">
                  <c:v>-1.3593153158822924E-3</c:v>
                </c:pt>
                <c:pt idx="693">
                  <c:v>-1.038750962816759E-2</c:v>
                </c:pt>
                <c:pt idx="694">
                  <c:v>-1.0281986547981958E-3</c:v>
                </c:pt>
                <c:pt idx="695">
                  <c:v>0</c:v>
                </c:pt>
                <c:pt idx="696">
                  <c:v>-1.7500366951885837E-3</c:v>
                </c:pt>
                <c:pt idx="697">
                  <c:v>0</c:v>
                </c:pt>
                <c:pt idx="698">
                  <c:v>0</c:v>
                </c:pt>
                <c:pt idx="699">
                  <c:v>-7.769708923203833E-3</c:v>
                </c:pt>
                <c:pt idx="700">
                  <c:v>-3.4570652852327077E-3</c:v>
                </c:pt>
                <c:pt idx="701">
                  <c:v>-3.3715714104645134E-3</c:v>
                </c:pt>
                <c:pt idx="702">
                  <c:v>0</c:v>
                </c:pt>
                <c:pt idx="703">
                  <c:v>-1.6423863978775044E-3</c:v>
                </c:pt>
                <c:pt idx="704">
                  <c:v>-2.1725871709307176E-3</c:v>
                </c:pt>
                <c:pt idx="705">
                  <c:v>-1.1290207779886541E-2</c:v>
                </c:pt>
                <c:pt idx="706">
                  <c:v>-9.1517171216910498E-3</c:v>
                </c:pt>
                <c:pt idx="707">
                  <c:v>-9.4940674198874531E-3</c:v>
                </c:pt>
                <c:pt idx="708">
                  <c:v>-6.4318809213389505E-3</c:v>
                </c:pt>
                <c:pt idx="709">
                  <c:v>-4.8240172426058381E-3</c:v>
                </c:pt>
                <c:pt idx="710">
                  <c:v>-7.8346327656402259E-3</c:v>
                </c:pt>
                <c:pt idx="711">
                  <c:v>-2.7284242594982633E-2</c:v>
                </c:pt>
                <c:pt idx="712">
                  <c:v>-2.3178809358299413E-2</c:v>
                </c:pt>
                <c:pt idx="713">
                  <c:v>-2.5282883848951165E-2</c:v>
                </c:pt>
                <c:pt idx="714">
                  <c:v>-1.3496678360349845E-2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-3.1064400712769169E-3</c:v>
                </c:pt>
                <c:pt idx="720">
                  <c:v>-2.6222844136731815E-3</c:v>
                </c:pt>
                <c:pt idx="721">
                  <c:v>-9.0353182917729535E-3</c:v>
                </c:pt>
                <c:pt idx="722">
                  <c:v>-2.1728123607623329E-2</c:v>
                </c:pt>
                <c:pt idx="723">
                  <c:v>-1.771984739630128E-2</c:v>
                </c:pt>
                <c:pt idx="724">
                  <c:v>-1.4129251667419296E-2</c:v>
                </c:pt>
                <c:pt idx="725">
                  <c:v>-1.3795315341481929E-2</c:v>
                </c:pt>
                <c:pt idx="726">
                  <c:v>-8.5010201702739874E-3</c:v>
                </c:pt>
                <c:pt idx="727">
                  <c:v>-5.4279737315904297E-3</c:v>
                </c:pt>
                <c:pt idx="728">
                  <c:v>-2.054280569556366E-3</c:v>
                </c:pt>
                <c:pt idx="729">
                  <c:v>0</c:v>
                </c:pt>
                <c:pt idx="730">
                  <c:v>-3.0302951740412976E-3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-1.6458419887134257E-3</c:v>
                </c:pt>
                <c:pt idx="736">
                  <c:v>0</c:v>
                </c:pt>
                <c:pt idx="737">
                  <c:v>-5.1496730700580917E-3</c:v>
                </c:pt>
                <c:pt idx="738">
                  <c:v>-8.2426538248329129E-3</c:v>
                </c:pt>
                <c:pt idx="739">
                  <c:v>-5.7563609222888168E-4</c:v>
                </c:pt>
                <c:pt idx="740">
                  <c:v>-5.7253091622870844E-3</c:v>
                </c:pt>
                <c:pt idx="741">
                  <c:v>-5.9228926384875535E-3</c:v>
                </c:pt>
                <c:pt idx="742">
                  <c:v>-1.6782297750305153E-3</c:v>
                </c:pt>
                <c:pt idx="743">
                  <c:v>-5.7912044813728247E-3</c:v>
                </c:pt>
                <c:pt idx="744">
                  <c:v>-3.5422269604906909E-2</c:v>
                </c:pt>
                <c:pt idx="745">
                  <c:v>-3.5718439857095996E-2</c:v>
                </c:pt>
                <c:pt idx="746">
                  <c:v>-2.4136440818573246E-2</c:v>
                </c:pt>
                <c:pt idx="747">
                  <c:v>-1.8292663555409372E-2</c:v>
                </c:pt>
                <c:pt idx="748">
                  <c:v>-7.3808906239152261E-3</c:v>
                </c:pt>
                <c:pt idx="749">
                  <c:v>-7.3148928237735111E-3</c:v>
                </c:pt>
                <c:pt idx="750">
                  <c:v>-1.7764373711107617E-2</c:v>
                </c:pt>
                <c:pt idx="751">
                  <c:v>-2.8973239224295622E-2</c:v>
                </c:pt>
                <c:pt idx="752">
                  <c:v>-3.2505966190883973E-2</c:v>
                </c:pt>
                <c:pt idx="753">
                  <c:v>-3.48830142876011E-2</c:v>
                </c:pt>
                <c:pt idx="754">
                  <c:v>-2.2815767448347013E-2</c:v>
                </c:pt>
                <c:pt idx="755">
                  <c:v>-1.7186585516700381E-2</c:v>
                </c:pt>
                <c:pt idx="756">
                  <c:v>-2.8296454329675313E-2</c:v>
                </c:pt>
                <c:pt idx="757">
                  <c:v>-2.6876784259237341E-2</c:v>
                </c:pt>
                <c:pt idx="758">
                  <c:v>-4.1733872889260781E-2</c:v>
                </c:pt>
                <c:pt idx="759">
                  <c:v>-4.0248102537625341E-2</c:v>
                </c:pt>
                <c:pt idx="760">
                  <c:v>-3.8927634129512056E-2</c:v>
                </c:pt>
                <c:pt idx="761">
                  <c:v>-2.1445698209071495E-2</c:v>
                </c:pt>
                <c:pt idx="762">
                  <c:v>-2.3327557842613866E-2</c:v>
                </c:pt>
                <c:pt idx="763">
                  <c:v>-1.3521760468772959E-2</c:v>
                </c:pt>
                <c:pt idx="764">
                  <c:v>-4.4921546139884416E-3</c:v>
                </c:pt>
                <c:pt idx="765">
                  <c:v>0</c:v>
                </c:pt>
                <c:pt idx="766">
                  <c:v>0</c:v>
                </c:pt>
                <c:pt idx="767">
                  <c:v>-2.9191634446454895E-3</c:v>
                </c:pt>
                <c:pt idx="768">
                  <c:v>-1.7023328872595611E-2</c:v>
                </c:pt>
                <c:pt idx="769">
                  <c:v>-8.5770788654684349E-3</c:v>
                </c:pt>
                <c:pt idx="770">
                  <c:v>-1.3021696617142808E-2</c:v>
                </c:pt>
                <c:pt idx="771">
                  <c:v>-7.7244005085725931E-3</c:v>
                </c:pt>
                <c:pt idx="772">
                  <c:v>-1.300530483022122E-2</c:v>
                </c:pt>
                <c:pt idx="773">
                  <c:v>-1.9647338340328502E-2</c:v>
                </c:pt>
                <c:pt idx="774">
                  <c:v>-1.3070770165562795E-2</c:v>
                </c:pt>
                <c:pt idx="775">
                  <c:v>-9.0692397224507726E-3</c:v>
                </c:pt>
                <c:pt idx="776">
                  <c:v>-5.6251318469811018E-3</c:v>
                </c:pt>
                <c:pt idx="777">
                  <c:v>-1.4727155143273829E-2</c:v>
                </c:pt>
                <c:pt idx="778">
                  <c:v>-8.0360480847463389E-3</c:v>
                </c:pt>
                <c:pt idx="779">
                  <c:v>-7.281516824693357E-3</c:v>
                </c:pt>
                <c:pt idx="780">
                  <c:v>-1.0479544271670527E-2</c:v>
                </c:pt>
                <c:pt idx="781">
                  <c:v>-3.278357384062236E-5</c:v>
                </c:pt>
                <c:pt idx="782">
                  <c:v>-8.1958934602721634E-5</c:v>
                </c:pt>
                <c:pt idx="783">
                  <c:v>0</c:v>
                </c:pt>
                <c:pt idx="784">
                  <c:v>0</c:v>
                </c:pt>
                <c:pt idx="785">
                  <c:v>-4.1604469788887322E-3</c:v>
                </c:pt>
                <c:pt idx="786">
                  <c:v>-2.1193394088938611E-2</c:v>
                </c:pt>
                <c:pt idx="787">
                  <c:v>-2.5647463673951321E-2</c:v>
                </c:pt>
                <c:pt idx="788">
                  <c:v>-3.0492895021663857E-2</c:v>
                </c:pt>
                <c:pt idx="789">
                  <c:v>-3.0003591534188745E-2</c:v>
                </c:pt>
                <c:pt idx="790">
                  <c:v>-4.5486588060752009E-2</c:v>
                </c:pt>
                <c:pt idx="791">
                  <c:v>-3.0590735462339591E-2</c:v>
                </c:pt>
                <c:pt idx="792">
                  <c:v>-4.7574964920252483E-2</c:v>
                </c:pt>
                <c:pt idx="793">
                  <c:v>-5.8848594247590702E-2</c:v>
                </c:pt>
                <c:pt idx="794">
                  <c:v>-4.8733249888739949E-2</c:v>
                </c:pt>
                <c:pt idx="795">
                  <c:v>-6.5619335053678118E-2</c:v>
                </c:pt>
                <c:pt idx="796">
                  <c:v>-6.0382238090965101E-2</c:v>
                </c:pt>
                <c:pt idx="797">
                  <c:v>-8.5409437936041277E-2</c:v>
                </c:pt>
                <c:pt idx="798">
                  <c:v>-9.3012531476567073E-2</c:v>
                </c:pt>
                <c:pt idx="799">
                  <c:v>-8.8199409756778313E-2</c:v>
                </c:pt>
                <c:pt idx="800">
                  <c:v>-0.10035421075479156</c:v>
                </c:pt>
                <c:pt idx="801">
                  <c:v>-8.1771211777154074E-2</c:v>
                </c:pt>
                <c:pt idx="802">
                  <c:v>-7.46905416248278E-2</c:v>
                </c:pt>
                <c:pt idx="803">
                  <c:v>-8.4691637518790941E-2</c:v>
                </c:pt>
                <c:pt idx="804">
                  <c:v>-7.4723155105053451E-2</c:v>
                </c:pt>
                <c:pt idx="805">
                  <c:v>-7.7398777176803102E-2</c:v>
                </c:pt>
                <c:pt idx="806">
                  <c:v>-7.7094418456070346E-2</c:v>
                </c:pt>
                <c:pt idx="807">
                  <c:v>-6.0566473869006598E-2</c:v>
                </c:pt>
                <c:pt idx="808">
                  <c:v>-5.8308446141875914E-2</c:v>
                </c:pt>
                <c:pt idx="809">
                  <c:v>-6.9550474829989772E-2</c:v>
                </c:pt>
                <c:pt idx="810">
                  <c:v>-7.2021401735482993E-2</c:v>
                </c:pt>
                <c:pt idx="811">
                  <c:v>-9.0709432324902139E-2</c:v>
                </c:pt>
                <c:pt idx="812">
                  <c:v>-8.460554603372572E-2</c:v>
                </c:pt>
                <c:pt idx="813">
                  <c:v>-8.2020066811044345E-2</c:v>
                </c:pt>
                <c:pt idx="814">
                  <c:v>-7.6210714682893532E-2</c:v>
                </c:pt>
                <c:pt idx="815">
                  <c:v>-0.12173579070167384</c:v>
                </c:pt>
                <c:pt idx="816">
                  <c:v>-0.17315200575941891</c:v>
                </c:pt>
                <c:pt idx="817">
                  <c:v>-0.17462472721659716</c:v>
                </c:pt>
                <c:pt idx="818">
                  <c:v>-0.18755247782435291</c:v>
                </c:pt>
                <c:pt idx="819">
                  <c:v>-0.10222968843592828</c:v>
                </c:pt>
                <c:pt idx="820">
                  <c:v>-0.14156924317887032</c:v>
                </c:pt>
                <c:pt idx="821">
                  <c:v>-0.12625245386053519</c:v>
                </c:pt>
                <c:pt idx="822">
                  <c:v>-0.11777578495684038</c:v>
                </c:pt>
                <c:pt idx="823">
                  <c:v>-0.1202467118623336</c:v>
                </c:pt>
                <c:pt idx="824">
                  <c:v>-0.13980193691661635</c:v>
                </c:pt>
                <c:pt idx="825">
                  <c:v>-0.1385746774759764</c:v>
                </c:pt>
                <c:pt idx="826">
                  <c:v>-0.15907883326388583</c:v>
                </c:pt>
                <c:pt idx="827">
                  <c:v>-0.13719994838562344</c:v>
                </c:pt>
                <c:pt idx="828">
                  <c:v>-0.12383044717537983</c:v>
                </c:pt>
                <c:pt idx="829">
                  <c:v>-0.10538792924454876</c:v>
                </c:pt>
                <c:pt idx="830">
                  <c:v>-9.8924281829896654E-2</c:v>
                </c:pt>
                <c:pt idx="831">
                  <c:v>-9.8580624878332412E-2</c:v>
                </c:pt>
                <c:pt idx="832">
                  <c:v>-9.2902233091581632E-2</c:v>
                </c:pt>
                <c:pt idx="833">
                  <c:v>-9.2542269399906396E-2</c:v>
                </c:pt>
                <c:pt idx="834">
                  <c:v>-8.6111235465478608E-2</c:v>
                </c:pt>
                <c:pt idx="835">
                  <c:v>-7.2545243101084345E-2</c:v>
                </c:pt>
                <c:pt idx="836">
                  <c:v>-7.7863468627959231E-2</c:v>
                </c:pt>
                <c:pt idx="837">
                  <c:v>-8.5571188643864815E-2</c:v>
                </c:pt>
                <c:pt idx="838">
                  <c:v>-8.1725532648018628E-2</c:v>
                </c:pt>
                <c:pt idx="839">
                  <c:v>-7.5327112193816603E-2</c:v>
                </c:pt>
                <c:pt idx="840">
                  <c:v>-7.6505248845919249E-2</c:v>
                </c:pt>
                <c:pt idx="841">
                  <c:v>-4.598612124233481E-2</c:v>
                </c:pt>
                <c:pt idx="842">
                  <c:v>-3.9685845081107507E-2</c:v>
                </c:pt>
                <c:pt idx="843">
                  <c:v>-3.8458585640467557E-2</c:v>
                </c:pt>
                <c:pt idx="844">
                  <c:v>-3.376214320396953E-2</c:v>
                </c:pt>
                <c:pt idx="845">
                  <c:v>-2.764184888857979E-2</c:v>
                </c:pt>
                <c:pt idx="846">
                  <c:v>-2.6578264553665187E-2</c:v>
                </c:pt>
                <c:pt idx="847">
                  <c:v>-2.9851158963572155E-2</c:v>
                </c:pt>
                <c:pt idx="848">
                  <c:v>-4.6198919136597572E-2</c:v>
                </c:pt>
                <c:pt idx="849">
                  <c:v>-4.5822344852509689E-2</c:v>
                </c:pt>
                <c:pt idx="850">
                  <c:v>-5.2335520192099416E-2</c:v>
                </c:pt>
                <c:pt idx="851">
                  <c:v>-3.2633028056304414E-2</c:v>
                </c:pt>
                <c:pt idx="852">
                  <c:v>-3.8229582290192465E-2</c:v>
                </c:pt>
                <c:pt idx="853">
                  <c:v>-3.4433049082883582E-2</c:v>
                </c:pt>
                <c:pt idx="854">
                  <c:v>-3.5513142726111169E-2</c:v>
                </c:pt>
                <c:pt idx="855">
                  <c:v>-3.0080061029747585E-2</c:v>
                </c:pt>
                <c:pt idx="856">
                  <c:v>-2.4549138892709821E-2</c:v>
                </c:pt>
                <c:pt idx="857">
                  <c:v>-2.4810958291410112E-2</c:v>
                </c:pt>
                <c:pt idx="858">
                  <c:v>-2.9523910036221235E-2</c:v>
                </c:pt>
                <c:pt idx="859">
                  <c:v>-1.9557959724985308E-2</c:v>
                </c:pt>
                <c:pt idx="860">
                  <c:v>-1.8674458520009374E-2</c:v>
                </c:pt>
                <c:pt idx="861">
                  <c:v>-1.3110619050445305E-2</c:v>
                </c:pt>
                <c:pt idx="862">
                  <c:v>-1.5925304191602541E-2</c:v>
                </c:pt>
                <c:pt idx="863">
                  <c:v>-1.2014218667105503E-2</c:v>
                </c:pt>
                <c:pt idx="864">
                  <c:v>-2.3059958769268474E-2</c:v>
                </c:pt>
                <c:pt idx="865">
                  <c:v>-1.3765116905147479E-2</c:v>
                </c:pt>
                <c:pt idx="866">
                  <c:v>-2.2192561736203875E-2</c:v>
                </c:pt>
                <c:pt idx="867">
                  <c:v>-2.2339930101817118E-2</c:v>
                </c:pt>
                <c:pt idx="868">
                  <c:v>-2.4635939366476012E-2</c:v>
                </c:pt>
                <c:pt idx="869">
                  <c:v>-1.5001998335295141E-2</c:v>
                </c:pt>
                <c:pt idx="870">
                  <c:v>-4.1204397593577191E-3</c:v>
                </c:pt>
                <c:pt idx="871">
                  <c:v>-3.5623643679294492E-3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-3.2351440318323377E-4</c:v>
                </c:pt>
                <c:pt idx="876">
                  <c:v>0</c:v>
                </c:pt>
                <c:pt idx="877">
                  <c:v>0</c:v>
                </c:pt>
                <c:pt idx="878">
                  <c:v>-7.4520698702844612E-3</c:v>
                </c:pt>
                <c:pt idx="879">
                  <c:v>-7.9957234036089897E-3</c:v>
                </c:pt>
                <c:pt idx="880">
                  <c:v>-2.0470149286139216E-3</c:v>
                </c:pt>
                <c:pt idx="881">
                  <c:v>0</c:v>
                </c:pt>
                <c:pt idx="882">
                  <c:v>-3.5154084840555155E-3</c:v>
                </c:pt>
                <c:pt idx="883">
                  <c:v>-1.6139324167886437E-3</c:v>
                </c:pt>
                <c:pt idx="884">
                  <c:v>-5.8802479304697064E-3</c:v>
                </c:pt>
                <c:pt idx="885">
                  <c:v>-2.5566338223308449E-3</c:v>
                </c:pt>
                <c:pt idx="886">
                  <c:v>0</c:v>
                </c:pt>
                <c:pt idx="887">
                  <c:v>-7.3243279015400287E-4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-2.5106900474680671E-4</c:v>
                </c:pt>
                <c:pt idx="894">
                  <c:v>-2.8879715958819441E-3</c:v>
                </c:pt>
                <c:pt idx="895">
                  <c:v>-4.143800934825248E-3</c:v>
                </c:pt>
                <c:pt idx="896">
                  <c:v>-7.8794210108537044E-3</c:v>
                </c:pt>
                <c:pt idx="897">
                  <c:v>-2.4140691631178268E-2</c:v>
                </c:pt>
                <c:pt idx="898">
                  <c:v>-9.3078602905598551E-3</c:v>
                </c:pt>
                <c:pt idx="899">
                  <c:v>-1.4330499605041624E-2</c:v>
                </c:pt>
                <c:pt idx="900">
                  <c:v>-6.7807035259603854E-3</c:v>
                </c:pt>
                <c:pt idx="901">
                  <c:v>-7.6125633302679407E-3</c:v>
                </c:pt>
                <c:pt idx="902">
                  <c:v>0</c:v>
                </c:pt>
                <c:pt idx="903">
                  <c:v>-1.9774044951010872E-3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-2.3412936104085791E-3</c:v>
                </c:pt>
                <c:pt idx="908">
                  <c:v>-2.5583050905837457E-3</c:v>
                </c:pt>
                <c:pt idx="909">
                  <c:v>-7.9696222201387501E-3</c:v>
                </c:pt>
                <c:pt idx="910">
                  <c:v>-1.0605622778933399E-2</c:v>
                </c:pt>
                <c:pt idx="911">
                  <c:v>-1.4574789542878386E-2</c:v>
                </c:pt>
                <c:pt idx="912">
                  <c:v>0</c:v>
                </c:pt>
                <c:pt idx="913">
                  <c:v>-4.4010200352044837E-3</c:v>
                </c:pt>
                <c:pt idx="914">
                  <c:v>-2.3247821006910918E-4</c:v>
                </c:pt>
                <c:pt idx="915">
                  <c:v>0</c:v>
                </c:pt>
                <c:pt idx="916">
                  <c:v>0</c:v>
                </c:pt>
                <c:pt idx="917">
                  <c:v>-5.9637339245178778E-3</c:v>
                </c:pt>
                <c:pt idx="918">
                  <c:v>-1.3329888224803854E-2</c:v>
                </c:pt>
                <c:pt idx="919">
                  <c:v>-7.9824889076891559E-3</c:v>
                </c:pt>
                <c:pt idx="920">
                  <c:v>0</c:v>
                </c:pt>
                <c:pt idx="921">
                  <c:v>-2.8963839692850435E-3</c:v>
                </c:pt>
                <c:pt idx="922">
                  <c:v>-4.4663598397176596E-4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-3.3472424849534388E-4</c:v>
                </c:pt>
                <c:pt idx="927">
                  <c:v>0</c:v>
                </c:pt>
                <c:pt idx="928">
                  <c:v>-1.3768848246962229E-3</c:v>
                </c:pt>
                <c:pt idx="929">
                  <c:v>-2.6176311661145757E-3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-5.4434706499808527E-3</c:v>
                </c:pt>
                <c:pt idx="934">
                  <c:v>-8.6078155849894644E-3</c:v>
                </c:pt>
                <c:pt idx="935">
                  <c:v>-1.318157127149866E-2</c:v>
                </c:pt>
                <c:pt idx="936">
                  <c:v>-7.5279625727249222E-3</c:v>
                </c:pt>
                <c:pt idx="937">
                  <c:v>-4.7387652742305608E-3</c:v>
                </c:pt>
                <c:pt idx="938">
                  <c:v>-9.89780664605866E-4</c:v>
                </c:pt>
                <c:pt idx="939">
                  <c:v>0</c:v>
                </c:pt>
                <c:pt idx="940">
                  <c:v>0</c:v>
                </c:pt>
                <c:pt idx="941">
                  <c:v>-1.4805406383766595E-5</c:v>
                </c:pt>
                <c:pt idx="942">
                  <c:v>0</c:v>
                </c:pt>
                <c:pt idx="943">
                  <c:v>-3.7075138893175597E-3</c:v>
                </c:pt>
                <c:pt idx="944">
                  <c:v>0</c:v>
                </c:pt>
                <c:pt idx="945">
                  <c:v>-2.896974724932333E-3</c:v>
                </c:pt>
                <c:pt idx="946">
                  <c:v>-2.9846537870176992E-2</c:v>
                </c:pt>
                <c:pt idx="947">
                  <c:v>-1.4960388538014069E-2</c:v>
                </c:pt>
                <c:pt idx="948">
                  <c:v>-1.6163758522536931E-2</c:v>
                </c:pt>
                <c:pt idx="949">
                  <c:v>-1.1795896674749895E-2</c:v>
                </c:pt>
                <c:pt idx="950">
                  <c:v>-1.8525881825995127E-2</c:v>
                </c:pt>
                <c:pt idx="951">
                  <c:v>-1.2954741421279503E-2</c:v>
                </c:pt>
                <c:pt idx="952">
                  <c:v>-2.6889769499141014E-3</c:v>
                </c:pt>
                <c:pt idx="953">
                  <c:v>-2.7039710752340129E-3</c:v>
                </c:pt>
                <c:pt idx="954">
                  <c:v>-7.8887384701804564E-3</c:v>
                </c:pt>
                <c:pt idx="955">
                  <c:v>-2.0055556891414028E-3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-1.0998098598901773E-2</c:v>
                </c:pt>
                <c:pt idx="961">
                  <c:v>-7.7539527172642009E-3</c:v>
                </c:pt>
                <c:pt idx="962">
                  <c:v>-5.8917649940590788E-3</c:v>
                </c:pt>
                <c:pt idx="963">
                  <c:v>-1.7675474038686967E-2</c:v>
                </c:pt>
                <c:pt idx="964">
                  <c:v>-1.427134116371398E-2</c:v>
                </c:pt>
                <c:pt idx="965">
                  <c:v>-2.4847582620703523E-2</c:v>
                </c:pt>
                <c:pt idx="966">
                  <c:v>-2.3887481604181859E-2</c:v>
                </c:pt>
                <c:pt idx="967">
                  <c:v>-8.655860367434931E-3</c:v>
                </c:pt>
                <c:pt idx="968">
                  <c:v>-6.3864981362905526E-3</c:v>
                </c:pt>
                <c:pt idx="969">
                  <c:v>-5.8336611559637319E-3</c:v>
                </c:pt>
                <c:pt idx="970">
                  <c:v>-2.2330853818442797E-2</c:v>
                </c:pt>
                <c:pt idx="971">
                  <c:v>-2.2490751283522514E-2</c:v>
                </c:pt>
                <c:pt idx="972">
                  <c:v>-3.1597744532554151E-2</c:v>
                </c:pt>
                <c:pt idx="973">
                  <c:v>-3.9729864602838338E-2</c:v>
                </c:pt>
                <c:pt idx="974">
                  <c:v>-3.6020171790399624E-2</c:v>
                </c:pt>
                <c:pt idx="975">
                  <c:v>-5.0713459624278645E-2</c:v>
                </c:pt>
                <c:pt idx="976">
                  <c:v>-4.1257395705401434E-2</c:v>
                </c:pt>
                <c:pt idx="977">
                  <c:v>-2.7146220591535264E-2</c:v>
                </c:pt>
                <c:pt idx="978">
                  <c:v>-1.7995627081868748E-2</c:v>
                </c:pt>
                <c:pt idx="979">
                  <c:v>-1.1216278958586456E-2</c:v>
                </c:pt>
                <c:pt idx="980">
                  <c:v>-5.819068050249343E-3</c:v>
                </c:pt>
                <c:pt idx="981">
                  <c:v>-1.0357971569049162E-2</c:v>
                </c:pt>
                <c:pt idx="982">
                  <c:v>-8.5248805290188967E-3</c:v>
                </c:pt>
                <c:pt idx="983">
                  <c:v>-5.0916509708712754E-3</c:v>
                </c:pt>
                <c:pt idx="984">
                  <c:v>-4.3643234197501268E-3</c:v>
                </c:pt>
                <c:pt idx="985">
                  <c:v>-2.4731285416258464E-3</c:v>
                </c:pt>
                <c:pt idx="986">
                  <c:v>-5.4699078521484035E-3</c:v>
                </c:pt>
                <c:pt idx="987">
                  <c:v>-6.328394298196649E-3</c:v>
                </c:pt>
                <c:pt idx="988">
                  <c:v>0</c:v>
                </c:pt>
                <c:pt idx="989">
                  <c:v>0</c:v>
                </c:pt>
                <c:pt idx="990">
                  <c:v>-1.0752075575282682E-2</c:v>
                </c:pt>
                <c:pt idx="991">
                  <c:v>-1.2246639797789727E-2</c:v>
                </c:pt>
                <c:pt idx="992">
                  <c:v>-1.494546363102045E-2</c:v>
                </c:pt>
                <c:pt idx="993">
                  <c:v>-2.5784603800731443E-2</c:v>
                </c:pt>
                <c:pt idx="994">
                  <c:v>-1.8428047408145076E-2</c:v>
                </c:pt>
                <c:pt idx="995">
                  <c:v>-9.5315639069303293E-3</c:v>
                </c:pt>
                <c:pt idx="996">
                  <c:v>-3.3610505330051721E-3</c:v>
                </c:pt>
                <c:pt idx="997">
                  <c:v>0</c:v>
                </c:pt>
                <c:pt idx="998">
                  <c:v>0</c:v>
                </c:pt>
                <c:pt idx="999">
                  <c:v>-1.014096654516905E-4</c:v>
                </c:pt>
                <c:pt idx="1000">
                  <c:v>-3.6647017840364393E-3</c:v>
                </c:pt>
                <c:pt idx="1001">
                  <c:v>-4.8813511358096751E-3</c:v>
                </c:pt>
                <c:pt idx="1002">
                  <c:v>-1.2254127111194113E-2</c:v>
                </c:pt>
                <c:pt idx="1003">
                  <c:v>-1.0443595739656031E-2</c:v>
                </c:pt>
                <c:pt idx="1004">
                  <c:v>-3.8530340198764668E-3</c:v>
                </c:pt>
                <c:pt idx="1005">
                  <c:v>0</c:v>
                </c:pt>
                <c:pt idx="1006">
                  <c:v>-3.223412281198379E-3</c:v>
                </c:pt>
                <c:pt idx="1007">
                  <c:v>-3.3246123310797238E-3</c:v>
                </c:pt>
                <c:pt idx="1008">
                  <c:v>0</c:v>
                </c:pt>
                <c:pt idx="1009">
                  <c:v>0</c:v>
                </c:pt>
                <c:pt idx="1010">
                  <c:v>-1.9995067653828524E-3</c:v>
                </c:pt>
                <c:pt idx="1011">
                  <c:v>-6.904843320334253E-3</c:v>
                </c:pt>
                <c:pt idx="1012">
                  <c:v>-4.2004382620841607E-3</c:v>
                </c:pt>
                <c:pt idx="1013">
                  <c:v>-5.0348238822306435E-3</c:v>
                </c:pt>
                <c:pt idx="1014">
                  <c:v>-2.5289130990863162E-2</c:v>
                </c:pt>
                <c:pt idx="1015">
                  <c:v>-1.40398863336062E-2</c:v>
                </c:pt>
                <c:pt idx="1016">
                  <c:v>-8.8899626049082636E-3</c:v>
                </c:pt>
                <c:pt idx="1017">
                  <c:v>-8.5304521181990278E-3</c:v>
                </c:pt>
                <c:pt idx="1018">
                  <c:v>-3.4956282359697166E-3</c:v>
                </c:pt>
                <c:pt idx="1019">
                  <c:v>0</c:v>
                </c:pt>
                <c:pt idx="1020">
                  <c:v>-1.0066458032442771E-4</c:v>
                </c:pt>
                <c:pt idx="1021">
                  <c:v>-2.0848419786655414E-3</c:v>
                </c:pt>
                <c:pt idx="1022">
                  <c:v>-5.0611963010490646E-3</c:v>
                </c:pt>
                <c:pt idx="1023">
                  <c:v>-1.149570097842556E-4</c:v>
                </c:pt>
                <c:pt idx="1024">
                  <c:v>-8.5694583839743821E-3</c:v>
                </c:pt>
                <c:pt idx="1025">
                  <c:v>-1.3371802907044428E-2</c:v>
                </c:pt>
                <c:pt idx="1026">
                  <c:v>-2.5694082722463651E-2</c:v>
                </c:pt>
                <c:pt idx="1027">
                  <c:v>-7.0022317363925834E-3</c:v>
                </c:pt>
                <c:pt idx="1028">
                  <c:v>-2.2141796427805893E-3</c:v>
                </c:pt>
                <c:pt idx="1029">
                  <c:v>-4.8454864860661973E-3</c:v>
                </c:pt>
                <c:pt idx="1030">
                  <c:v>-5.0754887305072272E-3</c:v>
                </c:pt>
                <c:pt idx="1031">
                  <c:v>-2.0445937915098078E-2</c:v>
                </c:pt>
                <c:pt idx="1032">
                  <c:v>-1.9755842956901914E-2</c:v>
                </c:pt>
                <c:pt idx="1033">
                  <c:v>-1.8174235654988991E-2</c:v>
                </c:pt>
                <c:pt idx="1034">
                  <c:v>-1.3228084588596811E-2</c:v>
                </c:pt>
                <c:pt idx="1035">
                  <c:v>-1.5830630123218836E-2</c:v>
                </c:pt>
                <c:pt idx="1036">
                  <c:v>-8.7131767024219986E-3</c:v>
                </c:pt>
                <c:pt idx="1037">
                  <c:v>-1.8835569304520239E-2</c:v>
                </c:pt>
                <c:pt idx="1038">
                  <c:v>-1.1703999904010942E-2</c:v>
                </c:pt>
                <c:pt idx="1039">
                  <c:v>-3.3644555396049602E-3</c:v>
                </c:pt>
                <c:pt idx="1040">
                  <c:v>-8.9002134336128025E-3</c:v>
                </c:pt>
                <c:pt idx="1041">
                  <c:v>-1.3659415993686919E-2</c:v>
                </c:pt>
                <c:pt idx="1042">
                  <c:v>-1.3098570474734506E-2</c:v>
                </c:pt>
                <c:pt idx="1043">
                  <c:v>-2.1797454747698453E-2</c:v>
                </c:pt>
                <c:pt idx="1044">
                  <c:v>-1.4895975816503149E-2</c:v>
                </c:pt>
                <c:pt idx="1045">
                  <c:v>-2.038841529776958E-2</c:v>
                </c:pt>
                <c:pt idx="1046">
                  <c:v>-3.3228310444272213E-2</c:v>
                </c:pt>
                <c:pt idx="1047">
                  <c:v>-2.4759428415749518E-2</c:v>
                </c:pt>
                <c:pt idx="1048">
                  <c:v>-2.6326743288204169E-2</c:v>
                </c:pt>
                <c:pt idx="1049">
                  <c:v>-2.7548834231814978E-2</c:v>
                </c:pt>
                <c:pt idx="1050">
                  <c:v>-4.2315472384203079E-2</c:v>
                </c:pt>
                <c:pt idx="1051">
                  <c:v>-4.7736096818681184E-2</c:v>
                </c:pt>
                <c:pt idx="1052">
                  <c:v>-3.8045035621674828E-2</c:v>
                </c:pt>
                <c:pt idx="1053">
                  <c:v>-3.5514569808459684E-2</c:v>
                </c:pt>
                <c:pt idx="1054">
                  <c:v>-4.8972656641497414E-2</c:v>
                </c:pt>
                <c:pt idx="1055">
                  <c:v>-5.1316262173267568E-2</c:v>
                </c:pt>
                <c:pt idx="1056">
                  <c:v>-6.4916391052162292E-2</c:v>
                </c:pt>
                <c:pt idx="1057">
                  <c:v>-5.509802136312314E-2</c:v>
                </c:pt>
                <c:pt idx="1058">
                  <c:v>-5.8269882004525098E-2</c:v>
                </c:pt>
                <c:pt idx="1059">
                  <c:v>-5.3021913646905228E-2</c:v>
                </c:pt>
                <c:pt idx="1060">
                  <c:v>-6.9933739591229505E-2</c:v>
                </c:pt>
                <c:pt idx="1061">
                  <c:v>-8.5793131023111813E-2</c:v>
                </c:pt>
                <c:pt idx="1062">
                  <c:v>-8.8849681755236887E-2</c:v>
                </c:pt>
                <c:pt idx="1063">
                  <c:v>-6.2364486594759572E-2</c:v>
                </c:pt>
                <c:pt idx="1064">
                  <c:v>-5.5299879873012103E-2</c:v>
                </c:pt>
                <c:pt idx="1065">
                  <c:v>-5.4449215645587246E-2</c:v>
                </c:pt>
                <c:pt idx="1066">
                  <c:v>-4.99797435691125E-2</c:v>
                </c:pt>
                <c:pt idx="1067">
                  <c:v>-4.9561734119875078E-2</c:v>
                </c:pt>
                <c:pt idx="1068">
                  <c:v>-2.5354416960631898E-2</c:v>
                </c:pt>
                <c:pt idx="1069">
                  <c:v>-1.9731669341644831E-2</c:v>
                </c:pt>
                <c:pt idx="1070">
                  <c:v>-2.0380386834307651E-2</c:v>
                </c:pt>
                <c:pt idx="1071">
                  <c:v>-1.0807105843027909E-2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-1.9997351150183862E-3</c:v>
                </c:pt>
                <c:pt idx="1077">
                  <c:v>-8.5335359120354282E-3</c:v>
                </c:pt>
                <c:pt idx="1078">
                  <c:v>0</c:v>
                </c:pt>
                <c:pt idx="1079">
                  <c:v>-3.8807408683984024E-3</c:v>
                </c:pt>
                <c:pt idx="1080">
                  <c:v>0</c:v>
                </c:pt>
                <c:pt idx="1081">
                  <c:v>0</c:v>
                </c:pt>
                <c:pt idx="1082">
                  <c:v>-4.8659922671188127E-3</c:v>
                </c:pt>
                <c:pt idx="1083">
                  <c:v>-5.0197497509252287E-3</c:v>
                </c:pt>
                <c:pt idx="1084">
                  <c:v>0</c:v>
                </c:pt>
                <c:pt idx="1085">
                  <c:v>0</c:v>
                </c:pt>
                <c:pt idx="1086">
                  <c:v>-3.6633921467567054E-3</c:v>
                </c:pt>
                <c:pt idx="1087">
                  <c:v>0</c:v>
                </c:pt>
                <c:pt idx="1088">
                  <c:v>0</c:v>
                </c:pt>
                <c:pt idx="1089">
                  <c:v>-3.0660824190701375E-3</c:v>
                </c:pt>
                <c:pt idx="1090">
                  <c:v>0</c:v>
                </c:pt>
                <c:pt idx="1091">
                  <c:v>0</c:v>
                </c:pt>
                <c:pt idx="1092">
                  <c:v>-1.5149526145867842E-3</c:v>
                </c:pt>
                <c:pt idx="1093">
                  <c:v>0</c:v>
                </c:pt>
                <c:pt idx="1094">
                  <c:v>0</c:v>
                </c:pt>
                <c:pt idx="1095">
                  <c:v>-1.2029343756795985E-2</c:v>
                </c:pt>
                <c:pt idx="1096">
                  <c:v>-1.2724390319109213E-2</c:v>
                </c:pt>
                <c:pt idx="1097">
                  <c:v>-1.9300423939143885E-2</c:v>
                </c:pt>
                <c:pt idx="1098">
                  <c:v>-9.2492392969748538E-3</c:v>
                </c:pt>
                <c:pt idx="1099">
                  <c:v>-7.2844936486010647E-3</c:v>
                </c:pt>
                <c:pt idx="1100">
                  <c:v>-3.3815839160760142E-3</c:v>
                </c:pt>
                <c:pt idx="1101">
                  <c:v>0</c:v>
                </c:pt>
                <c:pt idx="1102">
                  <c:v>-1.7324216474590148E-4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-7.0171823204988604E-3</c:v>
                </c:pt>
                <c:pt idx="1108">
                  <c:v>-3.265012285285418E-3</c:v>
                </c:pt>
                <c:pt idx="1109">
                  <c:v>-2.8990115620007528E-2</c:v>
                </c:pt>
                <c:pt idx="1110">
                  <c:v>-2.6791581636947392E-2</c:v>
                </c:pt>
                <c:pt idx="1111">
                  <c:v>-2.964838682468296E-2</c:v>
                </c:pt>
                <c:pt idx="1112">
                  <c:v>-4.4946525836963125E-2</c:v>
                </c:pt>
                <c:pt idx="1113">
                  <c:v>-2.8713627212903825E-2</c:v>
                </c:pt>
                <c:pt idx="1114">
                  <c:v>-2.3460669725493877E-2</c:v>
                </c:pt>
                <c:pt idx="1115">
                  <c:v>-6.24040457536712E-3</c:v>
                </c:pt>
                <c:pt idx="1116">
                  <c:v>-1.216476485555118E-2</c:v>
                </c:pt>
                <c:pt idx="1117">
                  <c:v>-2.4500723727739482E-2</c:v>
                </c:pt>
                <c:pt idx="1118">
                  <c:v>-1.4358465125200448E-2</c:v>
                </c:pt>
                <c:pt idx="1119">
                  <c:v>-1.7460259020977142E-2</c:v>
                </c:pt>
                <c:pt idx="1120">
                  <c:v>-3.1728655952954932E-2</c:v>
                </c:pt>
                <c:pt idx="1121">
                  <c:v>-3.217746624315776E-2</c:v>
                </c:pt>
                <c:pt idx="1122">
                  <c:v>-3.0778347896371239E-2</c:v>
                </c:pt>
                <c:pt idx="1123">
                  <c:v>-3.7787151780292572E-2</c:v>
                </c:pt>
                <c:pt idx="1124">
                  <c:v>-2.1934827525451728E-2</c:v>
                </c:pt>
                <c:pt idx="1125">
                  <c:v>-1.4318828675231043E-2</c:v>
                </c:pt>
                <c:pt idx="1126">
                  <c:v>-1.5651966833958419E-2</c:v>
                </c:pt>
                <c:pt idx="1127">
                  <c:v>-1.6945468542716391E-2</c:v>
                </c:pt>
                <c:pt idx="1128">
                  <c:v>-7.5546106899014864E-3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E-40F2-8741-182B9F475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yyyy\-mm" sourceLinked="0"/>
        <c:majorTickMark val="none"/>
        <c:minorTickMark val="none"/>
        <c:tickLblPos val="low"/>
        <c:crossAx val="100"/>
        <c:crosses val="autoZero"/>
        <c:auto val="1"/>
        <c:lblOffset val="100"/>
        <c:baseTimeUnit val="days"/>
        <c:majorUnit val="110"/>
        <c:minorUnit val="110"/>
      </c:date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F3864"/>
                </a:solidFill>
                <a:latin typeface="Arial"/>
              </a:defRPr>
            </a:pPr>
            <a:r>
              <a:rPr lang="en-US" sz="2000" b="1">
                <a:solidFill>
                  <a:srgbClr val="1F3864"/>
                </a:solidFill>
                <a:latin typeface="Arial"/>
              </a:rPr>
              <a:t>Monthly Returns: Tech vs S&amp;P 500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Tech Portfolio</c:v>
          </c:tx>
          <c:spPr>
            <a:solidFill>
              <a:srgbClr val="2E5496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Returns'!$D$2:$D$56</c:f>
              <c:numCache>
                <c:formatCode>0.0%;\(0.0%\);\-</c:formatCode>
                <c:ptCount val="55"/>
                <c:pt idx="1">
                  <c:v>-4.5377707915545407E-2</c:v>
                </c:pt>
                <c:pt idx="2">
                  <c:v>7.6329874239141171E-2</c:v>
                </c:pt>
                <c:pt idx="3">
                  <c:v>-0.15293003317714515</c:v>
                </c:pt>
                <c:pt idx="4">
                  <c:v>-4.3114710169988246E-2</c:v>
                </c:pt>
                <c:pt idx="5">
                  <c:v>-0.10218633296450408</c:v>
                </c:pt>
                <c:pt idx="6">
                  <c:v>0.17868211068862339</c:v>
                </c:pt>
                <c:pt idx="7">
                  <c:v>-6.1486293386664004E-2</c:v>
                </c:pt>
                <c:pt idx="8">
                  <c:v>-9.7951083066212918E-2</c:v>
                </c:pt>
                <c:pt idx="9">
                  <c:v>-2.8062220305268504E-2</c:v>
                </c:pt>
                <c:pt idx="10">
                  <c:v>1.0786996780045577E-2</c:v>
                </c:pt>
                <c:pt idx="11">
                  <c:v>-0.15827182408098983</c:v>
                </c:pt>
                <c:pt idx="12">
                  <c:v>0.17360642356293932</c:v>
                </c:pt>
                <c:pt idx="13">
                  <c:v>2.2599220322345515E-2</c:v>
                </c:pt>
                <c:pt idx="14">
                  <c:v>9.446668232621569E-2</c:v>
                </c:pt>
                <c:pt idx="15">
                  <c:v>-2.3565093080138766E-2</c:v>
                </c:pt>
                <c:pt idx="16">
                  <c:v>0.121282641792676</c:v>
                </c:pt>
                <c:pt idx="17">
                  <c:v>8.8536107006570219E-2</c:v>
                </c:pt>
                <c:pt idx="18">
                  <c:v>2.6423616399796845E-2</c:v>
                </c:pt>
                <c:pt idx="19">
                  <c:v>-2.3474882675996289E-2</c:v>
                </c:pt>
                <c:pt idx="20">
                  <c:v>-5.5948169743103571E-2</c:v>
                </c:pt>
                <c:pt idx="21">
                  <c:v>-3.2282420842455029E-2</c:v>
                </c:pt>
                <c:pt idx="22">
                  <c:v>0.12724514742083026</c:v>
                </c:pt>
                <c:pt idx="23">
                  <c:v>3.5802634562051683E-2</c:v>
                </c:pt>
                <c:pt idx="24">
                  <c:v>-2.2749148578187439E-2</c:v>
                </c:pt>
                <c:pt idx="25">
                  <c:v>7.013955597949173E-2</c:v>
                </c:pt>
                <c:pt idx="26">
                  <c:v>2.377184559784129E-2</c:v>
                </c:pt>
                <c:pt idx="27">
                  <c:v>-2.1006408917507935E-2</c:v>
                </c:pt>
                <c:pt idx="28">
                  <c:v>8.4326279679843408E-2</c:v>
                </c:pt>
                <c:pt idx="29">
                  <c:v>9.5578315428383354E-2</c:v>
                </c:pt>
                <c:pt idx="30">
                  <c:v>-1.692794499995065E-2</c:v>
                </c:pt>
                <c:pt idx="31">
                  <c:v>-1.4893465750923096E-2</c:v>
                </c:pt>
                <c:pt idx="32">
                  <c:v>5.6459395619618657E-2</c:v>
                </c:pt>
                <c:pt idx="33">
                  <c:v>-5.1795969387330443E-3</c:v>
                </c:pt>
                <c:pt idx="34">
                  <c:v>9.7022722134184836E-2</c:v>
                </c:pt>
                <c:pt idx="35">
                  <c:v>5.3040502868112016E-2</c:v>
                </c:pt>
                <c:pt idx="36">
                  <c:v>1.5780931638894602E-2</c:v>
                </c:pt>
                <c:pt idx="37">
                  <c:v>-9.8213836902305118E-2</c:v>
                </c:pt>
                <c:pt idx="38">
                  <c:v>-9.1605904449416631E-2</c:v>
                </c:pt>
                <c:pt idx="39">
                  <c:v>2.0584681985020392E-2</c:v>
                </c:pt>
                <c:pt idx="40">
                  <c:v>0.14554409466233453</c:v>
                </c:pt>
                <c:pt idx="41">
                  <c:v>8.7318214037821473E-2</c:v>
                </c:pt>
                <c:pt idx="42">
                  <c:v>4.5303949872234739E-2</c:v>
                </c:pt>
                <c:pt idx="43">
                  <c:v>1.9716845504777814E-2</c:v>
                </c:pt>
                <c:pt idx="44">
                  <c:v>0.16300090237999076</c:v>
                </c:pt>
                <c:pt idx="45">
                  <c:v>7.0728759327215229E-2</c:v>
                </c:pt>
                <c:pt idx="46">
                  <c:v>-2.7422402594297068E-2</c:v>
                </c:pt>
                <c:pt idx="47">
                  <c:v>1.4670188887449198E-2</c:v>
                </c:pt>
                <c:pt idx="48">
                  <c:v>2.6421062035006715E-2</c:v>
                </c:pt>
                <c:pt idx="49">
                  <c:v>-3.6466988825935798E-2</c:v>
                </c:pt>
                <c:pt idx="50">
                  <c:v>-7.9074265009812406E-2</c:v>
                </c:pt>
                <c:pt idx="51">
                  <c:v>0.18300711853359197</c:v>
                </c:pt>
                <c:pt idx="52">
                  <c:v>0.21889411362603672</c:v>
                </c:pt>
                <c:pt idx="53">
                  <c:v>2.3315275331891039E-2</c:v>
                </c:pt>
                <c:pt idx="54">
                  <c:v>-2.5263252070351072E-2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06E-4654-AE5C-4F5EB6296697}"/>
            </c:ext>
          </c:extLst>
        </c:ser>
        <c:ser>
          <c:idx val="1"/>
          <c:order val="1"/>
          <c:tx>
            <c:v>S&amp;P 500</c:v>
          </c:tx>
          <c:spPr>
            <a:solidFill>
              <a:srgbClr val="8C9BAB"/>
            </a:solidFill>
            <a:ln>
              <a:prstDash val="solid"/>
            </a:ln>
          </c:spPr>
          <c:invertIfNegative val="1"/>
          <c:cat>
            <c:strRef>
              <c:f>'Monthly Returns'!$A$2:$A$56</c:f>
              <c:strCache>
                <c:ptCount val="55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2026-01</c:v>
                </c:pt>
                <c:pt idx="49">
                  <c:v>2026-02</c:v>
                </c:pt>
                <c:pt idx="50">
                  <c:v>2026-03</c:v>
                </c:pt>
                <c:pt idx="51">
                  <c:v>2026-04</c:v>
                </c:pt>
                <c:pt idx="52">
                  <c:v>2026-05</c:v>
                </c:pt>
                <c:pt idx="53">
                  <c:v>2026-06</c:v>
                </c:pt>
                <c:pt idx="54">
                  <c:v>2026-07</c:v>
                </c:pt>
              </c:strCache>
            </c:strRef>
          </c:cat>
          <c:val>
            <c:numRef>
              <c:f>'Monthly Returns'!$E$2:$E$56</c:f>
              <c:numCache>
                <c:formatCode>0.0%;\(0.0%\);\-</c:formatCode>
                <c:ptCount val="55"/>
                <c:pt idx="1">
                  <c:v>-2.9516983607058123E-2</c:v>
                </c:pt>
                <c:pt idx="2">
                  <c:v>3.7590386469008585E-2</c:v>
                </c:pt>
                <c:pt idx="3">
                  <c:v>-8.7769104212905846E-2</c:v>
                </c:pt>
                <c:pt idx="4">
                  <c:v>2.2573701794355028E-3</c:v>
                </c:pt>
                <c:pt idx="5">
                  <c:v>-8.2460491620680032E-2</c:v>
                </c:pt>
                <c:pt idx="6">
                  <c:v>9.2087588923630559E-2</c:v>
                </c:pt>
                <c:pt idx="7">
                  <c:v>-4.0802078925560314E-2</c:v>
                </c:pt>
                <c:pt idx="8">
                  <c:v>-9.2445765736787977E-2</c:v>
                </c:pt>
                <c:pt idx="9">
                  <c:v>8.1275353805394968E-2</c:v>
                </c:pt>
                <c:pt idx="10">
                  <c:v>5.5591594808618972E-2</c:v>
                </c:pt>
                <c:pt idx="11">
                  <c:v>-5.7628163974954183E-2</c:v>
                </c:pt>
                <c:pt idx="12">
                  <c:v>6.2887219382917525E-2</c:v>
                </c:pt>
                <c:pt idx="13">
                  <c:v>-2.5142576990476173E-2</c:v>
                </c:pt>
                <c:pt idx="14">
                  <c:v>3.7077938019181911E-2</c:v>
                </c:pt>
                <c:pt idx="15">
                  <c:v>1.5974683561998271E-2</c:v>
                </c:pt>
                <c:pt idx="16">
                  <c:v>4.6162776973612818E-3</c:v>
                </c:pt>
                <c:pt idx="17">
                  <c:v>6.4799867844972381E-2</c:v>
                </c:pt>
                <c:pt idx="18">
                  <c:v>3.2733184457345965E-2</c:v>
                </c:pt>
                <c:pt idx="19">
                  <c:v>-1.6252012723666054E-2</c:v>
                </c:pt>
                <c:pt idx="20">
                  <c:v>-4.7434402018604938E-2</c:v>
                </c:pt>
                <c:pt idx="21">
                  <c:v>-2.1708735131234724E-2</c:v>
                </c:pt>
                <c:pt idx="22">
                  <c:v>9.1343936989449315E-2</c:v>
                </c:pt>
                <c:pt idx="23">
                  <c:v>4.5655323502333145E-2</c:v>
                </c:pt>
                <c:pt idx="24">
                  <c:v>1.5926321482601757E-2</c:v>
                </c:pt>
                <c:pt idx="25">
                  <c:v>5.2186965869490232E-2</c:v>
                </c:pt>
                <c:pt idx="26">
                  <c:v>3.2701960302162547E-2</c:v>
                </c:pt>
                <c:pt idx="27">
                  <c:v>-4.031962876347206E-2</c:v>
                </c:pt>
                <c:pt idx="28">
                  <c:v>5.0579787626914285E-2</c:v>
                </c:pt>
                <c:pt idx="29">
                  <c:v>3.5279973661282549E-2</c:v>
                </c:pt>
                <c:pt idx="30">
                  <c:v>1.2109116371118889E-2</c:v>
                </c:pt>
                <c:pt idx="31">
                  <c:v>2.3365738515667145E-2</c:v>
                </c:pt>
                <c:pt idx="32">
                  <c:v>2.1004442814803737E-2</c:v>
                </c:pt>
                <c:pt idx="33">
                  <c:v>-8.9235397348133016E-3</c:v>
                </c:pt>
                <c:pt idx="34">
                  <c:v>5.9633644566612576E-2</c:v>
                </c:pt>
                <c:pt idx="35">
                  <c:v>-2.4060271317688509E-2</c:v>
                </c:pt>
                <c:pt idx="36">
                  <c:v>2.6856345883271127E-2</c:v>
                </c:pt>
                <c:pt idx="37">
                  <c:v>-1.2694633336408301E-2</c:v>
                </c:pt>
                <c:pt idx="38">
                  <c:v>-5.5719305093651417E-2</c:v>
                </c:pt>
                <c:pt idx="39">
                  <c:v>-8.6702768754955972E-3</c:v>
                </c:pt>
                <c:pt idx="40">
                  <c:v>6.2844940045948539E-2</c:v>
                </c:pt>
                <c:pt idx="41">
                  <c:v>5.1386235402998803E-2</c:v>
                </c:pt>
                <c:pt idx="42">
                  <c:v>2.3031548697107107E-2</c:v>
                </c:pt>
                <c:pt idx="43">
                  <c:v>2.0519581676716081E-2</c:v>
                </c:pt>
                <c:pt idx="44">
                  <c:v>3.5620335108284662E-2</c:v>
                </c:pt>
                <c:pt idx="45">
                  <c:v>2.3837393576300991E-2</c:v>
                </c:pt>
                <c:pt idx="46">
                  <c:v>1.9500049129079766E-3</c:v>
                </c:pt>
                <c:pt idx="47">
                  <c:v>7.975029584423865E-4</c:v>
                </c:pt>
                <c:pt idx="48">
                  <c:v>1.4737728839574471E-2</c:v>
                </c:pt>
                <c:pt idx="49">
                  <c:v>-8.6419583402231881E-3</c:v>
                </c:pt>
                <c:pt idx="50">
                  <c:v>-4.9379566643443451E-2</c:v>
                </c:pt>
                <c:pt idx="51">
                  <c:v>0.10505268686597158</c:v>
                </c:pt>
                <c:pt idx="52">
                  <c:v>5.2625753037503165E-2</c:v>
                </c:pt>
                <c:pt idx="53">
                  <c:v>-1.0292566443839024E-2</c:v>
                </c:pt>
                <c:pt idx="54">
                  <c:v>6.8624806703352359E-3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06E-4654-AE5C-4F5EB6296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LblSkip val="3"/>
        <c:tickMarkSkip val="1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4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23</xdr:row>
      <xdr:rowOff>0</xdr:rowOff>
    </xdr:from>
    <xdr:ext cx="8640000" cy="34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44</xdr:row>
      <xdr:rowOff>0</xdr:rowOff>
    </xdr:from>
    <xdr:ext cx="8640000" cy="34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0"/>
  <sheetViews>
    <sheetView showGridLines="0" topLeftCell="A2" workbookViewId="0"/>
  </sheetViews>
  <sheetFormatPr defaultRowHeight="15" x14ac:dyDescent="0.25"/>
  <cols>
    <col min="1" max="1" width="2" customWidth="1"/>
    <col min="2" max="2" width="26" customWidth="1"/>
    <col min="3" max="4" width="16" customWidth="1"/>
    <col min="5" max="5" width="22" customWidth="1"/>
  </cols>
  <sheetData>
    <row r="1" spans="2:5" ht="33.950000000000003" customHeight="1" x14ac:dyDescent="0.25">
      <c r="B1" s="45" t="s">
        <v>0</v>
      </c>
      <c r="C1" s="44"/>
      <c r="D1" s="44"/>
      <c r="E1" s="44"/>
    </row>
    <row r="2" spans="2:5" ht="20.100000000000001" customHeight="1" x14ac:dyDescent="0.25">
      <c r="B2" s="51" t="s">
        <v>1</v>
      </c>
      <c r="C2" s="44"/>
      <c r="D2" s="44"/>
      <c r="E2" s="44"/>
    </row>
    <row r="4" spans="2:5" x14ac:dyDescent="0.25">
      <c r="B4" s="1" t="s">
        <v>2</v>
      </c>
    </row>
    <row r="5" spans="2:5" x14ac:dyDescent="0.25">
      <c r="B5" s="2" t="s">
        <v>3</v>
      </c>
      <c r="C5" s="3">
        <v>0.02</v>
      </c>
    </row>
    <row r="6" spans="2:5" x14ac:dyDescent="0.25">
      <c r="B6" s="2" t="s">
        <v>4</v>
      </c>
      <c r="C6" s="4">
        <v>252</v>
      </c>
    </row>
    <row r="7" spans="2:5" x14ac:dyDescent="0.25">
      <c r="B7" s="2" t="s">
        <v>5</v>
      </c>
      <c r="C7" s="5">
        <v>44564</v>
      </c>
    </row>
    <row r="8" spans="2:5" x14ac:dyDescent="0.25">
      <c r="B8" s="2" t="s">
        <v>6</v>
      </c>
      <c r="C8" s="5">
        <v>46209</v>
      </c>
    </row>
    <row r="11" spans="2:5" x14ac:dyDescent="0.25">
      <c r="B11" s="6" t="s">
        <v>7</v>
      </c>
      <c r="C11" s="6" t="s">
        <v>8</v>
      </c>
      <c r="D11" s="6" t="s">
        <v>9</v>
      </c>
      <c r="E11" s="6" t="s">
        <v>10</v>
      </c>
    </row>
    <row r="12" spans="2:5" x14ac:dyDescent="0.25">
      <c r="B12" s="7" t="s">
        <v>11</v>
      </c>
      <c r="C12" s="8">
        <f>'Tech Portfolio'!$B$1130/'Tech Portfolio'!$B$2-1</f>
        <v>1.4186312271600241</v>
      </c>
      <c r="D12" s="9">
        <f>'S&amp;P 500'!$B$1130/'S&amp;P 500'!$B$2-1</f>
        <v>0.67278616302838978</v>
      </c>
      <c r="E12" s="10" t="s">
        <v>12</v>
      </c>
    </row>
    <row r="13" spans="2:5" x14ac:dyDescent="0.25">
      <c r="B13" s="7" t="s">
        <v>13</v>
      </c>
      <c r="C13" s="8">
        <f>('Tech Portfolio'!$B$1130/'Tech Portfolio'!$B$2)^(1/(('Tech Portfolio'!$A$1130-'Tech Portfolio'!$A$2)/365.25))-1</f>
        <v>0.21665222297483466</v>
      </c>
      <c r="D13" s="9">
        <f>('S&amp;P 500'!$B$1130/'S&amp;P 500'!$B$2)^(1/(('S&amp;P 500'!$A$1130-'S&amp;P 500'!$A$2)/365.25))-1</f>
        <v>0.12101629288632321</v>
      </c>
      <c r="E13" s="10" t="s">
        <v>14</v>
      </c>
    </row>
    <row r="14" spans="2:5" x14ac:dyDescent="0.25">
      <c r="B14" s="7" t="s">
        <v>15</v>
      </c>
      <c r="C14" s="11">
        <f>STDEV('Tech Portfolio'!$C$3:$C$1130)*SQRT($C$6)</f>
        <v>0.30741263722994461</v>
      </c>
      <c r="D14" s="12">
        <f>STDEV('S&amp;P 500'!$C$3:$C$1130)*SQRT($C$6)</f>
        <v>0.17614798141543722</v>
      </c>
      <c r="E14" s="10" t="s">
        <v>16</v>
      </c>
    </row>
    <row r="15" spans="2:5" x14ac:dyDescent="0.25">
      <c r="B15" s="7" t="s">
        <v>17</v>
      </c>
      <c r="C15" s="13">
        <f>(C13-$C$5)/C14</f>
        <v>0.63970116761250395</v>
      </c>
      <c r="D15" s="14">
        <f>(D13-$C$5)/D14</f>
        <v>0.57347403061111868</v>
      </c>
      <c r="E15" s="10" t="s">
        <v>18</v>
      </c>
    </row>
    <row r="16" spans="2:5" x14ac:dyDescent="0.25">
      <c r="B16" s="7" t="s">
        <v>19</v>
      </c>
      <c r="C16" s="11">
        <f>MIN('Tech Portfolio'!$E$2:$E$1130)</f>
        <v>-0.47795211285408579</v>
      </c>
      <c r="D16" s="12">
        <f>MIN('S&amp;P 500'!$E$2:$E$1130)</f>
        <v>-0.24496400650373418</v>
      </c>
      <c r="E16" s="10" t="s">
        <v>20</v>
      </c>
    </row>
    <row r="17" spans="2:5" x14ac:dyDescent="0.25">
      <c r="B17" s="7" t="s">
        <v>21</v>
      </c>
      <c r="C17" s="15">
        <f>100*(1+C12)</f>
        <v>241.86312271600241</v>
      </c>
      <c r="D17" s="16">
        <f>100*(1+D12)</f>
        <v>167.27861630283897</v>
      </c>
      <c r="E17" s="10"/>
    </row>
    <row r="19" spans="2:5" x14ac:dyDescent="0.25">
      <c r="B19" s="50" t="s">
        <v>22</v>
      </c>
      <c r="C19" s="44"/>
      <c r="D19" s="44"/>
      <c r="E19" s="44"/>
    </row>
    <row r="20" spans="2:5" x14ac:dyDescent="0.25">
      <c r="B20" s="46" t="s">
        <v>23</v>
      </c>
      <c r="C20" s="47"/>
      <c r="D20" s="47"/>
      <c r="E20" s="47"/>
    </row>
    <row r="21" spans="2:5" x14ac:dyDescent="0.25">
      <c r="B21" s="48"/>
      <c r="C21" s="48"/>
      <c r="D21" s="48"/>
      <c r="E21" s="48"/>
    </row>
    <row r="22" spans="2:5" x14ac:dyDescent="0.25">
      <c r="B22" s="48"/>
      <c r="C22" s="48"/>
      <c r="D22" s="48"/>
      <c r="E22" s="48"/>
    </row>
    <row r="23" spans="2:5" x14ac:dyDescent="0.25">
      <c r="B23" s="48"/>
      <c r="C23" s="48"/>
      <c r="D23" s="48"/>
      <c r="E23" s="48"/>
    </row>
    <row r="24" spans="2:5" x14ac:dyDescent="0.25">
      <c r="B24" s="49"/>
      <c r="C24" s="49"/>
      <c r="D24" s="49"/>
      <c r="E24" s="49"/>
    </row>
    <row r="26" spans="2:5" x14ac:dyDescent="0.25">
      <c r="B26" s="17" t="s">
        <v>24</v>
      </c>
    </row>
    <row r="27" spans="2:5" x14ac:dyDescent="0.25">
      <c r="B27" s="43" t="s">
        <v>25</v>
      </c>
      <c r="C27" s="44"/>
      <c r="D27" s="44"/>
      <c r="E27" s="44"/>
    </row>
    <row r="28" spans="2:5" x14ac:dyDescent="0.25">
      <c r="B28" s="43" t="s">
        <v>26</v>
      </c>
      <c r="C28" s="44"/>
      <c r="D28" s="44"/>
      <c r="E28" s="44"/>
    </row>
    <row r="29" spans="2:5" x14ac:dyDescent="0.25">
      <c r="B29" s="43" t="s">
        <v>27</v>
      </c>
      <c r="C29" s="44"/>
      <c r="D29" s="44"/>
      <c r="E29" s="44"/>
    </row>
    <row r="30" spans="2:5" x14ac:dyDescent="0.25">
      <c r="B30" s="43" t="s">
        <v>28</v>
      </c>
      <c r="C30" s="44"/>
      <c r="D30" s="44"/>
      <c r="E30" s="44"/>
    </row>
  </sheetData>
  <mergeCells count="8">
    <mergeCell ref="B27:E27"/>
    <mergeCell ref="B1:E1"/>
    <mergeCell ref="B30:E30"/>
    <mergeCell ref="B29:E29"/>
    <mergeCell ref="B20:E24"/>
    <mergeCell ref="B19:E19"/>
    <mergeCell ref="B2:E2"/>
    <mergeCell ref="B28:E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"/>
  <sheetViews>
    <sheetView showGridLines="0" tabSelected="1" topLeftCell="A33" workbookViewId="0">
      <selection sqref="A1:K1"/>
    </sheetView>
  </sheetViews>
  <sheetFormatPr defaultRowHeight="15" x14ac:dyDescent="0.25"/>
  <sheetData>
    <row r="1" spans="1:11" ht="26.1" customHeight="1" x14ac:dyDescent="0.3">
      <c r="A1" s="52" t="s">
        <v>29</v>
      </c>
      <c r="B1" s="44"/>
      <c r="C1" s="44"/>
      <c r="D1" s="44"/>
      <c r="E1" s="44"/>
      <c r="F1" s="44"/>
      <c r="G1" s="44"/>
      <c r="H1" s="44"/>
      <c r="I1" s="44"/>
      <c r="J1" s="44"/>
      <c r="K1" s="44"/>
    </row>
  </sheetData>
  <mergeCells count="1">
    <mergeCell ref="A1:K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16"/>
  <sheetViews>
    <sheetView showGridLines="0" workbookViewId="0"/>
  </sheetViews>
  <sheetFormatPr defaultRowHeight="15" x14ac:dyDescent="0.25"/>
  <cols>
    <col min="1" max="1" width="2" customWidth="1"/>
    <col min="2" max="2" width="10" customWidth="1"/>
    <col min="3" max="3" width="30" customWidth="1"/>
    <col min="4" max="4" width="10" customWidth="1"/>
    <col min="5" max="5" width="14" customWidth="1"/>
  </cols>
  <sheetData>
    <row r="1" spans="2:5" ht="26.1" customHeight="1" x14ac:dyDescent="0.3">
      <c r="B1" s="52" t="s">
        <v>30</v>
      </c>
      <c r="C1" s="44"/>
      <c r="D1" s="44"/>
      <c r="E1" s="44"/>
    </row>
    <row r="2" spans="2:5" x14ac:dyDescent="0.25">
      <c r="B2" s="53" t="s">
        <v>31</v>
      </c>
      <c r="C2" s="44"/>
      <c r="D2" s="44"/>
      <c r="E2" s="44"/>
    </row>
    <row r="4" spans="2:5" x14ac:dyDescent="0.25">
      <c r="B4" s="18" t="s">
        <v>32</v>
      </c>
      <c r="C4" s="18" t="s">
        <v>33</v>
      </c>
      <c r="D4" s="18" t="s">
        <v>34</v>
      </c>
      <c r="E4" s="18" t="s">
        <v>35</v>
      </c>
    </row>
    <row r="5" spans="2:5" x14ac:dyDescent="0.25">
      <c r="B5" s="19" t="s">
        <v>36</v>
      </c>
      <c r="C5" s="20" t="s">
        <v>37</v>
      </c>
      <c r="D5" s="21">
        <v>50</v>
      </c>
      <c r="E5" s="22" t="s">
        <v>38</v>
      </c>
    </row>
    <row r="6" spans="2:5" x14ac:dyDescent="0.25">
      <c r="B6" s="23" t="s">
        <v>39</v>
      </c>
      <c r="C6" s="24" t="s">
        <v>40</v>
      </c>
      <c r="D6" s="25">
        <v>30</v>
      </c>
      <c r="E6" s="26" t="s">
        <v>38</v>
      </c>
    </row>
    <row r="7" spans="2:5" x14ac:dyDescent="0.25">
      <c r="B7" s="19" t="s">
        <v>41</v>
      </c>
      <c r="C7" s="20" t="s">
        <v>42</v>
      </c>
      <c r="D7" s="21">
        <v>40</v>
      </c>
      <c r="E7" s="22" t="s">
        <v>38</v>
      </c>
    </row>
    <row r="8" spans="2:5" x14ac:dyDescent="0.25">
      <c r="B8" s="23" t="s">
        <v>43</v>
      </c>
      <c r="C8" s="24" t="s">
        <v>44</v>
      </c>
      <c r="D8" s="25">
        <v>35</v>
      </c>
      <c r="E8" s="26" t="s">
        <v>38</v>
      </c>
    </row>
    <row r="9" spans="2:5" x14ac:dyDescent="0.25">
      <c r="B9" s="19" t="s">
        <v>45</v>
      </c>
      <c r="C9" s="20" t="s">
        <v>46</v>
      </c>
      <c r="D9" s="21">
        <v>45</v>
      </c>
      <c r="E9" s="22" t="s">
        <v>38</v>
      </c>
    </row>
    <row r="10" spans="2:5" x14ac:dyDescent="0.25">
      <c r="B10" s="23" t="s">
        <v>47</v>
      </c>
      <c r="C10" s="24" t="s">
        <v>48</v>
      </c>
      <c r="D10" s="25">
        <v>60</v>
      </c>
      <c r="E10" s="26" t="s">
        <v>38</v>
      </c>
    </row>
    <row r="11" spans="2:5" x14ac:dyDescent="0.25">
      <c r="B11" s="19" t="s">
        <v>49</v>
      </c>
      <c r="C11" s="20" t="s">
        <v>50</v>
      </c>
      <c r="D11" s="21">
        <v>55</v>
      </c>
      <c r="E11" s="22" t="s">
        <v>38</v>
      </c>
    </row>
    <row r="12" spans="2:5" x14ac:dyDescent="0.25">
      <c r="B12" s="23" t="s">
        <v>51</v>
      </c>
      <c r="C12" s="24" t="s">
        <v>52</v>
      </c>
      <c r="D12" s="25">
        <v>40</v>
      </c>
      <c r="E12" s="26" t="s">
        <v>38</v>
      </c>
    </row>
    <row r="13" spans="2:5" x14ac:dyDescent="0.25">
      <c r="B13" s="19" t="s">
        <v>53</v>
      </c>
      <c r="C13" s="20" t="s">
        <v>54</v>
      </c>
      <c r="D13" s="21">
        <v>80</v>
      </c>
      <c r="E13" s="22" t="s">
        <v>38</v>
      </c>
    </row>
    <row r="14" spans="2:5" x14ac:dyDescent="0.25">
      <c r="B14" s="27" t="s">
        <v>55</v>
      </c>
      <c r="C14" s="28" t="s">
        <v>56</v>
      </c>
      <c r="D14" s="29">
        <v>100</v>
      </c>
      <c r="E14" s="30" t="s">
        <v>57</v>
      </c>
    </row>
    <row r="16" spans="2:5" x14ac:dyDescent="0.25">
      <c r="B16" s="54" t="s">
        <v>58</v>
      </c>
      <c r="C16" s="44"/>
      <c r="D16" s="44"/>
      <c r="E16" s="44"/>
    </row>
  </sheetData>
  <mergeCells count="3">
    <mergeCell ref="B1:E1"/>
    <mergeCell ref="B2:E2"/>
    <mergeCell ref="B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30"/>
  <sheetViews>
    <sheetView showGridLines="0" workbookViewId="0">
      <pane ySplit="1" topLeftCell="A1095" activePane="bottomLeft" state="frozen"/>
      <selection pane="bottomLeft" sqref="A1:G1130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65018.849296569817</v>
      </c>
      <c r="C2" s="33"/>
      <c r="D2" s="32">
        <f>MAX($B$2:B2)</f>
        <v>65018.849296569817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63935.909023284963</v>
      </c>
      <c r="C3" s="39">
        <f t="shared" ref="C3:C66" si="3">B3/B2-1</f>
        <v>-1.6655789590265591E-2</v>
      </c>
      <c r="D3" s="38">
        <f>MAX($B$2:B3)</f>
        <v>65018.849296569817</v>
      </c>
      <c r="E3" s="40">
        <f t="shared" si="0"/>
        <v>-1.6655789590265591E-2</v>
      </c>
      <c r="F3" s="41">
        <f t="shared" si="1"/>
        <v>98.334421040973439</v>
      </c>
      <c r="G3" s="42" t="str">
        <f t="shared" si="2"/>
        <v>2022-01</v>
      </c>
    </row>
    <row r="4" spans="1:7" x14ac:dyDescent="0.25">
      <c r="A4" s="31">
        <v>44566</v>
      </c>
      <c r="B4" s="32">
        <v>61324.459362030037</v>
      </c>
      <c r="C4" s="33">
        <f t="shared" si="3"/>
        <v>-4.0844803822275511E-2</v>
      </c>
      <c r="D4" s="32">
        <f>MAX($B$2:B4)</f>
        <v>65018.849296569817</v>
      </c>
      <c r="E4" s="34">
        <f t="shared" si="0"/>
        <v>-5.6820290954221586E-2</v>
      </c>
      <c r="F4" s="35">
        <f t="shared" si="1"/>
        <v>94.317970904577848</v>
      </c>
      <c r="G4" s="36" t="str">
        <f t="shared" si="2"/>
        <v>2022-01</v>
      </c>
    </row>
    <row r="5" spans="1:7" x14ac:dyDescent="0.25">
      <c r="A5" s="37">
        <v>44567</v>
      </c>
      <c r="B5" s="38">
        <v>60789.071006774873</v>
      </c>
      <c r="C5" s="39">
        <f t="shared" si="3"/>
        <v>-8.7304211211139959E-3</v>
      </c>
      <c r="D5" s="38">
        <f>MAX($B$2:B5)</f>
        <v>65018.849296569817</v>
      </c>
      <c r="E5" s="40">
        <f t="shared" si="0"/>
        <v>-6.5054647007080968E-2</v>
      </c>
      <c r="F5" s="41">
        <f t="shared" si="1"/>
        <v>93.494535299291897</v>
      </c>
      <c r="G5" s="42" t="str">
        <f t="shared" si="2"/>
        <v>2022-01</v>
      </c>
    </row>
    <row r="6" spans="1:7" x14ac:dyDescent="0.25">
      <c r="A6" s="31">
        <v>44568</v>
      </c>
      <c r="B6" s="32">
        <v>59870.176696777351</v>
      </c>
      <c r="C6" s="33">
        <f t="shared" si="3"/>
        <v>-1.5116110425426821E-2</v>
      </c>
      <c r="D6" s="32">
        <f>MAX($B$2:B6)</f>
        <v>65018.849296569817</v>
      </c>
      <c r="E6" s="34">
        <f t="shared" si="0"/>
        <v>-7.9187384204661648E-2</v>
      </c>
      <c r="F6" s="35">
        <f t="shared" si="1"/>
        <v>92.08126157953383</v>
      </c>
      <c r="G6" s="36" t="str">
        <f t="shared" si="2"/>
        <v>2022-01</v>
      </c>
    </row>
    <row r="7" spans="1:7" x14ac:dyDescent="0.25">
      <c r="A7" s="37">
        <v>44571</v>
      </c>
      <c r="B7" s="38">
        <v>60413.418426513723</v>
      </c>
      <c r="C7" s="39">
        <f t="shared" si="3"/>
        <v>9.07366170786017E-3</v>
      </c>
      <c r="D7" s="38">
        <f>MAX($B$2:B7)</f>
        <v>65018.849296569817</v>
      </c>
      <c r="E7" s="40">
        <f t="shared" si="0"/>
        <v>-7.0832242032604853E-2</v>
      </c>
      <c r="F7" s="41">
        <f t="shared" si="1"/>
        <v>92.916775796739515</v>
      </c>
      <c r="G7" s="42" t="str">
        <f t="shared" si="2"/>
        <v>2022-01</v>
      </c>
    </row>
    <row r="8" spans="1:7" x14ac:dyDescent="0.25">
      <c r="A8" s="31">
        <v>44572</v>
      </c>
      <c r="B8" s="32">
        <v>61167.333126068203</v>
      </c>
      <c r="C8" s="33">
        <f t="shared" si="3"/>
        <v>1.247925906512859E-2</v>
      </c>
      <c r="D8" s="32">
        <f>MAX($B$2:B8)</f>
        <v>65018.849296569817</v>
      </c>
      <c r="E8" s="34">
        <f t="shared" si="0"/>
        <v>-5.9236916865964995E-2</v>
      </c>
      <c r="F8" s="35">
        <f t="shared" si="1"/>
        <v>94.076308313403501</v>
      </c>
      <c r="G8" s="36" t="str">
        <f t="shared" si="2"/>
        <v>2022-01</v>
      </c>
    </row>
    <row r="9" spans="1:7" x14ac:dyDescent="0.25">
      <c r="A9" s="37">
        <v>44573</v>
      </c>
      <c r="B9" s="38">
        <v>62190.215225219799</v>
      </c>
      <c r="C9" s="39">
        <f t="shared" si="3"/>
        <v>1.6722685899079437E-2</v>
      </c>
      <c r="D9" s="38">
        <f>MAX($B$2:B9)</f>
        <v>65018.849296569817</v>
      </c>
      <c r="E9" s="40">
        <f t="shared" si="0"/>
        <v>-4.3504831321264925E-2</v>
      </c>
      <c r="F9" s="41">
        <f t="shared" si="1"/>
        <v>95.649516867873501</v>
      </c>
      <c r="G9" s="42" t="str">
        <f t="shared" si="2"/>
        <v>2022-01</v>
      </c>
    </row>
    <row r="10" spans="1:7" x14ac:dyDescent="0.25">
      <c r="A10" s="31">
        <v>44574</v>
      </c>
      <c r="B10" s="32">
        <v>60365.684680938757</v>
      </c>
      <c r="C10" s="33">
        <f t="shared" si="3"/>
        <v>-2.933790368265432E-2</v>
      </c>
      <c r="D10" s="32">
        <f>MAX($B$2:B10)</f>
        <v>65018.849296569817</v>
      </c>
      <c r="E10" s="34">
        <f t="shared" si="0"/>
        <v>-7.1566394452885929E-2</v>
      </c>
      <c r="F10" s="35">
        <f t="shared" si="1"/>
        <v>92.84336055471141</v>
      </c>
      <c r="G10" s="36" t="str">
        <f t="shared" si="2"/>
        <v>2022-01</v>
      </c>
    </row>
    <row r="11" spans="1:7" x14ac:dyDescent="0.25">
      <c r="A11" s="37">
        <v>44575</v>
      </c>
      <c r="B11" s="38">
        <v>61105.92660903935</v>
      </c>
      <c r="C11" s="39">
        <f t="shared" si="3"/>
        <v>1.2262627882266619E-2</v>
      </c>
      <c r="D11" s="38">
        <f>MAX($B$2:B11)</f>
        <v>65018.849296569817</v>
      </c>
      <c r="E11" s="40">
        <f t="shared" si="0"/>
        <v>-6.0181358634670556E-2</v>
      </c>
      <c r="F11" s="41">
        <f t="shared" si="1"/>
        <v>93.981864136532948</v>
      </c>
      <c r="G11" s="42" t="str">
        <f t="shared" si="2"/>
        <v>2022-01</v>
      </c>
    </row>
    <row r="12" spans="1:7" x14ac:dyDescent="0.25">
      <c r="A12" s="31">
        <v>44579</v>
      </c>
      <c r="B12" s="32">
        <v>59481.148986816428</v>
      </c>
      <c r="C12" s="33">
        <f t="shared" si="3"/>
        <v>-2.658952596559705E-2</v>
      </c>
      <c r="D12" s="32">
        <f>MAX($B$2:B12)</f>
        <v>65018.849296569817</v>
      </c>
      <c r="E12" s="34">
        <f t="shared" si="0"/>
        <v>-8.5170690802206184E-2</v>
      </c>
      <c r="F12" s="35">
        <f t="shared" si="1"/>
        <v>91.482930919779378</v>
      </c>
      <c r="G12" s="36" t="str">
        <f t="shared" si="2"/>
        <v>2022-01</v>
      </c>
    </row>
    <row r="13" spans="1:7" x14ac:dyDescent="0.25">
      <c r="A13" s="37">
        <v>44580</v>
      </c>
      <c r="B13" s="38">
        <v>58327.046279907263</v>
      </c>
      <c r="C13" s="39">
        <f t="shared" si="3"/>
        <v>-1.9402831427566491E-2</v>
      </c>
      <c r="D13" s="38">
        <f>MAX($B$2:B13)</f>
        <v>65018.849296569817</v>
      </c>
      <c r="E13" s="40">
        <f t="shared" si="0"/>
        <v>-0.10292096967356801</v>
      </c>
      <c r="F13" s="41">
        <f t="shared" si="1"/>
        <v>89.707903032643202</v>
      </c>
      <c r="G13" s="42" t="str">
        <f t="shared" si="2"/>
        <v>2022-01</v>
      </c>
    </row>
    <row r="14" spans="1:7" x14ac:dyDescent="0.25">
      <c r="A14" s="31">
        <v>44581</v>
      </c>
      <c r="B14" s="32">
        <v>57575.593891143813</v>
      </c>
      <c r="C14" s="33">
        <f t="shared" si="3"/>
        <v>-1.2883429501251986E-2</v>
      </c>
      <c r="D14" s="32">
        <f>MAX($B$2:B14)</f>
        <v>65018.849296569817</v>
      </c>
      <c r="E14" s="34">
        <f t="shared" si="0"/>
        <v>-0.11447842411783016</v>
      </c>
      <c r="F14" s="35">
        <f t="shared" si="1"/>
        <v>88.552157588216986</v>
      </c>
      <c r="G14" s="36" t="str">
        <f t="shared" si="2"/>
        <v>2022-01</v>
      </c>
    </row>
    <row r="15" spans="1:7" x14ac:dyDescent="0.25">
      <c r="A15" s="37">
        <v>44582</v>
      </c>
      <c r="B15" s="38">
        <v>55666.428375244162</v>
      </c>
      <c r="C15" s="39">
        <f t="shared" si="3"/>
        <v>-3.3159284809275991E-2</v>
      </c>
      <c r="D15" s="38">
        <f>MAX($B$2:B15)</f>
        <v>65018.849296569817</v>
      </c>
      <c r="E15" s="40">
        <f t="shared" si="0"/>
        <v>-0.14384168625726601</v>
      </c>
      <c r="F15" s="41">
        <f t="shared" si="1"/>
        <v>85.615831374273398</v>
      </c>
      <c r="G15" s="42" t="str">
        <f t="shared" si="2"/>
        <v>2022-01</v>
      </c>
    </row>
    <row r="16" spans="1:7" x14ac:dyDescent="0.25">
      <c r="A16" s="31">
        <v>44585</v>
      </c>
      <c r="B16" s="32">
        <v>55621.508502960191</v>
      </c>
      <c r="C16" s="33">
        <f t="shared" si="3"/>
        <v>-8.0694726777097436E-4</v>
      </c>
      <c r="D16" s="32">
        <f>MAX($B$2:B16)</f>
        <v>65018.849296569817</v>
      </c>
      <c r="E16" s="34">
        <f t="shared" si="0"/>
        <v>-0.14453256086932009</v>
      </c>
      <c r="F16" s="35">
        <f t="shared" si="1"/>
        <v>85.546743913067985</v>
      </c>
      <c r="G16" s="36" t="str">
        <f t="shared" si="2"/>
        <v>2022-01</v>
      </c>
    </row>
    <row r="17" spans="1:7" x14ac:dyDescent="0.25">
      <c r="A17" s="37">
        <v>44586</v>
      </c>
      <c r="B17" s="38">
        <v>54442.053127288833</v>
      </c>
      <c r="C17" s="39">
        <f t="shared" si="3"/>
        <v>-2.1205023154102109E-2</v>
      </c>
      <c r="D17" s="38">
        <f>MAX($B$2:B17)</f>
        <v>65018.849296569817</v>
      </c>
      <c r="E17" s="40">
        <f t="shared" si="0"/>
        <v>-0.16267276772366657</v>
      </c>
      <c r="F17" s="41">
        <f t="shared" si="1"/>
        <v>83.732723227633343</v>
      </c>
      <c r="G17" s="42" t="str">
        <f t="shared" si="2"/>
        <v>2022-01</v>
      </c>
    </row>
    <row r="18" spans="1:7" x14ac:dyDescent="0.25">
      <c r="A18" s="31">
        <v>44587</v>
      </c>
      <c r="B18" s="32">
        <v>55135.649356842026</v>
      </c>
      <c r="C18" s="33">
        <f t="shared" si="3"/>
        <v>1.2740082155452859E-2</v>
      </c>
      <c r="D18" s="32">
        <f>MAX($B$2:B18)</f>
        <v>65018.849296569817</v>
      </c>
      <c r="E18" s="34">
        <f t="shared" si="0"/>
        <v>-0.15200514999346804</v>
      </c>
      <c r="F18" s="35">
        <f t="shared" si="1"/>
        <v>84.799485000653192</v>
      </c>
      <c r="G18" s="36" t="str">
        <f t="shared" si="2"/>
        <v>2022-01</v>
      </c>
    </row>
    <row r="19" spans="1:7" x14ac:dyDescent="0.25">
      <c r="A19" s="37">
        <v>44588</v>
      </c>
      <c r="B19" s="38">
        <v>53044.216518402129</v>
      </c>
      <c r="C19" s="39">
        <f t="shared" si="3"/>
        <v>-3.7932496721023279E-2</v>
      </c>
      <c r="D19" s="38">
        <f>MAX($B$2:B19)</f>
        <v>65018.849296569817</v>
      </c>
      <c r="E19" s="40">
        <f t="shared" si="0"/>
        <v>-0.1841717118607854</v>
      </c>
      <c r="F19" s="41">
        <f t="shared" si="1"/>
        <v>81.582828813921466</v>
      </c>
      <c r="G19" s="42" t="str">
        <f t="shared" si="2"/>
        <v>2022-01</v>
      </c>
    </row>
    <row r="20" spans="1:7" x14ac:dyDescent="0.25">
      <c r="A20" s="31">
        <v>44589</v>
      </c>
      <c r="B20" s="32">
        <v>54778.727092742964</v>
      </c>
      <c r="C20" s="33">
        <f t="shared" si="3"/>
        <v>3.2699334407910285E-2</v>
      </c>
      <c r="D20" s="32">
        <f>MAX($B$2:B20)</f>
        <v>65018.849296569817</v>
      </c>
      <c r="E20" s="34">
        <f t="shared" si="0"/>
        <v>-0.15749466984748817</v>
      </c>
      <c r="F20" s="35">
        <f t="shared" si="1"/>
        <v>84.250533015251179</v>
      </c>
      <c r="G20" s="36" t="str">
        <f t="shared" si="2"/>
        <v>2022-01</v>
      </c>
    </row>
    <row r="21" spans="1:7" x14ac:dyDescent="0.25">
      <c r="A21" s="37">
        <v>44592</v>
      </c>
      <c r="B21" s="38">
        <v>57305.291213989258</v>
      </c>
      <c r="C21" s="39">
        <f t="shared" si="3"/>
        <v>4.6123089296483677E-2</v>
      </c>
      <c r="D21" s="38">
        <f>MAX($B$2:B21)</f>
        <v>65018.849296569817</v>
      </c>
      <c r="E21" s="40">
        <f t="shared" si="0"/>
        <v>-0.11863572127210043</v>
      </c>
      <c r="F21" s="41">
        <f t="shared" si="1"/>
        <v>88.136427872789952</v>
      </c>
      <c r="G21" s="42" t="str">
        <f t="shared" si="2"/>
        <v>2022-01</v>
      </c>
    </row>
    <row r="22" spans="1:7" x14ac:dyDescent="0.25">
      <c r="A22" s="31">
        <v>44593</v>
      </c>
      <c r="B22" s="32">
        <v>57294.505062103352</v>
      </c>
      <c r="C22" s="33">
        <f t="shared" si="3"/>
        <v>-1.8822261709883215E-4</v>
      </c>
      <c r="D22" s="32">
        <f>MAX($B$2:B22)</f>
        <v>65018.849296569817</v>
      </c>
      <c r="E22" s="34">
        <f t="shared" si="0"/>
        <v>-0.11880161396325994</v>
      </c>
      <c r="F22" s="35">
        <f t="shared" si="1"/>
        <v>88.119838603674012</v>
      </c>
      <c r="G22" s="36" t="str">
        <f t="shared" si="2"/>
        <v>2022-02</v>
      </c>
    </row>
    <row r="23" spans="1:7" x14ac:dyDescent="0.25">
      <c r="A23" s="37">
        <v>44594</v>
      </c>
      <c r="B23" s="38">
        <v>57661.349124908491</v>
      </c>
      <c r="C23" s="39">
        <f t="shared" si="3"/>
        <v>6.4027791567011771E-3</v>
      </c>
      <c r="D23" s="38">
        <f>MAX($B$2:B23)</f>
        <v>65018.849296569817</v>
      </c>
      <c r="E23" s="40">
        <f t="shared" si="0"/>
        <v>-0.11315949530422531</v>
      </c>
      <c r="F23" s="41">
        <f t="shared" si="1"/>
        <v>88.684050469577471</v>
      </c>
      <c r="G23" s="42" t="str">
        <f t="shared" si="2"/>
        <v>2022-02</v>
      </c>
    </row>
    <row r="24" spans="1:7" x14ac:dyDescent="0.25">
      <c r="A24" s="31">
        <v>44595</v>
      </c>
      <c r="B24" s="32">
        <v>55903.525066375732</v>
      </c>
      <c r="C24" s="33">
        <f t="shared" si="3"/>
        <v>-3.0485309227241353E-2</v>
      </c>
      <c r="D24" s="32">
        <f>MAX($B$2:B24)</f>
        <v>65018.849296569817</v>
      </c>
      <c r="E24" s="34">
        <f t="shared" si="0"/>
        <v>-0.14019510232511878</v>
      </c>
      <c r="F24" s="35">
        <f t="shared" si="1"/>
        <v>85.980489767488123</v>
      </c>
      <c r="G24" s="36" t="str">
        <f t="shared" si="2"/>
        <v>2022-02</v>
      </c>
    </row>
    <row r="25" spans="1:7" x14ac:dyDescent="0.25">
      <c r="A25" s="37">
        <v>44596</v>
      </c>
      <c r="B25" s="38">
        <v>57250.693836212173</v>
      </c>
      <c r="C25" s="39">
        <f t="shared" si="3"/>
        <v>2.4098100580185466E-2</v>
      </c>
      <c r="D25" s="38">
        <f>MAX($B$2:B25)</f>
        <v>65018.849296569817</v>
      </c>
      <c r="E25" s="40">
        <f t="shared" si="0"/>
        <v>-0.11947543742161348</v>
      </c>
      <c r="F25" s="41">
        <f t="shared" si="1"/>
        <v>88.052456257838656</v>
      </c>
      <c r="G25" s="42" t="str">
        <f t="shared" si="2"/>
        <v>2022-02</v>
      </c>
    </row>
    <row r="26" spans="1:7" x14ac:dyDescent="0.25">
      <c r="A26" s="31">
        <v>44599</v>
      </c>
      <c r="B26" s="32">
        <v>56615.759067535408</v>
      </c>
      <c r="C26" s="33">
        <f t="shared" si="3"/>
        <v>-1.1090429235552035E-2</v>
      </c>
      <c r="D26" s="32">
        <f>MAX($B$2:B26)</f>
        <v>65018.849296569817</v>
      </c>
      <c r="E26" s="34">
        <f t="shared" si="0"/>
        <v>-0.12924083277305443</v>
      </c>
      <c r="F26" s="35">
        <f t="shared" si="1"/>
        <v>87.075916722694558</v>
      </c>
      <c r="G26" s="36" t="str">
        <f t="shared" si="2"/>
        <v>2022-02</v>
      </c>
    </row>
    <row r="27" spans="1:7" x14ac:dyDescent="0.25">
      <c r="A27" s="37">
        <v>44600</v>
      </c>
      <c r="B27" s="38">
        <v>57447.36200332646</v>
      </c>
      <c r="C27" s="39">
        <f t="shared" si="3"/>
        <v>1.4688541662031929E-2</v>
      </c>
      <c r="D27" s="38">
        <f>MAX($B$2:B27)</f>
        <v>65018.849296569817</v>
      </c>
      <c r="E27" s="40">
        <f t="shared" si="0"/>
        <v>-0.11645065046764536</v>
      </c>
      <c r="F27" s="41">
        <f t="shared" si="1"/>
        <v>88.354934953235471</v>
      </c>
      <c r="G27" s="42" t="str">
        <f t="shared" si="2"/>
        <v>2022-02</v>
      </c>
    </row>
    <row r="28" spans="1:7" x14ac:dyDescent="0.25">
      <c r="A28" s="31">
        <v>44601</v>
      </c>
      <c r="B28" s="32">
        <v>58379.06686782834</v>
      </c>
      <c r="C28" s="33">
        <f t="shared" si="3"/>
        <v>1.6218409897532426E-2</v>
      </c>
      <c r="D28" s="32">
        <f>MAX($B$2:B28)</f>
        <v>65018.849296569817</v>
      </c>
      <c r="E28" s="34">
        <f t="shared" si="0"/>
        <v>-0.10212088495223137</v>
      </c>
      <c r="F28" s="35">
        <f t="shared" si="1"/>
        <v>89.787911504776858</v>
      </c>
      <c r="G28" s="36" t="str">
        <f t="shared" si="2"/>
        <v>2022-02</v>
      </c>
    </row>
    <row r="29" spans="1:7" x14ac:dyDescent="0.25">
      <c r="A29" s="37">
        <v>44602</v>
      </c>
      <c r="B29" s="38">
        <v>57210.964889526367</v>
      </c>
      <c r="C29" s="39">
        <f t="shared" si="3"/>
        <v>-2.0008918281386512E-2</v>
      </c>
      <c r="D29" s="38">
        <f>MAX($B$2:B29)</f>
        <v>65018.849296569817</v>
      </c>
      <c r="E29" s="40">
        <f t="shared" si="0"/>
        <v>-0.1200864747917858</v>
      </c>
      <c r="F29" s="41">
        <f t="shared" si="1"/>
        <v>87.991352520821422</v>
      </c>
      <c r="G29" s="42" t="str">
        <f t="shared" si="2"/>
        <v>2022-02</v>
      </c>
    </row>
    <row r="30" spans="1:7" x14ac:dyDescent="0.25">
      <c r="A30" s="31">
        <v>44603</v>
      </c>
      <c r="B30" s="32">
        <v>55385.858554840102</v>
      </c>
      <c r="C30" s="33">
        <f t="shared" si="3"/>
        <v>-3.1901338112554467E-2</v>
      </c>
      <c r="D30" s="32">
        <f>MAX($B$2:B30)</f>
        <v>65018.849296569817</v>
      </c>
      <c r="E30" s="34">
        <f t="shared" si="0"/>
        <v>-0.14815689366926277</v>
      </c>
      <c r="F30" s="35">
        <f t="shared" si="1"/>
        <v>85.184310633073721</v>
      </c>
      <c r="G30" s="36" t="str">
        <f t="shared" si="2"/>
        <v>2022-02</v>
      </c>
    </row>
    <row r="31" spans="1:7" x14ac:dyDescent="0.25">
      <c r="A31" s="37">
        <v>44606</v>
      </c>
      <c r="B31" s="38">
        <v>55692.933406829849</v>
      </c>
      <c r="C31" s="39">
        <f t="shared" si="3"/>
        <v>5.5442826021321334E-3</v>
      </c>
      <c r="D31" s="38">
        <f>MAX($B$2:B31)</f>
        <v>65018.849296569817</v>
      </c>
      <c r="E31" s="40">
        <f t="shared" si="0"/>
        <v>-0.14343403475508709</v>
      </c>
      <c r="F31" s="41">
        <f t="shared" si="1"/>
        <v>85.656596524491292</v>
      </c>
      <c r="G31" s="42" t="str">
        <f t="shared" si="2"/>
        <v>2022-02</v>
      </c>
    </row>
    <row r="32" spans="1:7" x14ac:dyDescent="0.25">
      <c r="A32" s="31">
        <v>44607</v>
      </c>
      <c r="B32" s="32">
        <v>57530.829658508294</v>
      </c>
      <c r="C32" s="33">
        <f t="shared" si="3"/>
        <v>3.3000528778989624E-2</v>
      </c>
      <c r="D32" s="32">
        <f>MAX($B$2:B32)</f>
        <v>65018.849296569817</v>
      </c>
      <c r="E32" s="34">
        <f t="shared" si="0"/>
        <v>-0.11516690496791926</v>
      </c>
      <c r="F32" s="35">
        <f t="shared" si="1"/>
        <v>88.483309503208076</v>
      </c>
      <c r="G32" s="36" t="str">
        <f t="shared" si="2"/>
        <v>2022-02</v>
      </c>
    </row>
    <row r="33" spans="1:7" x14ac:dyDescent="0.25">
      <c r="A33" s="37">
        <v>44608</v>
      </c>
      <c r="B33" s="38">
        <v>57547.826499938958</v>
      </c>
      <c r="C33" s="39">
        <f t="shared" si="3"/>
        <v>2.9543883742944033E-4</v>
      </c>
      <c r="D33" s="38">
        <f>MAX($B$2:B33)</f>
        <v>65018.849296569817</v>
      </c>
      <c r="E33" s="40">
        <f t="shared" si="0"/>
        <v>-0.11490549090700386</v>
      </c>
      <c r="F33" s="41">
        <f t="shared" si="1"/>
        <v>88.509450909299616</v>
      </c>
      <c r="G33" s="42" t="str">
        <f t="shared" si="2"/>
        <v>2022-02</v>
      </c>
    </row>
    <row r="34" spans="1:7" x14ac:dyDescent="0.25">
      <c r="A34" s="31">
        <v>44609</v>
      </c>
      <c r="B34" s="32">
        <v>55516.149997711182</v>
      </c>
      <c r="C34" s="33">
        <f t="shared" si="3"/>
        <v>-3.5304139631232356E-2</v>
      </c>
      <c r="D34" s="32">
        <f>MAX($B$2:B34)</f>
        <v>65018.849296569817</v>
      </c>
      <c r="E34" s="34">
        <f t="shared" si="0"/>
        <v>-0.14615299104286006</v>
      </c>
      <c r="F34" s="35">
        <f t="shared" si="1"/>
        <v>85.384700895713991</v>
      </c>
      <c r="G34" s="36" t="str">
        <f t="shared" si="2"/>
        <v>2022-02</v>
      </c>
    </row>
    <row r="35" spans="1:7" x14ac:dyDescent="0.25">
      <c r="A35" s="37">
        <v>44610</v>
      </c>
      <c r="B35" s="38">
        <v>54673.155384063728</v>
      </c>
      <c r="C35" s="39">
        <f t="shared" si="3"/>
        <v>-1.518467353521824E-2</v>
      </c>
      <c r="D35" s="38">
        <f>MAX($B$2:B35)</f>
        <v>65018.849296569817</v>
      </c>
      <c r="E35" s="40">
        <f t="shared" si="0"/>
        <v>-0.15911837912289684</v>
      </c>
      <c r="F35" s="41">
        <f t="shared" si="1"/>
        <v>84.088162087710316</v>
      </c>
      <c r="G35" s="42" t="str">
        <f t="shared" si="2"/>
        <v>2022-02</v>
      </c>
    </row>
    <row r="36" spans="1:7" x14ac:dyDescent="0.25">
      <c r="A36" s="31">
        <v>44614</v>
      </c>
      <c r="B36" s="32">
        <v>53681.461944580064</v>
      </c>
      <c r="C36" s="33">
        <f t="shared" si="3"/>
        <v>-1.81385806712141E-2</v>
      </c>
      <c r="D36" s="32">
        <f>MAX($B$2:B36)</f>
        <v>65018.849296569817</v>
      </c>
      <c r="E36" s="34">
        <f t="shared" si="0"/>
        <v>-0.17437077823811742</v>
      </c>
      <c r="F36" s="35">
        <f t="shared" si="1"/>
        <v>82.562922176188252</v>
      </c>
      <c r="G36" s="36" t="str">
        <f t="shared" si="2"/>
        <v>2022-02</v>
      </c>
    </row>
    <row r="37" spans="1:7" x14ac:dyDescent="0.25">
      <c r="A37" s="37">
        <v>44615</v>
      </c>
      <c r="B37" s="38">
        <v>51778.403930663997</v>
      </c>
      <c r="C37" s="39">
        <f t="shared" si="3"/>
        <v>-3.5450934922017452E-2</v>
      </c>
      <c r="D37" s="38">
        <f>MAX($B$2:B37)</f>
        <v>65018.849296569817</v>
      </c>
      <c r="E37" s="40">
        <f t="shared" si="0"/>
        <v>-0.2036401060485139</v>
      </c>
      <c r="F37" s="41">
        <f t="shared" si="1"/>
        <v>79.635989395148613</v>
      </c>
      <c r="G37" s="42" t="str">
        <f t="shared" si="2"/>
        <v>2022-02</v>
      </c>
    </row>
    <row r="38" spans="1:7" x14ac:dyDescent="0.25">
      <c r="A38" s="31">
        <v>44616</v>
      </c>
      <c r="B38" s="32">
        <v>53385.839176177971</v>
      </c>
      <c r="C38" s="33">
        <f t="shared" si="3"/>
        <v>3.1044511292130039E-2</v>
      </c>
      <c r="D38" s="32">
        <f>MAX($B$2:B38)</f>
        <v>65018.849296569817</v>
      </c>
      <c r="E38" s="34">
        <f t="shared" si="0"/>
        <v>-0.17891750232813741</v>
      </c>
      <c r="F38" s="35">
        <f t="shared" si="1"/>
        <v>82.108249767186265</v>
      </c>
      <c r="G38" s="36" t="str">
        <f t="shared" si="2"/>
        <v>2022-02</v>
      </c>
    </row>
    <row r="39" spans="1:7" x14ac:dyDescent="0.25">
      <c r="A39" s="37">
        <v>44617</v>
      </c>
      <c r="B39" s="38">
        <v>53930.386714935332</v>
      </c>
      <c r="C39" s="39">
        <f t="shared" si="3"/>
        <v>1.0200224388349666E-2</v>
      </c>
      <c r="D39" s="38">
        <f>MAX($B$2:B39)</f>
        <v>65018.849296569817</v>
      </c>
      <c r="E39" s="40">
        <f t="shared" si="0"/>
        <v>-0.17054227661053789</v>
      </c>
      <c r="F39" s="41">
        <f t="shared" si="1"/>
        <v>82.945772338946213</v>
      </c>
      <c r="G39" s="42" t="str">
        <f t="shared" si="2"/>
        <v>2022-02</v>
      </c>
    </row>
    <row r="40" spans="1:7" x14ac:dyDescent="0.25">
      <c r="A40" s="31">
        <v>44620</v>
      </c>
      <c r="B40" s="32">
        <v>54704.908447265581</v>
      </c>
      <c r="C40" s="33">
        <f t="shared" si="3"/>
        <v>1.4361508965700764E-2</v>
      </c>
      <c r="D40" s="32">
        <f>MAX($B$2:B40)</f>
        <v>65018.849296569817</v>
      </c>
      <c r="E40" s="34">
        <f t="shared" si="0"/>
        <v>-0.15863001207941041</v>
      </c>
      <c r="F40" s="35">
        <f t="shared" si="1"/>
        <v>84.136998792058961</v>
      </c>
      <c r="G40" s="36" t="str">
        <f t="shared" si="2"/>
        <v>2022-02</v>
      </c>
    </row>
    <row r="41" spans="1:7" x14ac:dyDescent="0.25">
      <c r="A41" s="37">
        <v>44621</v>
      </c>
      <c r="B41" s="38">
        <v>54132.827529907219</v>
      </c>
      <c r="C41" s="39">
        <f t="shared" si="3"/>
        <v>-1.0457579284861351E-2</v>
      </c>
      <c r="D41" s="38">
        <f>MAX($B$2:B41)</f>
        <v>65018.849296569817</v>
      </c>
      <c r="E41" s="40">
        <f t="shared" si="0"/>
        <v>-0.16742870543599286</v>
      </c>
      <c r="F41" s="41">
        <f t="shared" si="1"/>
        <v>83.257129456400719</v>
      </c>
      <c r="G41" s="42" t="str">
        <f t="shared" si="2"/>
        <v>2022-03</v>
      </c>
    </row>
    <row r="42" spans="1:7" x14ac:dyDescent="0.25">
      <c r="A42" s="31">
        <v>44622</v>
      </c>
      <c r="B42" s="32">
        <v>55180.200672149651</v>
      </c>
      <c r="C42" s="33">
        <f t="shared" si="3"/>
        <v>1.9348206809699287E-2</v>
      </c>
      <c r="D42" s="32">
        <f>MAX($B$2:B42)</f>
        <v>65018.849296569817</v>
      </c>
      <c r="E42" s="34">
        <f t="shared" si="0"/>
        <v>-0.15131994384494929</v>
      </c>
      <c r="F42" s="35">
        <f t="shared" si="1"/>
        <v>84.868005615505069</v>
      </c>
      <c r="G42" s="36" t="str">
        <f t="shared" si="2"/>
        <v>2022-03</v>
      </c>
    </row>
    <row r="43" spans="1:7" x14ac:dyDescent="0.25">
      <c r="A43" s="37">
        <v>44623</v>
      </c>
      <c r="B43" s="38">
        <v>54001.950244903608</v>
      </c>
      <c r="C43" s="39">
        <f t="shared" si="3"/>
        <v>-2.135277532328228E-2</v>
      </c>
      <c r="D43" s="38">
        <f>MAX($B$2:B43)</f>
        <v>65018.849296569817</v>
      </c>
      <c r="E43" s="40">
        <f t="shared" si="0"/>
        <v>-0.16944161840537875</v>
      </c>
      <c r="F43" s="41">
        <f t="shared" si="1"/>
        <v>83.055838159462127</v>
      </c>
      <c r="G43" s="42" t="str">
        <f t="shared" si="2"/>
        <v>2022-03</v>
      </c>
    </row>
    <row r="44" spans="1:7" x14ac:dyDescent="0.25">
      <c r="A44" s="31">
        <v>44624</v>
      </c>
      <c r="B44" s="32">
        <v>52889.011745452917</v>
      </c>
      <c r="C44" s="33">
        <f t="shared" si="3"/>
        <v>-2.0609227896463356E-2</v>
      </c>
      <c r="D44" s="32">
        <f>MAX($B$2:B44)</f>
        <v>65018.849296569817</v>
      </c>
      <c r="E44" s="34">
        <f t="shared" si="0"/>
        <v>-0.18655878537297998</v>
      </c>
      <c r="F44" s="35">
        <f t="shared" si="1"/>
        <v>81.344121462702006</v>
      </c>
      <c r="G44" s="36" t="str">
        <f t="shared" si="2"/>
        <v>2022-03</v>
      </c>
    </row>
    <row r="45" spans="1:7" x14ac:dyDescent="0.25">
      <c r="A45" s="37">
        <v>44627</v>
      </c>
      <c r="B45" s="38">
        <v>50715.877895355239</v>
      </c>
      <c r="C45" s="39">
        <f t="shared" si="3"/>
        <v>-4.1088569787551599E-2</v>
      </c>
      <c r="D45" s="38">
        <f>MAX($B$2:B45)</f>
        <v>65018.849296569817</v>
      </c>
      <c r="E45" s="40">
        <f t="shared" si="0"/>
        <v>-0.21998192148825302</v>
      </c>
      <c r="F45" s="41">
        <f t="shared" si="1"/>
        <v>78.001807851174704</v>
      </c>
      <c r="G45" s="42" t="str">
        <f t="shared" si="2"/>
        <v>2022-03</v>
      </c>
    </row>
    <row r="46" spans="1:7" x14ac:dyDescent="0.25">
      <c r="A46" s="31">
        <v>44628</v>
      </c>
      <c r="B46" s="32">
        <v>50895.680141448953</v>
      </c>
      <c r="C46" s="33">
        <f t="shared" si="3"/>
        <v>3.545285097197981E-3</v>
      </c>
      <c r="D46" s="32">
        <f>MAX($B$2:B46)</f>
        <v>65018.849296569817</v>
      </c>
      <c r="E46" s="34">
        <f t="shared" si="0"/>
        <v>-0.21721653501896032</v>
      </c>
      <c r="F46" s="35">
        <f t="shared" si="1"/>
        <v>78.278346498103971</v>
      </c>
      <c r="G46" s="36" t="str">
        <f t="shared" si="2"/>
        <v>2022-03</v>
      </c>
    </row>
    <row r="47" spans="1:7" x14ac:dyDescent="0.25">
      <c r="A47" s="37">
        <v>44629</v>
      </c>
      <c r="B47" s="38">
        <v>53013.893966674797</v>
      </c>
      <c r="C47" s="39">
        <f t="shared" si="3"/>
        <v>4.1618735015209962E-2</v>
      </c>
      <c r="D47" s="38">
        <f>MAX($B$2:B47)</f>
        <v>65018.849296569817</v>
      </c>
      <c r="E47" s="40">
        <f t="shared" si="0"/>
        <v>-0.18463807741562666</v>
      </c>
      <c r="F47" s="41">
        <f t="shared" si="1"/>
        <v>81.536192258437339</v>
      </c>
      <c r="G47" s="42" t="str">
        <f t="shared" si="2"/>
        <v>2022-03</v>
      </c>
    </row>
    <row r="48" spans="1:7" x14ac:dyDescent="0.25">
      <c r="A48" s="31">
        <v>44630</v>
      </c>
      <c r="B48" s="32">
        <v>52279.660091400219</v>
      </c>
      <c r="C48" s="33">
        <f t="shared" si="3"/>
        <v>-1.3849838605255571E-2</v>
      </c>
      <c r="D48" s="32">
        <f>MAX($B$2:B48)</f>
        <v>65018.849296569817</v>
      </c>
      <c r="E48" s="34">
        <f t="shared" si="0"/>
        <v>-0.19593070844829108</v>
      </c>
      <c r="F48" s="35">
        <f t="shared" si="1"/>
        <v>80.406929155170886</v>
      </c>
      <c r="G48" s="36" t="str">
        <f t="shared" si="2"/>
        <v>2022-03</v>
      </c>
    </row>
    <row r="49" spans="1:7" x14ac:dyDescent="0.25">
      <c r="A49" s="37">
        <v>44631</v>
      </c>
      <c r="B49" s="38">
        <v>50718.127803802468</v>
      </c>
      <c r="C49" s="39">
        <f t="shared" si="3"/>
        <v>-2.9868830150535319E-2</v>
      </c>
      <c r="D49" s="38">
        <f>MAX($B$2:B49)</f>
        <v>65018.849296569817</v>
      </c>
      <c r="E49" s="40">
        <f t="shared" si="0"/>
        <v>-0.21994731754691033</v>
      </c>
      <c r="F49" s="41">
        <f t="shared" si="1"/>
        <v>78.005268245308969</v>
      </c>
      <c r="G49" s="42" t="str">
        <f t="shared" si="2"/>
        <v>2022-03</v>
      </c>
    </row>
    <row r="50" spans="1:7" x14ac:dyDescent="0.25">
      <c r="A50" s="31">
        <v>44634</v>
      </c>
      <c r="B50" s="32">
        <v>49346.164646148689</v>
      </c>
      <c r="C50" s="33">
        <f t="shared" si="3"/>
        <v>-2.7050745306709034E-2</v>
      </c>
      <c r="D50" s="32">
        <f>MAX($B$2:B50)</f>
        <v>65018.849296569817</v>
      </c>
      <c r="E50" s="34">
        <f t="shared" si="0"/>
        <v>-0.24104832398576403</v>
      </c>
      <c r="F50" s="35">
        <f t="shared" si="1"/>
        <v>75.895167601423594</v>
      </c>
      <c r="G50" s="36" t="str">
        <f t="shared" si="2"/>
        <v>2022-03</v>
      </c>
    </row>
    <row r="51" spans="1:7" x14ac:dyDescent="0.25">
      <c r="A51" s="37">
        <v>44635</v>
      </c>
      <c r="B51" s="38">
        <v>51233.891239166267</v>
      </c>
      <c r="C51" s="39">
        <f t="shared" si="3"/>
        <v>3.8254778391676014E-2</v>
      </c>
      <c r="D51" s="38">
        <f>MAX($B$2:B51)</f>
        <v>65018.849296569817</v>
      </c>
      <c r="E51" s="40">
        <f t="shared" si="0"/>
        <v>-0.21201479580984828</v>
      </c>
      <c r="F51" s="41">
        <f t="shared" si="1"/>
        <v>78.798520419015176</v>
      </c>
      <c r="G51" s="42" t="str">
        <f t="shared" si="2"/>
        <v>2022-03</v>
      </c>
    </row>
    <row r="52" spans="1:7" x14ac:dyDescent="0.25">
      <c r="A52" s="31">
        <v>44636</v>
      </c>
      <c r="B52" s="32">
        <v>53348.343639373808</v>
      </c>
      <c r="C52" s="33">
        <f t="shared" si="3"/>
        <v>4.1270579865523294E-2</v>
      </c>
      <c r="D52" s="32">
        <f>MAX($B$2:B52)</f>
        <v>65018.849296569817</v>
      </c>
      <c r="E52" s="34">
        <f t="shared" si="0"/>
        <v>-0.17949418950746809</v>
      </c>
      <c r="F52" s="35">
        <f t="shared" si="1"/>
        <v>82.050581049253196</v>
      </c>
      <c r="G52" s="36" t="str">
        <f t="shared" si="2"/>
        <v>2022-03</v>
      </c>
    </row>
    <row r="53" spans="1:7" x14ac:dyDescent="0.25">
      <c r="A53" s="37">
        <v>44637</v>
      </c>
      <c r="B53" s="38">
        <v>54191.454448699937</v>
      </c>
      <c r="C53" s="39">
        <f t="shared" si="3"/>
        <v>1.5803879779762608E-2</v>
      </c>
      <c r="D53" s="38">
        <f>MAX($B$2:B53)</f>
        <v>65018.849296569817</v>
      </c>
      <c r="E53" s="40">
        <f t="shared" si="0"/>
        <v>-0.1665270143198474</v>
      </c>
      <c r="F53" s="41">
        <f t="shared" si="1"/>
        <v>83.347298568015262</v>
      </c>
      <c r="G53" s="42" t="str">
        <f t="shared" si="2"/>
        <v>2022-03</v>
      </c>
    </row>
    <row r="54" spans="1:7" x14ac:dyDescent="0.25">
      <c r="A54" s="31">
        <v>44638</v>
      </c>
      <c r="B54" s="32">
        <v>55352.981319427447</v>
      </c>
      <c r="C54" s="33">
        <f t="shared" si="3"/>
        <v>2.1433764466075811E-2</v>
      </c>
      <c r="D54" s="32">
        <f>MAX($B$2:B54)</f>
        <v>65018.849296569817</v>
      </c>
      <c r="E54" s="34">
        <f t="shared" si="0"/>
        <v>-0.14866255065594203</v>
      </c>
      <c r="F54" s="35">
        <f t="shared" si="1"/>
        <v>85.133744934405797</v>
      </c>
      <c r="G54" s="36" t="str">
        <f t="shared" si="2"/>
        <v>2022-03</v>
      </c>
    </row>
    <row r="55" spans="1:7" x14ac:dyDescent="0.25">
      <c r="A55" s="37">
        <v>44641</v>
      </c>
      <c r="B55" s="38">
        <v>55580.746593475393</v>
      </c>
      <c r="C55" s="39">
        <f t="shared" si="3"/>
        <v>4.1147787999633589E-3</v>
      </c>
      <c r="D55" s="38">
        <f>MAX($B$2:B55)</f>
        <v>65018.849296569817</v>
      </c>
      <c r="E55" s="40">
        <f t="shared" si="0"/>
        <v>-0.14515948536776624</v>
      </c>
      <c r="F55" s="41">
        <f t="shared" si="1"/>
        <v>85.484051463223381</v>
      </c>
      <c r="G55" s="42" t="str">
        <f t="shared" si="2"/>
        <v>2022-03</v>
      </c>
    </row>
    <row r="56" spans="1:7" x14ac:dyDescent="0.25">
      <c r="A56" s="31">
        <v>44642</v>
      </c>
      <c r="B56" s="32">
        <v>57352.287387847879</v>
      </c>
      <c r="C56" s="33">
        <f t="shared" si="3"/>
        <v>3.1873281719832836E-2</v>
      </c>
      <c r="D56" s="32">
        <f>MAX($B$2:B56)</f>
        <v>65018.849296569817</v>
      </c>
      <c r="E56" s="34">
        <f t="shared" si="0"/>
        <v>-0.11791291281936611</v>
      </c>
      <c r="F56" s="35">
        <f t="shared" si="1"/>
        <v>88.208708718063392</v>
      </c>
      <c r="G56" s="36" t="str">
        <f t="shared" si="2"/>
        <v>2022-03</v>
      </c>
    </row>
    <row r="57" spans="1:7" x14ac:dyDescent="0.25">
      <c r="A57" s="37">
        <v>44643</v>
      </c>
      <c r="B57" s="38">
        <v>56940.669994354248</v>
      </c>
      <c r="C57" s="39">
        <f t="shared" si="3"/>
        <v>-7.1770004692235378E-3</v>
      </c>
      <c r="D57" s="38">
        <f>MAX($B$2:B57)</f>
        <v>65018.849296569817</v>
      </c>
      <c r="E57" s="40">
        <f t="shared" si="0"/>
        <v>-0.12424365225795753</v>
      </c>
      <c r="F57" s="41">
        <f t="shared" si="1"/>
        <v>87.575634774204246</v>
      </c>
      <c r="G57" s="42" t="str">
        <f t="shared" si="2"/>
        <v>2022-03</v>
      </c>
    </row>
    <row r="58" spans="1:7" x14ac:dyDescent="0.25">
      <c r="A58" s="31">
        <v>44644</v>
      </c>
      <c r="B58" s="32">
        <v>58037.080745697007</v>
      </c>
      <c r="C58" s="33">
        <f t="shared" si="3"/>
        <v>1.9255318763398366E-2</v>
      </c>
      <c r="D58" s="32">
        <f>MAX($B$2:B58)</f>
        <v>65018.849296569817</v>
      </c>
      <c r="E58" s="34">
        <f t="shared" si="0"/>
        <v>-0.10738068462311501</v>
      </c>
      <c r="F58" s="35">
        <f t="shared" si="1"/>
        <v>89.261931537688497</v>
      </c>
      <c r="G58" s="36" t="str">
        <f t="shared" si="2"/>
        <v>2022-03</v>
      </c>
    </row>
    <row r="59" spans="1:7" x14ac:dyDescent="0.25">
      <c r="A59" s="37">
        <v>44645</v>
      </c>
      <c r="B59" s="38">
        <v>57913.207340240457</v>
      </c>
      <c r="C59" s="39">
        <f t="shared" si="3"/>
        <v>-2.1343838088502265E-3</v>
      </c>
      <c r="D59" s="38">
        <f>MAX($B$2:B59)</f>
        <v>65018.849296569817</v>
      </c>
      <c r="E59" s="40">
        <f t="shared" si="0"/>
        <v>-0.10928587683732249</v>
      </c>
      <c r="F59" s="41">
        <f t="shared" si="1"/>
        <v>89.071412316267754</v>
      </c>
      <c r="G59" s="42" t="str">
        <f t="shared" si="2"/>
        <v>2022-03</v>
      </c>
    </row>
    <row r="60" spans="1:7" x14ac:dyDescent="0.25">
      <c r="A60" s="31">
        <v>44648</v>
      </c>
      <c r="B60" s="32">
        <v>59681.064319610618</v>
      </c>
      <c r="C60" s="33">
        <f t="shared" si="3"/>
        <v>3.0525972581417982E-2</v>
      </c>
      <c r="D60" s="32">
        <f>MAX($B$2:B60)</f>
        <v>65018.849296569817</v>
      </c>
      <c r="E60" s="34">
        <f t="shared" si="0"/>
        <v>-8.2095961935776729E-2</v>
      </c>
      <c r="F60" s="35">
        <f t="shared" si="1"/>
        <v>91.790403806422333</v>
      </c>
      <c r="G60" s="36" t="str">
        <f t="shared" si="2"/>
        <v>2022-03</v>
      </c>
    </row>
    <row r="61" spans="1:7" x14ac:dyDescent="0.25">
      <c r="A61" s="37">
        <v>44649</v>
      </c>
      <c r="B61" s="38">
        <v>60727.792072296194</v>
      </c>
      <c r="C61" s="39">
        <f t="shared" si="3"/>
        <v>1.7538691117839678E-2</v>
      </c>
      <c r="D61" s="38">
        <f>MAX($B$2:B61)</f>
        <v>65018.849296569817</v>
      </c>
      <c r="E61" s="40">
        <f t="shared" si="0"/>
        <v>-6.5997126536350481E-2</v>
      </c>
      <c r="F61" s="41">
        <f t="shared" si="1"/>
        <v>93.400287346364948</v>
      </c>
      <c r="G61" s="42" t="str">
        <f t="shared" si="2"/>
        <v>2022-03</v>
      </c>
    </row>
    <row r="62" spans="1:7" x14ac:dyDescent="0.25">
      <c r="A62" s="31">
        <v>44650</v>
      </c>
      <c r="B62" s="32">
        <v>60005.649452209444</v>
      </c>
      <c r="C62" s="33">
        <f t="shared" si="3"/>
        <v>-1.1891468394356286E-2</v>
      </c>
      <c r="D62" s="32">
        <f>MAX($B$2:B62)</f>
        <v>65018.849296569817</v>
      </c>
      <c r="E62" s="34">
        <f t="shared" si="0"/>
        <v>-7.7103792186381415E-2</v>
      </c>
      <c r="F62" s="35">
        <f t="shared" si="1"/>
        <v>92.289620781361862</v>
      </c>
      <c r="G62" s="36" t="str">
        <f t="shared" si="2"/>
        <v>2022-03</v>
      </c>
    </row>
    <row r="63" spans="1:7" x14ac:dyDescent="0.25">
      <c r="A63" s="37">
        <v>44651</v>
      </c>
      <c r="B63" s="38">
        <v>58880.527229309097</v>
      </c>
      <c r="C63" s="39">
        <f t="shared" si="3"/>
        <v>-1.8750271568953369E-2</v>
      </c>
      <c r="D63" s="38">
        <f>MAX($B$2:B63)</f>
        <v>65018.849296569817</v>
      </c>
      <c r="E63" s="40">
        <f t="shared" si="0"/>
        <v>-9.4408346712844038E-2</v>
      </c>
      <c r="F63" s="41">
        <f t="shared" si="1"/>
        <v>90.559165328715594</v>
      </c>
      <c r="G63" s="42" t="str">
        <f t="shared" si="2"/>
        <v>2022-03</v>
      </c>
    </row>
    <row r="64" spans="1:7" x14ac:dyDescent="0.25">
      <c r="A64" s="31">
        <v>44652</v>
      </c>
      <c r="B64" s="32">
        <v>58893.26587677007</v>
      </c>
      <c r="C64" s="33">
        <f t="shared" si="3"/>
        <v>2.1634737425779704E-4</v>
      </c>
      <c r="D64" s="32">
        <f>MAX($B$2:B64)</f>
        <v>65018.849296569817</v>
      </c>
      <c r="E64" s="34">
        <f t="shared" si="0"/>
        <v>-9.4212424336505673E-2</v>
      </c>
      <c r="F64" s="35">
        <f t="shared" si="1"/>
        <v>90.578757566349438</v>
      </c>
      <c r="G64" s="36" t="str">
        <f t="shared" si="2"/>
        <v>2022-04</v>
      </c>
    </row>
    <row r="65" spans="1:7" x14ac:dyDescent="0.25">
      <c r="A65" s="37">
        <v>44655</v>
      </c>
      <c r="B65" s="38">
        <v>60724.192600250259</v>
      </c>
      <c r="C65" s="39">
        <f t="shared" si="3"/>
        <v>3.1088897792003412E-2</v>
      </c>
      <c r="D65" s="38">
        <f>MAX($B$2:B65)</f>
        <v>65018.849296569817</v>
      </c>
      <c r="E65" s="40">
        <f t="shared" si="0"/>
        <v>-6.6052486975436642E-2</v>
      </c>
      <c r="F65" s="41">
        <f t="shared" si="1"/>
        <v>93.394751302456342</v>
      </c>
      <c r="G65" s="42" t="str">
        <f t="shared" si="2"/>
        <v>2022-04</v>
      </c>
    </row>
    <row r="66" spans="1:7" x14ac:dyDescent="0.25">
      <c r="A66" s="31">
        <v>44656</v>
      </c>
      <c r="B66" s="32">
        <v>58971.043949127219</v>
      </c>
      <c r="C66" s="33">
        <f t="shared" si="3"/>
        <v>-2.8870678654619342E-2</v>
      </c>
      <c r="D66" s="32">
        <f>MAX($B$2:B66)</f>
        <v>65018.849296569817</v>
      </c>
      <c r="E66" s="34">
        <f t="shared" ref="E66:E129" si="4">B66/D66-1</f>
        <v>-9.3016185504249727E-2</v>
      </c>
      <c r="F66" s="35">
        <f t="shared" ref="F66:F129" si="5">B66/$B$2*100</f>
        <v>90.698381449575024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57142.372665405281</v>
      </c>
      <c r="C67" s="39">
        <f t="shared" ref="C67:C130" si="7">B67/B66-1</f>
        <v>-3.1009647468670964E-2</v>
      </c>
      <c r="D67" s="38">
        <f>MAX($B$2:B67)</f>
        <v>65018.849296569817</v>
      </c>
      <c r="E67" s="40">
        <f t="shared" si="4"/>
        <v>-0.12114143385155351</v>
      </c>
      <c r="F67" s="41">
        <f t="shared" si="5"/>
        <v>87.885856614844641</v>
      </c>
      <c r="G67" s="42" t="str">
        <f t="shared" si="6"/>
        <v>2022-04</v>
      </c>
    </row>
    <row r="68" spans="1:7" x14ac:dyDescent="0.25">
      <c r="A68" s="31">
        <v>44658</v>
      </c>
      <c r="B68" s="32">
        <v>57254.684696197481</v>
      </c>
      <c r="C68" s="33">
        <f t="shared" si="7"/>
        <v>1.9654772028778744E-3</v>
      </c>
      <c r="D68" s="32">
        <f>MAX($B$2:B68)</f>
        <v>65018.849296569817</v>
      </c>
      <c r="E68" s="34">
        <f t="shared" si="4"/>
        <v>-0.11941405737523481</v>
      </c>
      <c r="F68" s="35">
        <f t="shared" si="5"/>
        <v>88.058594262476518</v>
      </c>
      <c r="G68" s="36" t="str">
        <f t="shared" si="6"/>
        <v>2022-04</v>
      </c>
    </row>
    <row r="69" spans="1:7" x14ac:dyDescent="0.25">
      <c r="A69" s="37">
        <v>44659</v>
      </c>
      <c r="B69" s="38">
        <v>56073.295288086003</v>
      </c>
      <c r="C69" s="39">
        <f t="shared" si="7"/>
        <v>-2.0633934399955534E-2</v>
      </c>
      <c r="D69" s="38">
        <f>MAX($B$2:B69)</f>
        <v>65018.849296569817</v>
      </c>
      <c r="E69" s="40">
        <f t="shared" si="4"/>
        <v>-0.13758400994887732</v>
      </c>
      <c r="F69" s="41">
        <f t="shared" si="5"/>
        <v>86.241599005112263</v>
      </c>
      <c r="G69" s="42" t="str">
        <f t="shared" si="6"/>
        <v>2022-04</v>
      </c>
    </row>
    <row r="70" spans="1:7" x14ac:dyDescent="0.25">
      <c r="A70" s="31">
        <v>44662</v>
      </c>
      <c r="B70" s="32">
        <v>54224.052352905288</v>
      </c>
      <c r="C70" s="33">
        <f t="shared" si="7"/>
        <v>-3.2979030850245561E-2</v>
      </c>
      <c r="D70" s="32">
        <f>MAX($B$2:B70)</f>
        <v>65018.849296569817</v>
      </c>
      <c r="E70" s="34">
        <f t="shared" si="4"/>
        <v>-0.16602565349051823</v>
      </c>
      <c r="F70" s="35">
        <f t="shared" si="5"/>
        <v>83.397434650948171</v>
      </c>
      <c r="G70" s="36" t="str">
        <f t="shared" si="6"/>
        <v>2022-04</v>
      </c>
    </row>
    <row r="71" spans="1:7" x14ac:dyDescent="0.25">
      <c r="A71" s="37">
        <v>44663</v>
      </c>
      <c r="B71" s="38">
        <v>54305.864257812493</v>
      </c>
      <c r="C71" s="39">
        <f t="shared" si="7"/>
        <v>1.5087751902929103E-3</v>
      </c>
      <c r="D71" s="38">
        <f>MAX($B$2:B71)</f>
        <v>65018.849296569817</v>
      </c>
      <c r="E71" s="40">
        <f t="shared" si="4"/>
        <v>-0.1647673736871641</v>
      </c>
      <c r="F71" s="41">
        <f t="shared" si="5"/>
        <v>83.523262631283586</v>
      </c>
      <c r="G71" s="42" t="str">
        <f t="shared" si="6"/>
        <v>2022-04</v>
      </c>
    </row>
    <row r="72" spans="1:7" x14ac:dyDescent="0.25">
      <c r="A72" s="31">
        <v>44664</v>
      </c>
      <c r="B72" s="32">
        <v>55727.617130279563</v>
      </c>
      <c r="C72" s="33">
        <f t="shared" si="7"/>
        <v>2.6180466730396201E-2</v>
      </c>
      <c r="D72" s="32">
        <f>MAX($B$2:B72)</f>
        <v>65018.849296569817</v>
      </c>
      <c r="E72" s="34">
        <f t="shared" si="4"/>
        <v>-0.1429005937018395</v>
      </c>
      <c r="F72" s="35">
        <f t="shared" si="5"/>
        <v>85.709940629816046</v>
      </c>
      <c r="G72" s="36" t="str">
        <f t="shared" si="6"/>
        <v>2022-04</v>
      </c>
    </row>
    <row r="73" spans="1:7" x14ac:dyDescent="0.25">
      <c r="A73" s="37">
        <v>44665</v>
      </c>
      <c r="B73" s="38">
        <v>54004.05153274539</v>
      </c>
      <c r="C73" s="39">
        <f t="shared" si="7"/>
        <v>-3.092839217411425E-2</v>
      </c>
      <c r="D73" s="38">
        <f>MAX($B$2:B73)</f>
        <v>65018.849296569817</v>
      </c>
      <c r="E73" s="40">
        <f t="shared" si="4"/>
        <v>-0.16940930027202949</v>
      </c>
      <c r="F73" s="41">
        <f t="shared" si="5"/>
        <v>83.059069972797047</v>
      </c>
      <c r="G73" s="42" t="str">
        <f t="shared" si="6"/>
        <v>2022-04</v>
      </c>
    </row>
    <row r="74" spans="1:7" x14ac:dyDescent="0.25">
      <c r="A74" s="31">
        <v>44669</v>
      </c>
      <c r="B74" s="32">
        <v>54428.292331695557</v>
      </c>
      <c r="C74" s="33">
        <f t="shared" si="7"/>
        <v>7.8557216895649429E-3</v>
      </c>
      <c r="D74" s="32">
        <f>MAX($B$2:B74)</f>
        <v>65018.849296569817</v>
      </c>
      <c r="E74" s="34">
        <f t="shared" si="4"/>
        <v>-0.16288441089702554</v>
      </c>
      <c r="F74" s="35">
        <f t="shared" si="5"/>
        <v>83.711558910297441</v>
      </c>
      <c r="G74" s="36" t="str">
        <f t="shared" si="6"/>
        <v>2022-04</v>
      </c>
    </row>
    <row r="75" spans="1:7" x14ac:dyDescent="0.25">
      <c r="A75" s="37">
        <v>44670</v>
      </c>
      <c r="B75" s="38">
        <v>55511.523132324248</v>
      </c>
      <c r="C75" s="39">
        <f t="shared" si="7"/>
        <v>1.9901980279434239E-2</v>
      </c>
      <c r="D75" s="38">
        <f>MAX($B$2:B75)</f>
        <v>65018.849296569817</v>
      </c>
      <c r="E75" s="40">
        <f t="shared" si="4"/>
        <v>-0.14622415295109115</v>
      </c>
      <c r="F75" s="41">
        <f t="shared" si="5"/>
        <v>85.377584704890879</v>
      </c>
      <c r="G75" s="42" t="str">
        <f t="shared" si="6"/>
        <v>2022-04</v>
      </c>
    </row>
    <row r="76" spans="1:7" x14ac:dyDescent="0.25">
      <c r="A76" s="31">
        <v>44671</v>
      </c>
      <c r="B76" s="32">
        <v>54478.498134613037</v>
      </c>
      <c r="C76" s="33">
        <f t="shared" si="7"/>
        <v>-1.8609199305318347E-2</v>
      </c>
      <c r="D76" s="32">
        <f>MAX($B$2:B76)</f>
        <v>65018.849296569817</v>
      </c>
      <c r="E76" s="34">
        <f t="shared" si="4"/>
        <v>-0.16211223785089124</v>
      </c>
      <c r="F76" s="35">
        <f t="shared" si="5"/>
        <v>83.788776214910882</v>
      </c>
      <c r="G76" s="36" t="str">
        <f t="shared" si="6"/>
        <v>2022-04</v>
      </c>
    </row>
    <row r="77" spans="1:7" x14ac:dyDescent="0.25">
      <c r="A77" s="37">
        <v>44672</v>
      </c>
      <c r="B77" s="38">
        <v>54162.383556365952</v>
      </c>
      <c r="C77" s="39">
        <f t="shared" si="7"/>
        <v>-5.8025567714070636E-3</v>
      </c>
      <c r="D77" s="38">
        <f>MAX($B$2:B77)</f>
        <v>65018.849296569817</v>
      </c>
      <c r="E77" s="40">
        <f t="shared" si="4"/>
        <v>-0.1669741291588287</v>
      </c>
      <c r="F77" s="41">
        <f t="shared" si="5"/>
        <v>83.302587084117135</v>
      </c>
      <c r="G77" s="42" t="str">
        <f t="shared" si="6"/>
        <v>2022-04</v>
      </c>
    </row>
    <row r="78" spans="1:7" x14ac:dyDescent="0.25">
      <c r="A78" s="31">
        <v>44673</v>
      </c>
      <c r="B78" s="32">
        <v>53066.125507354729</v>
      </c>
      <c r="C78" s="33">
        <f t="shared" si="7"/>
        <v>-2.0240210585827811E-2</v>
      </c>
      <c r="D78" s="32">
        <f>MAX($B$2:B78)</f>
        <v>65018.849296569817</v>
      </c>
      <c r="E78" s="34">
        <f t="shared" si="4"/>
        <v>-0.18383474820809653</v>
      </c>
      <c r="F78" s="35">
        <f t="shared" si="5"/>
        <v>81.616525179190347</v>
      </c>
      <c r="G78" s="36" t="str">
        <f t="shared" si="6"/>
        <v>2022-04</v>
      </c>
    </row>
    <row r="79" spans="1:7" x14ac:dyDescent="0.25">
      <c r="A79" s="37">
        <v>44676</v>
      </c>
      <c r="B79" s="38">
        <v>53540.27912139894</v>
      </c>
      <c r="C79" s="39">
        <f t="shared" si="7"/>
        <v>8.9351466592091366E-3</v>
      </c>
      <c r="D79" s="38">
        <f>MAX($B$2:B79)</f>
        <v>65018.849296569817</v>
      </c>
      <c r="E79" s="40">
        <f t="shared" si="4"/>
        <v>-0.17654219198518561</v>
      </c>
      <c r="F79" s="41">
        <f t="shared" si="5"/>
        <v>82.345780801481439</v>
      </c>
      <c r="G79" s="42" t="str">
        <f t="shared" si="6"/>
        <v>2022-04</v>
      </c>
    </row>
    <row r="80" spans="1:7" x14ac:dyDescent="0.25">
      <c r="A80" s="31">
        <v>44677</v>
      </c>
      <c r="B80" s="32">
        <v>50215.777511596723</v>
      </c>
      <c r="C80" s="33">
        <f t="shared" si="7"/>
        <v>-6.2093468027391796E-2</v>
      </c>
      <c r="D80" s="32">
        <f>MAX($B$2:B80)</f>
        <v>65018.849296569817</v>
      </c>
      <c r="E80" s="34">
        <f t="shared" si="4"/>
        <v>-0.22767354305905962</v>
      </c>
      <c r="F80" s="35">
        <f t="shared" si="5"/>
        <v>77.232645694094032</v>
      </c>
      <c r="G80" s="36" t="str">
        <f t="shared" si="6"/>
        <v>2022-04</v>
      </c>
    </row>
    <row r="81" spans="1:7" x14ac:dyDescent="0.25">
      <c r="A81" s="37">
        <v>44678</v>
      </c>
      <c r="B81" s="38">
        <v>50382.142047882102</v>
      </c>
      <c r="C81" s="39">
        <f t="shared" si="7"/>
        <v>3.3129933365456665E-3</v>
      </c>
      <c r="D81" s="38">
        <f>MAX($B$2:B81)</f>
        <v>65018.849296569817</v>
      </c>
      <c r="E81" s="40">
        <f t="shared" si="4"/>
        <v>-0.22511483065357629</v>
      </c>
      <c r="F81" s="41">
        <f t="shared" si="5"/>
        <v>77.488516934642377</v>
      </c>
      <c r="G81" s="42" t="str">
        <f t="shared" si="6"/>
        <v>2022-04</v>
      </c>
    </row>
    <row r="82" spans="1:7" x14ac:dyDescent="0.25">
      <c r="A82" s="31">
        <v>44679</v>
      </c>
      <c r="B82" s="32">
        <v>51839.041404724107</v>
      </c>
      <c r="C82" s="33">
        <f t="shared" si="7"/>
        <v>2.8916979263354792E-2</v>
      </c>
      <c r="D82" s="32">
        <f>MAX($B$2:B82)</f>
        <v>65018.849296569817</v>
      </c>
      <c r="E82" s="34">
        <f t="shared" si="4"/>
        <v>-0.20270749228010465</v>
      </c>
      <c r="F82" s="35">
        <f t="shared" si="5"/>
        <v>79.729250771989541</v>
      </c>
      <c r="G82" s="36" t="str">
        <f t="shared" si="6"/>
        <v>2022-04</v>
      </c>
    </row>
    <row r="83" spans="1:7" x14ac:dyDescent="0.25">
      <c r="A83" s="37">
        <v>44680</v>
      </c>
      <c r="B83" s="38">
        <v>49875.926246643059</v>
      </c>
      <c r="C83" s="39">
        <f t="shared" si="7"/>
        <v>-3.7869434018935166E-2</v>
      </c>
      <c r="D83" s="38">
        <f>MAX($B$2:B83)</f>
        <v>65018.849296569817</v>
      </c>
      <c r="E83" s="40">
        <f t="shared" si="4"/>
        <v>-0.23290050829499453</v>
      </c>
      <c r="F83" s="41">
        <f t="shared" si="5"/>
        <v>76.709949170500551</v>
      </c>
      <c r="G83" s="42" t="str">
        <f t="shared" si="6"/>
        <v>2022-04</v>
      </c>
    </row>
    <row r="84" spans="1:7" x14ac:dyDescent="0.25">
      <c r="A84" s="31">
        <v>44683</v>
      </c>
      <c r="B84" s="32">
        <v>50977.714500427217</v>
      </c>
      <c r="C84" s="33">
        <f t="shared" si="7"/>
        <v>2.209058230489136E-2</v>
      </c>
      <c r="D84" s="32">
        <f>MAX($B$2:B84)</f>
        <v>65018.849296569817</v>
      </c>
      <c r="E84" s="34">
        <f t="shared" si="4"/>
        <v>-0.21595483383744485</v>
      </c>
      <c r="F84" s="35">
        <f t="shared" si="5"/>
        <v>78.40451661625552</v>
      </c>
      <c r="G84" s="36" t="str">
        <f t="shared" si="6"/>
        <v>2022-05</v>
      </c>
    </row>
    <row r="85" spans="1:7" x14ac:dyDescent="0.25">
      <c r="A85" s="37">
        <v>44684</v>
      </c>
      <c r="B85" s="38">
        <v>51068.641548156709</v>
      </c>
      <c r="C85" s="39">
        <f t="shared" si="7"/>
        <v>1.7836626969365277E-3</v>
      </c>
      <c r="D85" s="38">
        <f>MAX($B$2:B85)</f>
        <v>65018.849296569817</v>
      </c>
      <c r="E85" s="40">
        <f t="shared" si="4"/>
        <v>-0.21455636172184722</v>
      </c>
      <c r="F85" s="41">
        <f t="shared" si="5"/>
        <v>78.544363827815275</v>
      </c>
      <c r="G85" s="42" t="str">
        <f t="shared" si="6"/>
        <v>2022-05</v>
      </c>
    </row>
    <row r="86" spans="1:7" x14ac:dyDescent="0.25">
      <c r="A86" s="31">
        <v>44685</v>
      </c>
      <c r="B86" s="32">
        <v>52955.230522155791</v>
      </c>
      <c r="C86" s="33">
        <f t="shared" si="7"/>
        <v>3.6942219663706366E-2</v>
      </c>
      <c r="D86" s="32">
        <f>MAX($B$2:B86)</f>
        <v>65018.849296569817</v>
      </c>
      <c r="E86" s="34">
        <f t="shared" si="4"/>
        <v>-0.18554033030311512</v>
      </c>
      <c r="F86" s="35">
        <f t="shared" si="5"/>
        <v>81.445966969688484</v>
      </c>
      <c r="G86" s="36" t="str">
        <f t="shared" si="6"/>
        <v>2022-05</v>
      </c>
    </row>
    <row r="87" spans="1:7" x14ac:dyDescent="0.25">
      <c r="A87" s="37">
        <v>44686</v>
      </c>
      <c r="B87" s="38">
        <v>49862.909221649177</v>
      </c>
      <c r="C87" s="39">
        <f t="shared" si="7"/>
        <v>-5.8395011597821789E-2</v>
      </c>
      <c r="D87" s="38">
        <f>MAX($B$2:B87)</f>
        <v>65018.849296569817</v>
      </c>
      <c r="E87" s="40">
        <f t="shared" si="4"/>
        <v>-0.23310071216102279</v>
      </c>
      <c r="F87" s="41">
        <f t="shared" si="5"/>
        <v>76.689928783897727</v>
      </c>
      <c r="G87" s="42" t="str">
        <f t="shared" si="6"/>
        <v>2022-05</v>
      </c>
    </row>
    <row r="88" spans="1:7" x14ac:dyDescent="0.25">
      <c r="A88" s="31">
        <v>44687</v>
      </c>
      <c r="B88" s="32">
        <v>49504.312705993689</v>
      </c>
      <c r="C88" s="33">
        <f t="shared" si="7"/>
        <v>-7.1916484868835839E-3</v>
      </c>
      <c r="D88" s="32">
        <f>MAX($B$2:B88)</f>
        <v>65018.849296569817</v>
      </c>
      <c r="E88" s="34">
        <f t="shared" si="4"/>
        <v>-0.23861598226400205</v>
      </c>
      <c r="F88" s="35">
        <f t="shared" si="5"/>
        <v>76.138401773599796</v>
      </c>
      <c r="G88" s="36" t="str">
        <f t="shared" si="6"/>
        <v>2022-05</v>
      </c>
    </row>
    <row r="89" spans="1:7" x14ac:dyDescent="0.25">
      <c r="A89" s="37">
        <v>44690</v>
      </c>
      <c r="B89" s="38">
        <v>46882.744674682668</v>
      </c>
      <c r="C89" s="39">
        <f t="shared" si="7"/>
        <v>-5.2956356487171563E-2</v>
      </c>
      <c r="D89" s="38">
        <f>MAX($B$2:B89)</f>
        <v>65018.849296569817</v>
      </c>
      <c r="E89" s="40">
        <f t="shared" si="4"/>
        <v>-0.27893610573086458</v>
      </c>
      <c r="F89" s="41">
        <f t="shared" si="5"/>
        <v>72.106389426913537</v>
      </c>
      <c r="G89" s="42" t="str">
        <f t="shared" si="6"/>
        <v>2022-05</v>
      </c>
    </row>
    <row r="90" spans="1:7" x14ac:dyDescent="0.25">
      <c r="A90" s="31">
        <v>44691</v>
      </c>
      <c r="B90" s="32">
        <v>47608.435783386267</v>
      </c>
      <c r="C90" s="33">
        <f t="shared" si="7"/>
        <v>1.5478852907165219E-2</v>
      </c>
      <c r="D90" s="32">
        <f>MAX($B$2:B90)</f>
        <v>65018.849296569817</v>
      </c>
      <c r="E90" s="34">
        <f t="shared" si="4"/>
        <v>-0.26777486377480486</v>
      </c>
      <c r="F90" s="35">
        <f t="shared" si="5"/>
        <v>73.222513622519514</v>
      </c>
      <c r="G90" s="36" t="str">
        <f t="shared" si="6"/>
        <v>2022-05</v>
      </c>
    </row>
    <row r="91" spans="1:7" x14ac:dyDescent="0.25">
      <c r="A91" s="37">
        <v>44692</v>
      </c>
      <c r="B91" s="38">
        <v>45404.098968505852</v>
      </c>
      <c r="C91" s="39">
        <f t="shared" si="7"/>
        <v>-4.6301391310353712E-2</v>
      </c>
      <c r="D91" s="38">
        <f>MAX($B$2:B91)</f>
        <v>65018.849296569817</v>
      </c>
      <c r="E91" s="40">
        <f t="shared" si="4"/>
        <v>-0.30167790633444469</v>
      </c>
      <c r="F91" s="41">
        <f t="shared" si="5"/>
        <v>69.832209366555531</v>
      </c>
      <c r="G91" s="42" t="str">
        <f t="shared" si="6"/>
        <v>2022-05</v>
      </c>
    </row>
    <row r="92" spans="1:7" x14ac:dyDescent="0.25">
      <c r="A92" s="31">
        <v>44693</v>
      </c>
      <c r="B92" s="32">
        <v>44934.31083679205</v>
      </c>
      <c r="C92" s="33">
        <f t="shared" si="7"/>
        <v>-1.0346822035597891E-2</v>
      </c>
      <c r="D92" s="32">
        <f>MAX($B$2:B92)</f>
        <v>65018.849296569817</v>
      </c>
      <c r="E92" s="34">
        <f t="shared" si="4"/>
        <v>-0.30890332076112825</v>
      </c>
      <c r="F92" s="35">
        <f t="shared" si="5"/>
        <v>69.109667923887173</v>
      </c>
      <c r="G92" s="36" t="str">
        <f t="shared" si="6"/>
        <v>2022-05</v>
      </c>
    </row>
    <row r="93" spans="1:7" x14ac:dyDescent="0.25">
      <c r="A93" s="37">
        <v>44694</v>
      </c>
      <c r="B93" s="38">
        <v>46923.101787567182</v>
      </c>
      <c r="C93" s="39">
        <f t="shared" si="7"/>
        <v>4.425996334958171E-2</v>
      </c>
      <c r="D93" s="38">
        <f>MAX($B$2:B93)</f>
        <v>65018.849296569817</v>
      </c>
      <c r="E93" s="40">
        <f t="shared" si="4"/>
        <v>-0.2783154070669982</v>
      </c>
      <c r="F93" s="41">
        <f t="shared" si="5"/>
        <v>72.168459293300174</v>
      </c>
      <c r="G93" s="42" t="str">
        <f t="shared" si="6"/>
        <v>2022-05</v>
      </c>
    </row>
    <row r="94" spans="1:7" x14ac:dyDescent="0.25">
      <c r="A94" s="31">
        <v>44697</v>
      </c>
      <c r="B94" s="32">
        <v>45890.625648498579</v>
      </c>
      <c r="C94" s="33">
        <f t="shared" si="7"/>
        <v>-2.200357818932952E-2</v>
      </c>
      <c r="D94" s="32">
        <f>MAX($B$2:B94)</f>
        <v>65018.849296569817</v>
      </c>
      <c r="E94" s="34">
        <f t="shared" si="4"/>
        <v>-0.29419505043563388</v>
      </c>
      <c r="F94" s="35">
        <f t="shared" si="5"/>
        <v>70.58049495643661</v>
      </c>
      <c r="G94" s="36" t="str">
        <f t="shared" si="6"/>
        <v>2022-05</v>
      </c>
    </row>
    <row r="95" spans="1:7" x14ac:dyDescent="0.25">
      <c r="A95" s="37">
        <v>44698</v>
      </c>
      <c r="B95" s="38">
        <v>47427.386894226081</v>
      </c>
      <c r="C95" s="39">
        <f t="shared" si="7"/>
        <v>3.3487476451038223E-2</v>
      </c>
      <c r="D95" s="38">
        <f>MAX($B$2:B95)</f>
        <v>65018.849296569817</v>
      </c>
      <c r="E95" s="40">
        <f t="shared" si="4"/>
        <v>-0.27055942380807108</v>
      </c>
      <c r="F95" s="41">
        <f t="shared" si="5"/>
        <v>72.94405761919289</v>
      </c>
      <c r="G95" s="42" t="str">
        <f t="shared" si="6"/>
        <v>2022-05</v>
      </c>
    </row>
    <row r="96" spans="1:7" x14ac:dyDescent="0.25">
      <c r="A96" s="31">
        <v>44699</v>
      </c>
      <c r="B96" s="32">
        <v>44913.931407928452</v>
      </c>
      <c r="C96" s="33">
        <f t="shared" si="7"/>
        <v>-5.2995866964022476E-2</v>
      </c>
      <c r="D96" s="32">
        <f>MAX($B$2:B96)</f>
        <v>65018.849296569817</v>
      </c>
      <c r="E96" s="34">
        <f t="shared" si="4"/>
        <v>-0.30921675954209848</v>
      </c>
      <c r="F96" s="35">
        <f t="shared" si="5"/>
        <v>69.078324045790154</v>
      </c>
      <c r="G96" s="36" t="str">
        <f t="shared" si="6"/>
        <v>2022-05</v>
      </c>
    </row>
    <row r="97" spans="1:7" x14ac:dyDescent="0.25">
      <c r="A97" s="37">
        <v>44700</v>
      </c>
      <c r="B97" s="38">
        <v>44587.838840484677</v>
      </c>
      <c r="C97" s="39">
        <f t="shared" si="7"/>
        <v>-7.2603879736569121E-3</v>
      </c>
      <c r="D97" s="38">
        <f>MAX($B$2:B97)</f>
        <v>65018.849296569817</v>
      </c>
      <c r="E97" s="40">
        <f t="shared" si="4"/>
        <v>-0.31423211387352268</v>
      </c>
      <c r="F97" s="41">
        <f t="shared" si="5"/>
        <v>68.576788612647732</v>
      </c>
      <c r="G97" s="42" t="str">
        <f t="shared" si="6"/>
        <v>2022-05</v>
      </c>
    </row>
    <row r="98" spans="1:7" x14ac:dyDescent="0.25">
      <c r="A98" s="31">
        <v>44701</v>
      </c>
      <c r="B98" s="32">
        <v>43831.519603729263</v>
      </c>
      <c r="C98" s="33">
        <f t="shared" si="7"/>
        <v>-1.6962455602775095E-2</v>
      </c>
      <c r="D98" s="32">
        <f>MAX($B$2:B98)</f>
        <v>65018.849296569817</v>
      </c>
      <c r="E98" s="34">
        <f t="shared" si="4"/>
        <v>-0.3258644211957521</v>
      </c>
      <c r="F98" s="35">
        <f t="shared" si="5"/>
        <v>67.41355788042479</v>
      </c>
      <c r="G98" s="36" t="str">
        <f t="shared" si="6"/>
        <v>2022-05</v>
      </c>
    </row>
    <row r="99" spans="1:7" x14ac:dyDescent="0.25">
      <c r="A99" s="37">
        <v>44704</v>
      </c>
      <c r="B99" s="38">
        <v>44795.356063842737</v>
      </c>
      <c r="C99" s="39">
        <f t="shared" si="7"/>
        <v>2.1989574370847809E-2</v>
      </c>
      <c r="D99" s="38">
        <f>MAX($B$2:B99)</f>
        <v>65018.849296569817</v>
      </c>
      <c r="E99" s="40">
        <f t="shared" si="4"/>
        <v>-0.31104046674960162</v>
      </c>
      <c r="F99" s="41">
        <f t="shared" si="5"/>
        <v>68.895953325039841</v>
      </c>
      <c r="G99" s="42" t="str">
        <f t="shared" si="6"/>
        <v>2022-05</v>
      </c>
    </row>
    <row r="100" spans="1:7" x14ac:dyDescent="0.25">
      <c r="A100" s="31">
        <v>44705</v>
      </c>
      <c r="B100" s="32">
        <v>43225.304927825971</v>
      </c>
      <c r="C100" s="33">
        <f t="shared" si="7"/>
        <v>-3.5049417483792644E-2</v>
      </c>
      <c r="D100" s="32">
        <f>MAX($B$2:B100)</f>
        <v>65018.849296569817</v>
      </c>
      <c r="E100" s="34">
        <f t="shared" si="4"/>
        <v>-0.33518809705993369</v>
      </c>
      <c r="F100" s="35">
        <f t="shared" si="5"/>
        <v>66.481190294006637</v>
      </c>
      <c r="G100" s="36" t="str">
        <f t="shared" si="6"/>
        <v>2022-05</v>
      </c>
    </row>
    <row r="101" spans="1:7" x14ac:dyDescent="0.25">
      <c r="A101" s="37">
        <v>44706</v>
      </c>
      <c r="B101" s="38">
        <v>44067.364768981948</v>
      </c>
      <c r="C101" s="39">
        <f t="shared" si="7"/>
        <v>1.9480714885921069E-2</v>
      </c>
      <c r="D101" s="38">
        <f>MAX($B$2:B101)</f>
        <v>65018.849296569817</v>
      </c>
      <c r="E101" s="40">
        <f t="shared" si="4"/>
        <v>-0.32223708592599165</v>
      </c>
      <c r="F101" s="41">
        <f t="shared" si="5"/>
        <v>67.776291407400834</v>
      </c>
      <c r="G101" s="42" t="str">
        <f t="shared" si="6"/>
        <v>2022-05</v>
      </c>
    </row>
    <row r="102" spans="1:7" x14ac:dyDescent="0.25">
      <c r="A102" s="31">
        <v>44707</v>
      </c>
      <c r="B102" s="32">
        <v>45506.783695220904</v>
      </c>
      <c r="C102" s="33">
        <f t="shared" si="7"/>
        <v>3.2664057262896007E-2</v>
      </c>
      <c r="D102" s="32">
        <f>MAX($B$2:B102)</f>
        <v>65018.849296569817</v>
      </c>
      <c r="E102" s="34">
        <f t="shared" si="4"/>
        <v>-0.30009859929001093</v>
      </c>
      <c r="F102" s="35">
        <f t="shared" si="5"/>
        <v>69.990140070998905</v>
      </c>
      <c r="G102" s="36" t="str">
        <f t="shared" si="6"/>
        <v>2022-05</v>
      </c>
    </row>
    <row r="103" spans="1:7" x14ac:dyDescent="0.25">
      <c r="A103" s="37">
        <v>44708</v>
      </c>
      <c r="B103" s="38">
        <v>47577.707462310769</v>
      </c>
      <c r="C103" s="39">
        <f t="shared" si="7"/>
        <v>4.5508023176495271E-2</v>
      </c>
      <c r="D103" s="38">
        <f>MAX($B$2:B103)</f>
        <v>65018.849296569817</v>
      </c>
      <c r="E103" s="40">
        <f t="shared" si="4"/>
        <v>-0.26824747012523931</v>
      </c>
      <c r="F103" s="41">
        <f t="shared" si="5"/>
        <v>73.175252987476071</v>
      </c>
      <c r="G103" s="42" t="str">
        <f t="shared" si="6"/>
        <v>2022-05</v>
      </c>
    </row>
    <row r="104" spans="1:7" x14ac:dyDescent="0.25">
      <c r="A104" s="31">
        <v>44712</v>
      </c>
      <c r="B104" s="32">
        <v>47725.540142059333</v>
      </c>
      <c r="C104" s="33">
        <f t="shared" si="7"/>
        <v>3.1071837554526027E-3</v>
      </c>
      <c r="D104" s="32">
        <f>MAX($B$2:B104)</f>
        <v>65018.849296569817</v>
      </c>
      <c r="E104" s="34">
        <f t="shared" si="4"/>
        <v>-0.2659737805514012</v>
      </c>
      <c r="F104" s="35">
        <f t="shared" si="5"/>
        <v>73.402621944859874</v>
      </c>
      <c r="G104" s="36" t="str">
        <f t="shared" si="6"/>
        <v>2022-05</v>
      </c>
    </row>
    <row r="105" spans="1:7" x14ac:dyDescent="0.25">
      <c r="A105" s="37">
        <v>44713</v>
      </c>
      <c r="B105" s="38">
        <v>47407.219104766853</v>
      </c>
      <c r="C105" s="39">
        <f t="shared" si="7"/>
        <v>-6.669825765092896E-3</v>
      </c>
      <c r="D105" s="38">
        <f>MAX($B$2:B105)</f>
        <v>65018.849296569817</v>
      </c>
      <c r="E105" s="40">
        <f t="shared" si="4"/>
        <v>-0.27086960754213307</v>
      </c>
      <c r="F105" s="41">
        <f t="shared" si="5"/>
        <v>72.913039245786692</v>
      </c>
      <c r="G105" s="42" t="str">
        <f t="shared" si="6"/>
        <v>2022-06</v>
      </c>
    </row>
    <row r="106" spans="1:7" x14ac:dyDescent="0.25">
      <c r="A106" s="31">
        <v>44714</v>
      </c>
      <c r="B106" s="32">
        <v>48644.295501708999</v>
      </c>
      <c r="C106" s="33">
        <f t="shared" si="7"/>
        <v>2.6094683896313198E-2</v>
      </c>
      <c r="D106" s="32">
        <f>MAX($B$2:B106)</f>
        <v>65018.849296569817</v>
      </c>
      <c r="E106" s="34">
        <f t="shared" si="4"/>
        <v>-0.25184318043175036</v>
      </c>
      <c r="F106" s="35">
        <f t="shared" si="5"/>
        <v>74.81568195682496</v>
      </c>
      <c r="G106" s="36" t="str">
        <f t="shared" si="6"/>
        <v>2022-06</v>
      </c>
    </row>
    <row r="107" spans="1:7" x14ac:dyDescent="0.25">
      <c r="A107" s="37">
        <v>44715</v>
      </c>
      <c r="B107" s="38">
        <v>46420.892982482867</v>
      </c>
      <c r="C107" s="39">
        <f t="shared" si="7"/>
        <v>-4.5707363963119141E-2</v>
      </c>
      <c r="D107" s="38">
        <f>MAX($B$2:B107)</f>
        <v>65018.849296569817</v>
      </c>
      <c r="E107" s="40">
        <f t="shared" si="4"/>
        <v>-0.28603945648524598</v>
      </c>
      <c r="F107" s="41">
        <f t="shared" si="5"/>
        <v>71.396054351475399</v>
      </c>
      <c r="G107" s="42" t="str">
        <f t="shared" si="6"/>
        <v>2022-06</v>
      </c>
    </row>
    <row r="108" spans="1:7" x14ac:dyDescent="0.25">
      <c r="A108" s="31">
        <v>44718</v>
      </c>
      <c r="B108" s="32">
        <v>46722.641811370879</v>
      </c>
      <c r="C108" s="33">
        <f t="shared" si="7"/>
        <v>6.5002805741345426E-3</v>
      </c>
      <c r="D108" s="32">
        <f>MAX($B$2:B108)</f>
        <v>65018.849296569817</v>
      </c>
      <c r="E108" s="34">
        <f t="shared" si="4"/>
        <v>-0.28139851263353854</v>
      </c>
      <c r="F108" s="35">
        <f t="shared" si="5"/>
        <v>71.860148736646153</v>
      </c>
      <c r="G108" s="36" t="str">
        <f t="shared" si="6"/>
        <v>2022-06</v>
      </c>
    </row>
    <row r="109" spans="1:7" x14ac:dyDescent="0.25">
      <c r="A109" s="37">
        <v>44719</v>
      </c>
      <c r="B109" s="38">
        <v>47029.365444183357</v>
      </c>
      <c r="C109" s="39">
        <f t="shared" si="7"/>
        <v>6.5647750409916217E-3</v>
      </c>
      <c r="D109" s="38">
        <f>MAX($B$2:B109)</f>
        <v>65018.849296569817</v>
      </c>
      <c r="E109" s="40">
        <f t="shared" si="4"/>
        <v>-0.27668105552485578</v>
      </c>
      <c r="F109" s="41">
        <f t="shared" si="5"/>
        <v>72.331894447514429</v>
      </c>
      <c r="G109" s="42" t="str">
        <f t="shared" si="6"/>
        <v>2022-06</v>
      </c>
    </row>
    <row r="110" spans="1:7" x14ac:dyDescent="0.25">
      <c r="A110" s="31">
        <v>44720</v>
      </c>
      <c r="B110" s="32">
        <v>46840.955505371137</v>
      </c>
      <c r="C110" s="33">
        <f t="shared" si="7"/>
        <v>-4.0062190300192979E-3</v>
      </c>
      <c r="D110" s="32">
        <f>MAX($B$2:B110)</f>
        <v>65018.849296569817</v>
      </c>
      <c r="E110" s="34">
        <f t="shared" si="4"/>
        <v>-0.27957882964498548</v>
      </c>
      <c r="F110" s="35">
        <f t="shared" si="5"/>
        <v>72.042117035501448</v>
      </c>
      <c r="G110" s="36" t="str">
        <f t="shared" si="6"/>
        <v>2022-06</v>
      </c>
    </row>
    <row r="111" spans="1:7" x14ac:dyDescent="0.25">
      <c r="A111" s="37">
        <v>44721</v>
      </c>
      <c r="B111" s="38">
        <v>45687.086925506643</v>
      </c>
      <c r="C111" s="39">
        <f t="shared" si="7"/>
        <v>-2.4633754102906469E-2</v>
      </c>
      <c r="D111" s="38">
        <f>MAX($B$2:B111)</f>
        <v>65018.849296569817</v>
      </c>
      <c r="E111" s="40">
        <f t="shared" si="4"/>
        <v>-0.29732550760603904</v>
      </c>
      <c r="F111" s="41">
        <f t="shared" si="5"/>
        <v>70.2674492393961</v>
      </c>
      <c r="G111" s="42" t="str">
        <f t="shared" si="6"/>
        <v>2022-06</v>
      </c>
    </row>
    <row r="112" spans="1:7" x14ac:dyDescent="0.25">
      <c r="A112" s="31">
        <v>44722</v>
      </c>
      <c r="B112" s="32">
        <v>43931.644268035889</v>
      </c>
      <c r="C112" s="33">
        <f t="shared" si="7"/>
        <v>-3.8423168899628601E-2</v>
      </c>
      <c r="D112" s="32">
        <f>MAX($B$2:B112)</f>
        <v>65018.849296569817</v>
      </c>
      <c r="E112" s="34">
        <f t="shared" si="4"/>
        <v>-0.32432448830875293</v>
      </c>
      <c r="F112" s="35">
        <f t="shared" si="5"/>
        <v>67.567551169124712</v>
      </c>
      <c r="G112" s="36" t="str">
        <f t="shared" si="6"/>
        <v>2022-06</v>
      </c>
    </row>
    <row r="113" spans="1:7" x14ac:dyDescent="0.25">
      <c r="A113" s="37">
        <v>44725</v>
      </c>
      <c r="B113" s="38">
        <v>41699.162340164148</v>
      </c>
      <c r="C113" s="39">
        <f t="shared" si="7"/>
        <v>-5.0817172110629749E-2</v>
      </c>
      <c r="D113" s="38">
        <f>MAX($B$2:B113)</f>
        <v>65018.849296569817</v>
      </c>
      <c r="E113" s="40">
        <f t="shared" si="4"/>
        <v>-0.35866040707730484</v>
      </c>
      <c r="F113" s="41">
        <f t="shared" si="5"/>
        <v>64.133959292269509</v>
      </c>
      <c r="G113" s="42" t="str">
        <f t="shared" si="6"/>
        <v>2022-06</v>
      </c>
    </row>
    <row r="114" spans="1:7" x14ac:dyDescent="0.25">
      <c r="A114" s="31">
        <v>44726</v>
      </c>
      <c r="B114" s="32">
        <v>42127.715635299697</v>
      </c>
      <c r="C114" s="33">
        <f t="shared" si="7"/>
        <v>1.027726388457384E-2</v>
      </c>
      <c r="D114" s="32">
        <f>MAX($B$2:B114)</f>
        <v>65018.849296569817</v>
      </c>
      <c r="E114" s="34">
        <f t="shared" si="4"/>
        <v>-0.35206919084121324</v>
      </c>
      <c r="F114" s="35">
        <f t="shared" si="5"/>
        <v>64.793080915878676</v>
      </c>
      <c r="G114" s="36" t="str">
        <f t="shared" si="6"/>
        <v>2022-06</v>
      </c>
    </row>
    <row r="115" spans="1:7" x14ac:dyDescent="0.25">
      <c r="A115" s="37">
        <v>44727</v>
      </c>
      <c r="B115" s="38">
        <v>43513.795299530037</v>
      </c>
      <c r="C115" s="39">
        <f t="shared" si="7"/>
        <v>3.290184723590639E-2</v>
      </c>
      <c r="D115" s="38">
        <f>MAX($B$2:B115)</f>
        <v>65018.849296569817</v>
      </c>
      <c r="E115" s="40">
        <f t="shared" si="4"/>
        <v>-0.33075107033883355</v>
      </c>
      <c r="F115" s="41">
        <f t="shared" si="5"/>
        <v>66.924892966116644</v>
      </c>
      <c r="G115" s="42" t="str">
        <f t="shared" si="6"/>
        <v>2022-06</v>
      </c>
    </row>
    <row r="116" spans="1:7" x14ac:dyDescent="0.25">
      <c r="A116" s="31">
        <v>44728</v>
      </c>
      <c r="B116" s="32">
        <v>41356.067657470747</v>
      </c>
      <c r="C116" s="33">
        <f t="shared" si="7"/>
        <v>-4.9587208544012995E-2</v>
      </c>
      <c r="D116" s="32">
        <f>MAX($B$2:B116)</f>
        <v>65018.849296569817</v>
      </c>
      <c r="E116" s="34">
        <f t="shared" si="4"/>
        <v>-0.36393725658179932</v>
      </c>
      <c r="F116" s="35">
        <f t="shared" si="5"/>
        <v>63.606274341820068</v>
      </c>
      <c r="G116" s="36" t="str">
        <f t="shared" si="6"/>
        <v>2022-06</v>
      </c>
    </row>
    <row r="117" spans="1:7" x14ac:dyDescent="0.25">
      <c r="A117" s="37">
        <v>44729</v>
      </c>
      <c r="B117" s="38">
        <v>41919.704895019531</v>
      </c>
      <c r="C117" s="39">
        <f t="shared" si="7"/>
        <v>1.3628888563996799E-2</v>
      </c>
      <c r="D117" s="38">
        <f>MAX($B$2:B117)</f>
        <v>65018.849296569817</v>
      </c>
      <c r="E117" s="40">
        <f t="shared" si="4"/>
        <v>-0.35526842833204253</v>
      </c>
      <c r="F117" s="41">
        <f t="shared" si="5"/>
        <v>64.473157166795744</v>
      </c>
      <c r="G117" s="42" t="str">
        <f t="shared" si="6"/>
        <v>2022-06</v>
      </c>
    </row>
    <row r="118" spans="1:7" x14ac:dyDescent="0.25">
      <c r="A118" s="31">
        <v>44733</v>
      </c>
      <c r="B118" s="32">
        <v>43752.632980346709</v>
      </c>
      <c r="C118" s="33">
        <f t="shared" si="7"/>
        <v>4.3724737326215068E-2</v>
      </c>
      <c r="D118" s="32">
        <f>MAX($B$2:B118)</f>
        <v>65018.849296569817</v>
      </c>
      <c r="E118" s="34">
        <f t="shared" si="4"/>
        <v>-0.32707770971494332</v>
      </c>
      <c r="F118" s="35">
        <f t="shared" si="5"/>
        <v>67.292229028505673</v>
      </c>
      <c r="G118" s="36" t="str">
        <f t="shared" si="6"/>
        <v>2022-06</v>
      </c>
    </row>
    <row r="119" spans="1:7" x14ac:dyDescent="0.25">
      <c r="A119" s="37">
        <v>44734</v>
      </c>
      <c r="B119" s="38">
        <v>43523.407745361343</v>
      </c>
      <c r="C119" s="39">
        <f t="shared" si="7"/>
        <v>-5.2391186397474643E-3</v>
      </c>
      <c r="D119" s="38">
        <f>MAX($B$2:B119)</f>
        <v>65018.849296569817</v>
      </c>
      <c r="E119" s="40">
        <f t="shared" si="4"/>
        <v>-0.33060322942907738</v>
      </c>
      <c r="F119" s="41">
        <f t="shared" si="5"/>
        <v>66.939677057092268</v>
      </c>
      <c r="G119" s="42" t="str">
        <f t="shared" si="6"/>
        <v>2022-06</v>
      </c>
    </row>
    <row r="120" spans="1:7" x14ac:dyDescent="0.25">
      <c r="A120" s="31">
        <v>44735</v>
      </c>
      <c r="B120" s="32">
        <v>43989.020347595222</v>
      </c>
      <c r="C120" s="33">
        <f t="shared" si="7"/>
        <v>1.0697981301418302E-2</v>
      </c>
      <c r="D120" s="32">
        <f>MAX($B$2:B120)</f>
        <v>65018.849296569817</v>
      </c>
      <c r="E120" s="34">
        <f t="shared" si="4"/>
        <v>-0.32344203529427984</v>
      </c>
      <c r="F120" s="35">
        <f t="shared" si="5"/>
        <v>67.655796470572014</v>
      </c>
      <c r="G120" s="36" t="str">
        <f t="shared" si="6"/>
        <v>2022-06</v>
      </c>
    </row>
    <row r="121" spans="1:7" x14ac:dyDescent="0.25">
      <c r="A121" s="37">
        <v>44736</v>
      </c>
      <c r="B121" s="38">
        <v>45555.08213043218</v>
      </c>
      <c r="C121" s="39">
        <f t="shared" si="7"/>
        <v>3.5601197081957192E-2</v>
      </c>
      <c r="D121" s="38">
        <f>MAX($B$2:B121)</f>
        <v>65018.849296569817</v>
      </c>
      <c r="E121" s="40">
        <f t="shared" si="4"/>
        <v>-0.29935576185542367</v>
      </c>
      <c r="F121" s="41">
        <f t="shared" si="5"/>
        <v>70.064423814457626</v>
      </c>
      <c r="G121" s="42" t="str">
        <f t="shared" si="6"/>
        <v>2022-06</v>
      </c>
    </row>
    <row r="122" spans="1:7" x14ac:dyDescent="0.25">
      <c r="A122" s="31">
        <v>44739</v>
      </c>
      <c r="B122" s="32">
        <v>45326.443939208948</v>
      </c>
      <c r="C122" s="33">
        <f t="shared" si="7"/>
        <v>-5.0189392825283896E-3</v>
      </c>
      <c r="D122" s="32">
        <f>MAX($B$2:B122)</f>
        <v>65018.849296569817</v>
      </c>
      <c r="E122" s="34">
        <f t="shared" si="4"/>
        <v>-0.3028722527453247</v>
      </c>
      <c r="F122" s="35">
        <f t="shared" si="5"/>
        <v>69.712774725467526</v>
      </c>
      <c r="G122" s="36" t="str">
        <f t="shared" si="6"/>
        <v>2022-06</v>
      </c>
    </row>
    <row r="123" spans="1:7" x14ac:dyDescent="0.25">
      <c r="A123" s="37">
        <v>44740</v>
      </c>
      <c r="B123" s="38">
        <v>43714.726228713967</v>
      </c>
      <c r="C123" s="39">
        <f t="shared" si="7"/>
        <v>-3.5558000372951981E-2</v>
      </c>
      <c r="D123" s="38">
        <f>MAX($B$2:B123)</f>
        <v>65018.849296569817</v>
      </c>
      <c r="E123" s="40">
        <f t="shared" si="4"/>
        <v>-0.3276607214422016</v>
      </c>
      <c r="F123" s="41">
        <f t="shared" si="5"/>
        <v>67.233927855779839</v>
      </c>
      <c r="G123" s="42" t="str">
        <f t="shared" si="6"/>
        <v>2022-06</v>
      </c>
    </row>
    <row r="124" spans="1:7" x14ac:dyDescent="0.25">
      <c r="A124" s="31">
        <v>44741</v>
      </c>
      <c r="B124" s="32">
        <v>43652.260026931697</v>
      </c>
      <c r="C124" s="33">
        <f t="shared" si="7"/>
        <v>-1.4289510005266459E-3</v>
      </c>
      <c r="D124" s="32">
        <f>MAX($B$2:B124)</f>
        <v>65018.849296569817</v>
      </c>
      <c r="E124" s="34">
        <f t="shared" si="4"/>
        <v>-0.32862146132699022</v>
      </c>
      <c r="F124" s="35">
        <f t="shared" si="5"/>
        <v>67.137853867300976</v>
      </c>
      <c r="G124" s="36" t="str">
        <f t="shared" si="6"/>
        <v>2022-06</v>
      </c>
    </row>
    <row r="125" spans="1:7" x14ac:dyDescent="0.25">
      <c r="A125" s="37">
        <v>44742</v>
      </c>
      <c r="B125" s="38">
        <v>42848.642206192053</v>
      </c>
      <c r="C125" s="39">
        <f t="shared" si="7"/>
        <v>-1.8409535273634092E-2</v>
      </c>
      <c r="D125" s="38">
        <f>MAX($B$2:B125)</f>
        <v>65018.849296569817</v>
      </c>
      <c r="E125" s="40">
        <f t="shared" si="4"/>
        <v>-0.34098122821665178</v>
      </c>
      <c r="F125" s="41">
        <f t="shared" si="5"/>
        <v>65.901877178334828</v>
      </c>
      <c r="G125" s="42" t="str">
        <f t="shared" si="6"/>
        <v>2022-06</v>
      </c>
    </row>
    <row r="126" spans="1:7" x14ac:dyDescent="0.25">
      <c r="A126" s="31">
        <v>44743</v>
      </c>
      <c r="B126" s="32">
        <v>42959.278392791814</v>
      </c>
      <c r="C126" s="33">
        <f t="shared" si="7"/>
        <v>2.582023161139313E-3</v>
      </c>
      <c r="D126" s="32">
        <f>MAX($B$2:B126)</f>
        <v>65018.849296569817</v>
      </c>
      <c r="E126" s="34">
        <f t="shared" si="4"/>
        <v>-0.33927962648428156</v>
      </c>
      <c r="F126" s="35">
        <f t="shared" si="5"/>
        <v>66.072037351571851</v>
      </c>
      <c r="G126" s="36" t="str">
        <f t="shared" si="6"/>
        <v>2022-07</v>
      </c>
    </row>
    <row r="127" spans="1:7" x14ac:dyDescent="0.25">
      <c r="A127" s="37">
        <v>44747</v>
      </c>
      <c r="B127" s="38">
        <v>43891.128368377671</v>
      </c>
      <c r="C127" s="39">
        <f t="shared" si="7"/>
        <v>2.1691471794885064E-2</v>
      </c>
      <c r="D127" s="38">
        <f>MAX($B$2:B127)</f>
        <v>65018.849296569817</v>
      </c>
      <c r="E127" s="40">
        <f t="shared" si="4"/>
        <v>-0.32494762913785946</v>
      </c>
      <c r="F127" s="41">
        <f t="shared" si="5"/>
        <v>67.505237086214052</v>
      </c>
      <c r="G127" s="42" t="str">
        <f t="shared" si="6"/>
        <v>2022-07</v>
      </c>
    </row>
    <row r="128" spans="1:7" x14ac:dyDescent="0.25">
      <c r="A128" s="31">
        <v>44748</v>
      </c>
      <c r="B128" s="32">
        <v>44134.810619354233</v>
      </c>
      <c r="C128" s="33">
        <f t="shared" si="7"/>
        <v>5.551970524233063E-3</v>
      </c>
      <c r="D128" s="32">
        <f>MAX($B$2:B128)</f>
        <v>65018.849296569817</v>
      </c>
      <c r="E128" s="34">
        <f t="shared" si="4"/>
        <v>-0.32119975827251923</v>
      </c>
      <c r="F128" s="35">
        <f t="shared" si="5"/>
        <v>67.88002417274808</v>
      </c>
      <c r="G128" s="36" t="str">
        <f t="shared" si="6"/>
        <v>2022-07</v>
      </c>
    </row>
    <row r="129" spans="1:7" x14ac:dyDescent="0.25">
      <c r="A129" s="37">
        <v>44749</v>
      </c>
      <c r="B129" s="38">
        <v>45592.136440277143</v>
      </c>
      <c r="C129" s="39">
        <f t="shared" si="7"/>
        <v>3.3019872533084804E-2</v>
      </c>
      <c r="D129" s="38">
        <f>MAX($B$2:B129)</f>
        <v>65018.849296569817</v>
      </c>
      <c r="E129" s="40">
        <f t="shared" si="4"/>
        <v>-0.29878586081525071</v>
      </c>
      <c r="F129" s="41">
        <f t="shared" si="5"/>
        <v>70.121413918474929</v>
      </c>
      <c r="G129" s="42" t="str">
        <f t="shared" si="6"/>
        <v>2022-07</v>
      </c>
    </row>
    <row r="130" spans="1:7" x14ac:dyDescent="0.25">
      <c r="A130" s="31">
        <v>44750</v>
      </c>
      <c r="B130" s="32">
        <v>45937.774438858069</v>
      </c>
      <c r="C130" s="33">
        <f t="shared" si="7"/>
        <v>7.5810880026139227E-3</v>
      </c>
      <c r="D130" s="32">
        <f>MAX($B$2:B130)</f>
        <v>65018.849296569817</v>
      </c>
      <c r="E130" s="34">
        <f t="shared" ref="E130:E193" si="8">B130/D130-1</f>
        <v>-0.29346989471741391</v>
      </c>
      <c r="F130" s="35">
        <f t="shared" ref="F130:F193" si="9">B130/$B$2*100</f>
        <v>70.653010528258605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44444.947576522798</v>
      </c>
      <c r="C131" s="39">
        <f t="shared" ref="C131:C194" si="11">B131/B130-1</f>
        <v>-3.2496717147718623E-2</v>
      </c>
      <c r="D131" s="38">
        <f>MAX($B$2:B131)</f>
        <v>65018.849296569817</v>
      </c>
      <c r="E131" s="40">
        <f t="shared" si="8"/>
        <v>-0.31642980370513007</v>
      </c>
      <c r="F131" s="41">
        <f t="shared" si="9"/>
        <v>68.357019629486999</v>
      </c>
      <c r="G131" s="42" t="str">
        <f t="shared" si="10"/>
        <v>2022-07</v>
      </c>
    </row>
    <row r="132" spans="1:7" x14ac:dyDescent="0.25">
      <c r="A132" s="31">
        <v>44754</v>
      </c>
      <c r="B132" s="32">
        <v>43947.556066513083</v>
      </c>
      <c r="C132" s="33">
        <f t="shared" si="11"/>
        <v>-1.1191182285755552E-2</v>
      </c>
      <c r="D132" s="32">
        <f>MAX($B$2:B132)</f>
        <v>65018.849296569817</v>
      </c>
      <c r="E132" s="34">
        <f t="shared" si="8"/>
        <v>-0.32407976237697556</v>
      </c>
      <c r="F132" s="35">
        <f t="shared" si="9"/>
        <v>67.592023762302446</v>
      </c>
      <c r="G132" s="36" t="str">
        <f t="shared" si="10"/>
        <v>2022-07</v>
      </c>
    </row>
    <row r="133" spans="1:7" x14ac:dyDescent="0.25">
      <c r="A133" s="37">
        <v>44755</v>
      </c>
      <c r="B133" s="38">
        <v>44111.962823867827</v>
      </c>
      <c r="C133" s="39">
        <f t="shared" si="11"/>
        <v>3.7409761103874839E-3</v>
      </c>
      <c r="D133" s="38">
        <f>MAX($B$2:B133)</f>
        <v>65018.849296569817</v>
      </c>
      <c r="E133" s="40">
        <f t="shared" si="8"/>
        <v>-0.3215511609155004</v>
      </c>
      <c r="F133" s="41">
        <f t="shared" si="9"/>
        <v>67.844883908449958</v>
      </c>
      <c r="G133" s="42" t="str">
        <f t="shared" si="10"/>
        <v>2022-07</v>
      </c>
    </row>
    <row r="134" spans="1:7" x14ac:dyDescent="0.25">
      <c r="A134" s="31">
        <v>44756</v>
      </c>
      <c r="B134" s="32">
        <v>44512.762594223001</v>
      </c>
      <c r="C134" s="33">
        <f t="shared" si="11"/>
        <v>9.0859654546660007E-3</v>
      </c>
      <c r="D134" s="32">
        <f>MAX($B$2:B134)</f>
        <v>65018.849296569817</v>
      </c>
      <c r="E134" s="34">
        <f t="shared" si="8"/>
        <v>-0.31538679820082038</v>
      </c>
      <c r="F134" s="35">
        <f t="shared" si="9"/>
        <v>68.461320179917962</v>
      </c>
      <c r="G134" s="36" t="str">
        <f t="shared" si="10"/>
        <v>2022-07</v>
      </c>
    </row>
    <row r="135" spans="1:7" x14ac:dyDescent="0.25">
      <c r="A135" s="37">
        <v>44757</v>
      </c>
      <c r="B135" s="38">
        <v>45150.131635665901</v>
      </c>
      <c r="C135" s="39">
        <f t="shared" si="11"/>
        <v>1.4318793179680656E-2</v>
      </c>
      <c r="D135" s="38">
        <f>MAX($B$2:B135)</f>
        <v>65018.849296569817</v>
      </c>
      <c r="E135" s="40">
        <f t="shared" si="8"/>
        <v>-0.30558396335617899</v>
      </c>
      <c r="F135" s="41">
        <f t="shared" si="9"/>
        <v>69.4416036643821</v>
      </c>
      <c r="G135" s="42" t="str">
        <f t="shared" si="10"/>
        <v>2022-07</v>
      </c>
    </row>
    <row r="136" spans="1:7" x14ac:dyDescent="0.25">
      <c r="A136" s="31">
        <v>44760</v>
      </c>
      <c r="B136" s="32">
        <v>44690.256023406961</v>
      </c>
      <c r="C136" s="33">
        <f t="shared" si="11"/>
        <v>-1.0185476666377369E-2</v>
      </c>
      <c r="D136" s="32">
        <f>MAX($B$2:B136)</f>
        <v>65018.849296569817</v>
      </c>
      <c r="E136" s="34">
        <f t="shared" si="8"/>
        <v>-0.31265692169417292</v>
      </c>
      <c r="F136" s="35">
        <f t="shared" si="9"/>
        <v>68.734307830582708</v>
      </c>
      <c r="G136" s="36" t="str">
        <f t="shared" si="10"/>
        <v>2022-07</v>
      </c>
    </row>
    <row r="137" spans="1:7" x14ac:dyDescent="0.25">
      <c r="A137" s="37">
        <v>44761</v>
      </c>
      <c r="B137" s="38">
        <v>45935.781402587912</v>
      </c>
      <c r="C137" s="39">
        <f t="shared" si="11"/>
        <v>2.7870177752586489E-2</v>
      </c>
      <c r="D137" s="38">
        <f>MAX($B$2:B137)</f>
        <v>65018.849296569817</v>
      </c>
      <c r="E137" s="40">
        <f t="shared" si="8"/>
        <v>-0.29350054792477953</v>
      </c>
      <c r="F137" s="41">
        <f t="shared" si="9"/>
        <v>70.649945207522052</v>
      </c>
      <c r="G137" s="42" t="str">
        <f t="shared" si="10"/>
        <v>2022-07</v>
      </c>
    </row>
    <row r="138" spans="1:7" x14ac:dyDescent="0.25">
      <c r="A138" s="31">
        <v>44762</v>
      </c>
      <c r="B138" s="32">
        <v>46517.907676696748</v>
      </c>
      <c r="C138" s="33">
        <f t="shared" si="11"/>
        <v>1.2672610682443741E-2</v>
      </c>
      <c r="D138" s="32">
        <f>MAX($B$2:B138)</f>
        <v>65018.849296569817</v>
      </c>
      <c r="E138" s="34">
        <f t="shared" si="8"/>
        <v>-0.28454735542127041</v>
      </c>
      <c r="F138" s="35">
        <f t="shared" si="9"/>
        <v>71.54526445787296</v>
      </c>
      <c r="G138" s="36" t="str">
        <f t="shared" si="10"/>
        <v>2022-07</v>
      </c>
    </row>
    <row r="139" spans="1:7" x14ac:dyDescent="0.25">
      <c r="A139" s="37">
        <v>44763</v>
      </c>
      <c r="B139" s="38">
        <v>48002.572345733679</v>
      </c>
      <c r="C139" s="39">
        <f t="shared" si="11"/>
        <v>3.191598124652284E-2</v>
      </c>
      <c r="D139" s="38">
        <f>MAX($B$2:B139)</f>
        <v>65018.849296569817</v>
      </c>
      <c r="E139" s="40">
        <f t="shared" si="8"/>
        <v>-0.26171298223412054</v>
      </c>
      <c r="F139" s="41">
        <f t="shared" si="9"/>
        <v>73.828701776587948</v>
      </c>
      <c r="G139" s="42" t="str">
        <f t="shared" si="10"/>
        <v>2022-07</v>
      </c>
    </row>
    <row r="140" spans="1:7" x14ac:dyDescent="0.25">
      <c r="A140" s="31">
        <v>44764</v>
      </c>
      <c r="B140" s="32">
        <v>47258.549213409417</v>
      </c>
      <c r="C140" s="33">
        <f t="shared" si="11"/>
        <v>-1.5499651288799932E-2</v>
      </c>
      <c r="D140" s="32">
        <f>MAX($B$2:B140)</f>
        <v>65018.849296569817</v>
      </c>
      <c r="E140" s="34">
        <f t="shared" si="8"/>
        <v>-0.27315617356053967</v>
      </c>
      <c r="F140" s="35">
        <f t="shared" si="9"/>
        <v>72.684382643946037</v>
      </c>
      <c r="G140" s="36" t="str">
        <f t="shared" si="10"/>
        <v>2022-07</v>
      </c>
    </row>
    <row r="141" spans="1:7" x14ac:dyDescent="0.25">
      <c r="A141" s="37">
        <v>44767</v>
      </c>
      <c r="B141" s="38">
        <v>46833.233108520559</v>
      </c>
      <c r="C141" s="39">
        <f t="shared" si="11"/>
        <v>-8.9997706651598897E-3</v>
      </c>
      <c r="D141" s="38">
        <f>MAX($B$2:B141)</f>
        <v>65018.849296569817</v>
      </c>
      <c r="E141" s="40">
        <f t="shared" si="8"/>
        <v>-0.27969760130788213</v>
      </c>
      <c r="F141" s="41">
        <f t="shared" si="9"/>
        <v>72.030239869211783</v>
      </c>
      <c r="G141" s="42" t="str">
        <f t="shared" si="10"/>
        <v>2022-07</v>
      </c>
    </row>
    <row r="142" spans="1:7" x14ac:dyDescent="0.25">
      <c r="A142" s="31">
        <v>44768</v>
      </c>
      <c r="B142" s="32">
        <v>45600.959415435842</v>
      </c>
      <c r="C142" s="33">
        <f t="shared" si="11"/>
        <v>-2.631195011092502E-2</v>
      </c>
      <c r="D142" s="32">
        <f>MAX($B$2:B142)</f>
        <v>65018.849296569817</v>
      </c>
      <c r="E142" s="34">
        <f t="shared" si="8"/>
        <v>-0.29865016208704875</v>
      </c>
      <c r="F142" s="35">
        <f t="shared" si="9"/>
        <v>70.134983791295127</v>
      </c>
      <c r="G142" s="36" t="str">
        <f t="shared" si="10"/>
        <v>2022-07</v>
      </c>
    </row>
    <row r="143" spans="1:7" x14ac:dyDescent="0.25">
      <c r="A143" s="37">
        <v>44769</v>
      </c>
      <c r="B143" s="38">
        <v>48093.410778045691</v>
      </c>
      <c r="C143" s="39">
        <f t="shared" si="11"/>
        <v>5.4657871118522161E-2</v>
      </c>
      <c r="D143" s="38">
        <f>MAX($B$2:B143)</f>
        <v>65018.849296569817</v>
      </c>
      <c r="E143" s="40">
        <f t="shared" si="8"/>
        <v>-0.26031587303740633</v>
      </c>
      <c r="F143" s="41">
        <f t="shared" si="9"/>
        <v>73.968412696259364</v>
      </c>
      <c r="G143" s="42" t="str">
        <f t="shared" si="10"/>
        <v>2022-07</v>
      </c>
    </row>
    <row r="144" spans="1:7" x14ac:dyDescent="0.25">
      <c r="A144" s="31">
        <v>44770</v>
      </c>
      <c r="B144" s="32">
        <v>48860.475292205752</v>
      </c>
      <c r="C144" s="33">
        <f t="shared" si="11"/>
        <v>1.5949472115839747E-2</v>
      </c>
      <c r="D144" s="32">
        <f>MAX($B$2:B144)</f>
        <v>65018.849296569817</v>
      </c>
      <c r="E144" s="34">
        <f t="shared" si="8"/>
        <v>-0.24851830167988731</v>
      </c>
      <c r="F144" s="35">
        <f t="shared" si="9"/>
        <v>75.148169832011263</v>
      </c>
      <c r="G144" s="36" t="str">
        <f t="shared" si="10"/>
        <v>2022-07</v>
      </c>
    </row>
    <row r="145" spans="1:7" x14ac:dyDescent="0.25">
      <c r="A145" s="37">
        <v>44771</v>
      </c>
      <c r="B145" s="38">
        <v>50504.928035736077</v>
      </c>
      <c r="C145" s="39">
        <f t="shared" si="11"/>
        <v>3.3656093881523352E-2</v>
      </c>
      <c r="D145" s="38">
        <f>MAX($B$2:B145)</f>
        <v>65018.849296569817</v>
      </c>
      <c r="E145" s="40">
        <f t="shared" si="8"/>
        <v>-0.22322636309097899</v>
      </c>
      <c r="F145" s="41">
        <f t="shared" si="9"/>
        <v>77.677363690902098</v>
      </c>
      <c r="G145" s="42" t="str">
        <f t="shared" si="10"/>
        <v>2022-07</v>
      </c>
    </row>
    <row r="146" spans="1:7" x14ac:dyDescent="0.25">
      <c r="A146" s="31">
        <v>44774</v>
      </c>
      <c r="B146" s="32">
        <v>50236.400547027573</v>
      </c>
      <c r="C146" s="33">
        <f t="shared" si="11"/>
        <v>-5.3168571692350231E-3</v>
      </c>
      <c r="D146" s="32">
        <f>MAX($B$2:B146)</f>
        <v>65018.849296569817</v>
      </c>
      <c r="E146" s="34">
        <f t="shared" si="8"/>
        <v>-0.2273563575712515</v>
      </c>
      <c r="F146" s="35">
        <f t="shared" si="9"/>
        <v>77.264364242874848</v>
      </c>
      <c r="G146" s="36" t="str">
        <f t="shared" si="10"/>
        <v>2022-08</v>
      </c>
    </row>
    <row r="147" spans="1:7" x14ac:dyDescent="0.25">
      <c r="A147" s="37">
        <v>44775</v>
      </c>
      <c r="B147" s="38">
        <v>50149.398670196533</v>
      </c>
      <c r="C147" s="39">
        <f t="shared" si="11"/>
        <v>-1.7318493340221508E-3</v>
      </c>
      <c r="D147" s="38">
        <f>MAX($B$2:B147)</f>
        <v>65018.849296569817</v>
      </c>
      <c r="E147" s="40">
        <f t="shared" si="8"/>
        <v>-0.2286944599488282</v>
      </c>
      <c r="F147" s="41">
        <f t="shared" si="9"/>
        <v>77.130554005117176</v>
      </c>
      <c r="G147" s="42" t="str">
        <f t="shared" si="10"/>
        <v>2022-08</v>
      </c>
    </row>
    <row r="148" spans="1:7" x14ac:dyDescent="0.25">
      <c r="A148" s="31">
        <v>44776</v>
      </c>
      <c r="B148" s="32">
        <v>51573.326549530073</v>
      </c>
      <c r="C148" s="33">
        <f t="shared" si="11"/>
        <v>2.8393717912708949E-2</v>
      </c>
      <c r="D148" s="32">
        <f>MAX($B$2:B148)</f>
        <v>65018.849296569817</v>
      </c>
      <c r="E148" s="34">
        <f t="shared" si="8"/>
        <v>-0.20679422802010561</v>
      </c>
      <c r="F148" s="35">
        <f t="shared" si="9"/>
        <v>79.320577197989437</v>
      </c>
      <c r="G148" s="36" t="str">
        <f t="shared" si="10"/>
        <v>2022-08</v>
      </c>
    </row>
    <row r="149" spans="1:7" x14ac:dyDescent="0.25">
      <c r="A149" s="37">
        <v>44777</v>
      </c>
      <c r="B149" s="38">
        <v>51934.957008361816</v>
      </c>
      <c r="C149" s="39">
        <f t="shared" si="11"/>
        <v>7.0119669027832732E-3</v>
      </c>
      <c r="D149" s="38">
        <f>MAX($B$2:B149)</f>
        <v>65018.849296569817</v>
      </c>
      <c r="E149" s="40">
        <f t="shared" si="8"/>
        <v>-0.20123229539988585</v>
      </c>
      <c r="F149" s="41">
        <f t="shared" si="9"/>
        <v>79.876770460011414</v>
      </c>
      <c r="G149" s="42" t="str">
        <f t="shared" si="10"/>
        <v>2022-08</v>
      </c>
    </row>
    <row r="150" spans="1:7" x14ac:dyDescent="0.25">
      <c r="A150" s="31">
        <v>44778</v>
      </c>
      <c r="B150" s="32">
        <v>50820.10541915895</v>
      </c>
      <c r="C150" s="33">
        <f t="shared" si="11"/>
        <v>-2.1466304266380187E-2</v>
      </c>
      <c r="D150" s="32">
        <f>MAX($B$2:B150)</f>
        <v>65018.849296569817</v>
      </c>
      <c r="E150" s="34">
        <f t="shared" si="8"/>
        <v>-0.21837888598499</v>
      </c>
      <c r="F150" s="35">
        <f t="shared" si="9"/>
        <v>78.162111401500994</v>
      </c>
      <c r="G150" s="36" t="str">
        <f t="shared" si="10"/>
        <v>2022-08</v>
      </c>
    </row>
    <row r="151" spans="1:7" x14ac:dyDescent="0.25">
      <c r="A151" s="37">
        <v>44781</v>
      </c>
      <c r="B151" s="38">
        <v>50574.041519165054</v>
      </c>
      <c r="C151" s="39">
        <f t="shared" si="11"/>
        <v>-4.841861266606684E-3</v>
      </c>
      <c r="D151" s="38">
        <f>MAX($B$2:B151)</f>
        <v>65018.849296569817</v>
      </c>
      <c r="E151" s="40">
        <f t="shared" si="8"/>
        <v>-0.22216338698210125</v>
      </c>
      <c r="F151" s="41">
        <f t="shared" si="9"/>
        <v>77.783661301789877</v>
      </c>
      <c r="G151" s="42" t="str">
        <f t="shared" si="10"/>
        <v>2022-08</v>
      </c>
    </row>
    <row r="152" spans="1:7" x14ac:dyDescent="0.25">
      <c r="A152" s="31">
        <v>44782</v>
      </c>
      <c r="B152" s="32">
        <v>49951.057281494148</v>
      </c>
      <c r="C152" s="33">
        <f t="shared" si="11"/>
        <v>-1.2318260889528143E-2</v>
      </c>
      <c r="D152" s="32">
        <f>MAX($B$2:B152)</f>
        <v>65018.849296569817</v>
      </c>
      <c r="E152" s="34">
        <f t="shared" si="8"/>
        <v>-0.23174498131068277</v>
      </c>
      <c r="F152" s="35">
        <f t="shared" si="9"/>
        <v>76.825501868931724</v>
      </c>
      <c r="G152" s="36" t="str">
        <f t="shared" si="10"/>
        <v>2022-08</v>
      </c>
    </row>
    <row r="153" spans="1:7" x14ac:dyDescent="0.25">
      <c r="A153" s="37">
        <v>44783</v>
      </c>
      <c r="B153" s="38">
        <v>51575.108795166023</v>
      </c>
      <c r="C153" s="39">
        <f t="shared" si="11"/>
        <v>3.2512855624250214E-2</v>
      </c>
      <c r="D153" s="38">
        <f>MAX($B$2:B153)</f>
        <v>65018.849296569817</v>
      </c>
      <c r="E153" s="40">
        <f t="shared" si="8"/>
        <v>-0.2067668168054313</v>
      </c>
      <c r="F153" s="41">
        <f t="shared" si="9"/>
        <v>79.323318319456874</v>
      </c>
      <c r="G153" s="42" t="str">
        <f t="shared" si="10"/>
        <v>2022-08</v>
      </c>
    </row>
    <row r="154" spans="1:7" x14ac:dyDescent="0.25">
      <c r="A154" s="31">
        <v>44784</v>
      </c>
      <c r="B154" s="32">
        <v>51075.739326477087</v>
      </c>
      <c r="C154" s="33">
        <f t="shared" si="11"/>
        <v>-9.6823735393795074E-3</v>
      </c>
      <c r="D154" s="32">
        <f>MAX($B$2:B154)</f>
        <v>65018.849296569817</v>
      </c>
      <c r="E154" s="34">
        <f t="shared" si="8"/>
        <v>-0.21444719678895219</v>
      </c>
      <c r="F154" s="35">
        <f t="shared" si="9"/>
        <v>78.555280321104775</v>
      </c>
      <c r="G154" s="36" t="str">
        <f t="shared" si="10"/>
        <v>2022-08</v>
      </c>
    </row>
    <row r="155" spans="1:7" x14ac:dyDescent="0.25">
      <c r="A155" s="37">
        <v>44785</v>
      </c>
      <c r="B155" s="38">
        <v>52514.209880828843</v>
      </c>
      <c r="C155" s="39">
        <f t="shared" si="11"/>
        <v>2.8163479830551674E-2</v>
      </c>
      <c r="D155" s="38">
        <f>MAX($B$2:B155)</f>
        <v>65018.849296569817</v>
      </c>
      <c r="E155" s="40">
        <f t="shared" si="8"/>
        <v>-0.19232329625988442</v>
      </c>
      <c r="F155" s="41">
        <f t="shared" si="9"/>
        <v>80.767670374011558</v>
      </c>
      <c r="G155" s="42" t="str">
        <f t="shared" si="10"/>
        <v>2022-08</v>
      </c>
    </row>
    <row r="156" spans="1:7" x14ac:dyDescent="0.25">
      <c r="A156" s="31">
        <v>44788</v>
      </c>
      <c r="B156" s="32">
        <v>53105.436744689927</v>
      </c>
      <c r="C156" s="33">
        <f t="shared" si="11"/>
        <v>1.1258416820947303E-2</v>
      </c>
      <c r="D156" s="32">
        <f>MAX($B$2:B156)</f>
        <v>65018.849296569817</v>
      </c>
      <c r="E156" s="34">
        <f t="shared" si="8"/>
        <v>-0.18323013527260934</v>
      </c>
      <c r="F156" s="35">
        <f t="shared" si="9"/>
        <v>81.67698647273906</v>
      </c>
      <c r="G156" s="36" t="str">
        <f t="shared" si="10"/>
        <v>2022-08</v>
      </c>
    </row>
    <row r="157" spans="1:7" x14ac:dyDescent="0.25">
      <c r="A157" s="37">
        <v>44789</v>
      </c>
      <c r="B157" s="38">
        <v>52844.327812194853</v>
      </c>
      <c r="C157" s="39">
        <f t="shared" si="11"/>
        <v>-4.9168022805344824E-3</v>
      </c>
      <c r="D157" s="38">
        <f>MAX($B$2:B157)</f>
        <v>65018.849296569817</v>
      </c>
      <c r="E157" s="40">
        <f t="shared" si="8"/>
        <v>-0.18724603120617289</v>
      </c>
      <c r="F157" s="41">
        <f t="shared" si="9"/>
        <v>81.275396879382711</v>
      </c>
      <c r="G157" s="42" t="str">
        <f t="shared" si="10"/>
        <v>2022-08</v>
      </c>
    </row>
    <row r="158" spans="1:7" x14ac:dyDescent="0.25">
      <c r="A158" s="31">
        <v>44790</v>
      </c>
      <c r="B158" s="32">
        <v>52441.363067626953</v>
      </c>
      <c r="C158" s="33">
        <f t="shared" si="11"/>
        <v>-7.6255061091894394E-3</v>
      </c>
      <c r="D158" s="32">
        <f>MAX($B$2:B158)</f>
        <v>65018.849296569817</v>
      </c>
      <c r="E158" s="34">
        <f t="shared" si="8"/>
        <v>-0.19344369156047814</v>
      </c>
      <c r="F158" s="35">
        <f t="shared" si="9"/>
        <v>80.655630843952181</v>
      </c>
      <c r="G158" s="36" t="str">
        <f t="shared" si="10"/>
        <v>2022-08</v>
      </c>
    </row>
    <row r="159" spans="1:7" x14ac:dyDescent="0.25">
      <c r="A159" s="37">
        <v>44791</v>
      </c>
      <c r="B159" s="38">
        <v>52408.824481964133</v>
      </c>
      <c r="C159" s="39">
        <f t="shared" si="11"/>
        <v>-6.2047558948574721E-4</v>
      </c>
      <c r="D159" s="38">
        <f>MAX($B$2:B159)</f>
        <v>65018.849296569817</v>
      </c>
      <c r="E159" s="40">
        <f t="shared" si="8"/>
        <v>-0.19394414006141059</v>
      </c>
      <c r="F159" s="41">
        <f t="shared" si="9"/>
        <v>80.605585993858938</v>
      </c>
      <c r="G159" s="42" t="str">
        <f t="shared" si="10"/>
        <v>2022-08</v>
      </c>
    </row>
    <row r="160" spans="1:7" x14ac:dyDescent="0.25">
      <c r="A160" s="31">
        <v>44792</v>
      </c>
      <c r="B160" s="32">
        <v>51271.390247345007</v>
      </c>
      <c r="C160" s="33">
        <f t="shared" si="11"/>
        <v>-2.1703105266376643E-2</v>
      </c>
      <c r="D160" s="32">
        <f>MAX($B$2:B160)</f>
        <v>65018.849296569817</v>
      </c>
      <c r="E160" s="34">
        <f t="shared" si="8"/>
        <v>-0.21143805524023751</v>
      </c>
      <c r="F160" s="35">
        <f t="shared" si="9"/>
        <v>78.856194475976253</v>
      </c>
      <c r="G160" s="36" t="str">
        <f t="shared" si="10"/>
        <v>2022-08</v>
      </c>
    </row>
    <row r="161" spans="1:7" x14ac:dyDescent="0.25">
      <c r="A161" s="37">
        <v>44795</v>
      </c>
      <c r="B161" s="38">
        <v>49909.950771331773</v>
      </c>
      <c r="C161" s="39">
        <f t="shared" si="11"/>
        <v>-2.6553590012779793E-2</v>
      </c>
      <c r="D161" s="38">
        <f>MAX($B$2:B161)</f>
        <v>65018.849296569817</v>
      </c>
      <c r="E161" s="40">
        <f t="shared" si="8"/>
        <v>-0.23237720582106858</v>
      </c>
      <c r="F161" s="41">
        <f t="shared" si="9"/>
        <v>76.76227941789314</v>
      </c>
      <c r="G161" s="42" t="str">
        <f t="shared" si="10"/>
        <v>2022-08</v>
      </c>
    </row>
    <row r="162" spans="1:7" x14ac:dyDescent="0.25">
      <c r="A162" s="31">
        <v>44796</v>
      </c>
      <c r="B162" s="32">
        <v>50173.902778625517</v>
      </c>
      <c r="C162" s="33">
        <f t="shared" si="11"/>
        <v>5.2885647694398408E-3</v>
      </c>
      <c r="D162" s="32">
        <f>MAX($B$2:B162)</f>
        <v>65018.849296569817</v>
      </c>
      <c r="E162" s="34">
        <f t="shared" si="8"/>
        <v>-0.22831758295555482</v>
      </c>
      <c r="F162" s="35">
        <f t="shared" si="9"/>
        <v>77.168241704444512</v>
      </c>
      <c r="G162" s="36" t="str">
        <f t="shared" si="10"/>
        <v>2022-08</v>
      </c>
    </row>
    <row r="163" spans="1:7" x14ac:dyDescent="0.25">
      <c r="A163" s="37">
        <v>44797</v>
      </c>
      <c r="B163" s="38">
        <v>50201.446189880357</v>
      </c>
      <c r="C163" s="39">
        <f t="shared" si="11"/>
        <v>5.4895891548167874E-4</v>
      </c>
      <c r="D163" s="38">
        <f>MAX($B$2:B163)</f>
        <v>65018.849296569817</v>
      </c>
      <c r="E163" s="40">
        <f t="shared" si="8"/>
        <v>-0.2278939610127978</v>
      </c>
      <c r="F163" s="41">
        <f t="shared" si="9"/>
        <v>77.210603898720223</v>
      </c>
      <c r="G163" s="42" t="str">
        <f t="shared" si="10"/>
        <v>2022-08</v>
      </c>
    </row>
    <row r="164" spans="1:7" x14ac:dyDescent="0.25">
      <c r="A164" s="31">
        <v>44798</v>
      </c>
      <c r="B164" s="32">
        <v>50919.104824066198</v>
      </c>
      <c r="C164" s="33">
        <f t="shared" si="11"/>
        <v>1.4295576893768924E-2</v>
      </c>
      <c r="D164" s="32">
        <f>MAX($B$2:B164)</f>
        <v>65018.849296569817</v>
      </c>
      <c r="E164" s="34">
        <f t="shared" si="8"/>
        <v>-0.21685625976231293</v>
      </c>
      <c r="F164" s="35">
        <f t="shared" si="9"/>
        <v>78.314374023768707</v>
      </c>
      <c r="G164" s="36" t="str">
        <f t="shared" si="10"/>
        <v>2022-08</v>
      </c>
    </row>
    <row r="165" spans="1:7" x14ac:dyDescent="0.25">
      <c r="A165" s="37">
        <v>44799</v>
      </c>
      <c r="B165" s="38">
        <v>48947.301750183113</v>
      </c>
      <c r="C165" s="39">
        <f t="shared" si="11"/>
        <v>-3.8724228964668317E-2</v>
      </c>
      <c r="D165" s="38">
        <f>MAX($B$2:B165)</f>
        <v>65018.849296569817</v>
      </c>
      <c r="E165" s="40">
        <f t="shared" si="8"/>
        <v>-0.24718289727152376</v>
      </c>
      <c r="F165" s="41">
        <f t="shared" si="9"/>
        <v>75.281710272847619</v>
      </c>
      <c r="G165" s="42" t="str">
        <f t="shared" si="10"/>
        <v>2022-08</v>
      </c>
    </row>
    <row r="166" spans="1:7" x14ac:dyDescent="0.25">
      <c r="A166" s="31">
        <v>44802</v>
      </c>
      <c r="B166" s="32">
        <v>48351.773014068611</v>
      </c>
      <c r="C166" s="33">
        <f t="shared" si="11"/>
        <v>-1.2166732686389126E-2</v>
      </c>
      <c r="D166" s="32">
        <f>MAX($B$2:B166)</f>
        <v>65018.849296569817</v>
      </c>
      <c r="E166" s="34">
        <f t="shared" si="8"/>
        <v>-0.25634222172216303</v>
      </c>
      <c r="F166" s="35">
        <f t="shared" si="9"/>
        <v>74.365777827783702</v>
      </c>
      <c r="G166" s="36" t="str">
        <f t="shared" si="10"/>
        <v>2022-08</v>
      </c>
    </row>
    <row r="167" spans="1:7" x14ac:dyDescent="0.25">
      <c r="A167" s="37">
        <v>44803</v>
      </c>
      <c r="B167" s="38">
        <v>47709.423685073853</v>
      </c>
      <c r="C167" s="39">
        <f t="shared" si="11"/>
        <v>-1.3284917779702865E-2</v>
      </c>
      <c r="D167" s="38">
        <f>MAX($B$2:B167)</f>
        <v>65018.849296569817</v>
      </c>
      <c r="E167" s="40">
        <f t="shared" si="8"/>
        <v>-0.26622165416282062</v>
      </c>
      <c r="F167" s="41">
        <f t="shared" si="9"/>
        <v>73.377834583717942</v>
      </c>
      <c r="G167" s="42" t="str">
        <f t="shared" si="10"/>
        <v>2022-08</v>
      </c>
    </row>
    <row r="168" spans="1:7" x14ac:dyDescent="0.25">
      <c r="A168" s="31">
        <v>44804</v>
      </c>
      <c r="B168" s="32">
        <v>47399.567213058457</v>
      </c>
      <c r="C168" s="33">
        <f t="shared" si="11"/>
        <v>-6.4946597146243734E-3</v>
      </c>
      <c r="D168" s="32">
        <f>MAX($B$2:B168)</f>
        <v>65018.849296569817</v>
      </c>
      <c r="E168" s="34">
        <f t="shared" si="8"/>
        <v>-0.27098729482499306</v>
      </c>
      <c r="F168" s="35">
        <f t="shared" si="9"/>
        <v>72.901270517500691</v>
      </c>
      <c r="G168" s="36" t="str">
        <f t="shared" si="10"/>
        <v>2022-08</v>
      </c>
    </row>
    <row r="169" spans="1:7" x14ac:dyDescent="0.25">
      <c r="A169" s="37">
        <v>44805</v>
      </c>
      <c r="B169" s="38">
        <v>47446.662168502808</v>
      </c>
      <c r="C169" s="39">
        <f t="shared" si="11"/>
        <v>9.9357353270046467E-4</v>
      </c>
      <c r="D169" s="38">
        <f>MAX($B$2:B169)</f>
        <v>65018.849296569817</v>
      </c>
      <c r="E169" s="40">
        <f t="shared" si="8"/>
        <v>-0.27026296709612885</v>
      </c>
      <c r="F169" s="41">
        <f t="shared" si="9"/>
        <v>72.973703290387121</v>
      </c>
      <c r="G169" s="42" t="str">
        <f t="shared" si="10"/>
        <v>2022-09</v>
      </c>
    </row>
    <row r="170" spans="1:7" x14ac:dyDescent="0.25">
      <c r="A170" s="31">
        <v>44806</v>
      </c>
      <c r="B170" s="32">
        <v>46658.563365936287</v>
      </c>
      <c r="C170" s="33">
        <f t="shared" si="11"/>
        <v>-1.6610205366347053E-2</v>
      </c>
      <c r="D170" s="32">
        <f>MAX($B$2:B170)</f>
        <v>65018.849296569817</v>
      </c>
      <c r="E170" s="34">
        <f t="shared" si="8"/>
        <v>-0.28238404907609094</v>
      </c>
      <c r="F170" s="35">
        <f t="shared" si="9"/>
        <v>71.761595092390905</v>
      </c>
      <c r="G170" s="36" t="str">
        <f t="shared" si="10"/>
        <v>2022-09</v>
      </c>
    </row>
    <row r="171" spans="1:7" x14ac:dyDescent="0.25">
      <c r="A171" s="37">
        <v>44810</v>
      </c>
      <c r="B171" s="38">
        <v>46497.998113632217</v>
      </c>
      <c r="C171" s="39">
        <f t="shared" si="11"/>
        <v>-3.4412815294971866E-3</v>
      </c>
      <c r="D171" s="38">
        <f>MAX($B$2:B171)</f>
        <v>65018.849296569817</v>
      </c>
      <c r="E171" s="40">
        <f t="shared" si="8"/>
        <v>-0.28485356759327796</v>
      </c>
      <c r="F171" s="41">
        <f t="shared" si="9"/>
        <v>71.5146432406722</v>
      </c>
      <c r="G171" s="42" t="str">
        <f t="shared" si="10"/>
        <v>2022-09</v>
      </c>
    </row>
    <row r="172" spans="1:7" x14ac:dyDescent="0.25">
      <c r="A172" s="31">
        <v>44811</v>
      </c>
      <c r="B172" s="32">
        <v>47402.088842391982</v>
      </c>
      <c r="C172" s="33">
        <f t="shared" si="11"/>
        <v>1.944364844590396E-2</v>
      </c>
      <c r="D172" s="32">
        <f>MAX($B$2:B172)</f>
        <v>65018.849296569817</v>
      </c>
      <c r="E172" s="34">
        <f t="shared" si="8"/>
        <v>-0.2709485117742193</v>
      </c>
      <c r="F172" s="35">
        <f t="shared" si="9"/>
        <v>72.90514882257807</v>
      </c>
      <c r="G172" s="36" t="str">
        <f t="shared" si="10"/>
        <v>2022-09</v>
      </c>
    </row>
    <row r="173" spans="1:7" x14ac:dyDescent="0.25">
      <c r="A173" s="37">
        <v>44812</v>
      </c>
      <c r="B173" s="38">
        <v>47617.738046646133</v>
      </c>
      <c r="C173" s="39">
        <f t="shared" si="11"/>
        <v>4.5493607881113007E-3</v>
      </c>
      <c r="D173" s="38">
        <f>MAX($B$2:B173)</f>
        <v>65018.849296569817</v>
      </c>
      <c r="E173" s="40">
        <f t="shared" si="8"/>
        <v>-0.26763179352117061</v>
      </c>
      <c r="F173" s="41">
        <f t="shared" si="9"/>
        <v>73.236820647882936</v>
      </c>
      <c r="G173" s="42" t="str">
        <f t="shared" si="10"/>
        <v>2022-09</v>
      </c>
    </row>
    <row r="174" spans="1:7" x14ac:dyDescent="0.25">
      <c r="A174" s="31">
        <v>44813</v>
      </c>
      <c r="B174" s="32">
        <v>48877.512416839607</v>
      </c>
      <c r="C174" s="33">
        <f t="shared" si="11"/>
        <v>2.6455989340766317E-2</v>
      </c>
      <c r="D174" s="32">
        <f>MAX($B$2:B174)</f>
        <v>65018.849296569817</v>
      </c>
      <c r="E174" s="34">
        <f t="shared" si="8"/>
        <v>-0.24825626805705059</v>
      </c>
      <c r="F174" s="35">
        <f t="shared" si="9"/>
        <v>75.174373194294944</v>
      </c>
      <c r="G174" s="36" t="str">
        <f t="shared" si="10"/>
        <v>2022-09</v>
      </c>
    </row>
    <row r="175" spans="1:7" x14ac:dyDescent="0.25">
      <c r="A175" s="37">
        <v>44816</v>
      </c>
      <c r="B175" s="38">
        <v>49725.694961547859</v>
      </c>
      <c r="C175" s="39">
        <f t="shared" si="11"/>
        <v>1.7353226520096632E-2</v>
      </c>
      <c r="D175" s="38">
        <f>MAX($B$2:B175)</f>
        <v>65018.849296569817</v>
      </c>
      <c r="E175" s="40">
        <f t="shared" si="8"/>
        <v>-0.23521108879158181</v>
      </c>
      <c r="F175" s="41">
        <f t="shared" si="9"/>
        <v>76.478891120841823</v>
      </c>
      <c r="G175" s="42" t="str">
        <f t="shared" si="10"/>
        <v>2022-09</v>
      </c>
    </row>
    <row r="176" spans="1:7" x14ac:dyDescent="0.25">
      <c r="A176" s="31">
        <v>44817</v>
      </c>
      <c r="B176" s="32">
        <v>47064.930391311653</v>
      </c>
      <c r="C176" s="33">
        <f t="shared" si="11"/>
        <v>-5.3508846327713133E-2</v>
      </c>
      <c r="D176" s="32">
        <f>MAX($B$2:B176)</f>
        <v>65018.849296569817</v>
      </c>
      <c r="E176" s="34">
        <f t="shared" si="8"/>
        <v>-0.27613406111457217</v>
      </c>
      <c r="F176" s="35">
        <f t="shared" si="9"/>
        <v>72.386593888542777</v>
      </c>
      <c r="G176" s="36" t="str">
        <f t="shared" si="10"/>
        <v>2022-09</v>
      </c>
    </row>
    <row r="177" spans="1:7" x14ac:dyDescent="0.25">
      <c r="A177" s="37">
        <v>44818</v>
      </c>
      <c r="B177" s="38">
        <v>47760.855302810691</v>
      </c>
      <c r="C177" s="39">
        <f t="shared" si="11"/>
        <v>1.4786485515072778E-2</v>
      </c>
      <c r="D177" s="38">
        <f>MAX($B$2:B177)</f>
        <v>65018.849296569817</v>
      </c>
      <c r="E177" s="40">
        <f t="shared" si="8"/>
        <v>-0.2654306278943882</v>
      </c>
      <c r="F177" s="41">
        <f t="shared" si="9"/>
        <v>73.456937210561179</v>
      </c>
      <c r="G177" s="42" t="str">
        <f t="shared" si="10"/>
        <v>2022-09</v>
      </c>
    </row>
    <row r="178" spans="1:7" x14ac:dyDescent="0.25">
      <c r="A178" s="31">
        <v>44819</v>
      </c>
      <c r="B178" s="32">
        <v>47180.318899154641</v>
      </c>
      <c r="C178" s="33">
        <f t="shared" si="11"/>
        <v>-1.2155067156468746E-2</v>
      </c>
      <c r="D178" s="32">
        <f>MAX($B$2:B178)</f>
        <v>65018.849296569817</v>
      </c>
      <c r="E178" s="34">
        <f t="shared" si="8"/>
        <v>-0.27435936794341698</v>
      </c>
      <c r="F178" s="35">
        <f t="shared" si="9"/>
        <v>72.5640632056583</v>
      </c>
      <c r="G178" s="36" t="str">
        <f t="shared" si="10"/>
        <v>2022-09</v>
      </c>
    </row>
    <row r="179" spans="1:7" x14ac:dyDescent="0.25">
      <c r="A179" s="37">
        <v>44820</v>
      </c>
      <c r="B179" s="38">
        <v>46887.838401794477</v>
      </c>
      <c r="C179" s="39">
        <f t="shared" si="11"/>
        <v>-6.199205604890623E-3</v>
      </c>
      <c r="D179" s="38">
        <f>MAX($B$2:B179)</f>
        <v>65018.849296569817</v>
      </c>
      <c r="E179" s="40">
        <f t="shared" si="8"/>
        <v>-0.27885776341679847</v>
      </c>
      <c r="F179" s="41">
        <f t="shared" si="9"/>
        <v>72.114223658320157</v>
      </c>
      <c r="G179" s="42" t="str">
        <f t="shared" si="10"/>
        <v>2022-09</v>
      </c>
    </row>
    <row r="180" spans="1:7" x14ac:dyDescent="0.25">
      <c r="A180" s="31">
        <v>44823</v>
      </c>
      <c r="B180" s="32">
        <v>47400.821990966833</v>
      </c>
      <c r="C180" s="33">
        <f t="shared" si="11"/>
        <v>1.0940653411583234E-2</v>
      </c>
      <c r="D180" s="32">
        <f>MAX($B$2:B180)</f>
        <v>65018.849296569817</v>
      </c>
      <c r="E180" s="34">
        <f t="shared" si="8"/>
        <v>-0.27096799614588774</v>
      </c>
      <c r="F180" s="35">
        <f t="shared" si="9"/>
        <v>72.903200385411225</v>
      </c>
      <c r="G180" s="36" t="str">
        <f t="shared" si="10"/>
        <v>2022-09</v>
      </c>
    </row>
    <row r="181" spans="1:7" x14ac:dyDescent="0.25">
      <c r="A181" s="37">
        <v>44824</v>
      </c>
      <c r="B181" s="38">
        <v>47215.687417984052</v>
      </c>
      <c r="C181" s="39">
        <f t="shared" si="11"/>
        <v>-3.9057249475138445E-3</v>
      </c>
      <c r="D181" s="38">
        <f>MAX($B$2:B181)</f>
        <v>65018.849296569817</v>
      </c>
      <c r="E181" s="40">
        <f t="shared" si="8"/>
        <v>-0.27381539463087667</v>
      </c>
      <c r="F181" s="41">
        <f t="shared" si="9"/>
        <v>72.618460536912337</v>
      </c>
      <c r="G181" s="42" t="str">
        <f t="shared" si="10"/>
        <v>2022-09</v>
      </c>
    </row>
    <row r="182" spans="1:7" x14ac:dyDescent="0.25">
      <c r="A182" s="31">
        <v>44825</v>
      </c>
      <c r="B182" s="32">
        <v>46284.489212036147</v>
      </c>
      <c r="C182" s="33">
        <f t="shared" si="11"/>
        <v>-1.9722220661627432E-2</v>
      </c>
      <c r="D182" s="32">
        <f>MAX($B$2:B182)</f>
        <v>65018.849296569817</v>
      </c>
      <c r="E182" s="34">
        <f t="shared" si="8"/>
        <v>-0.2881373676590433</v>
      </c>
      <c r="F182" s="35">
        <f t="shared" si="9"/>
        <v>71.186263234095676</v>
      </c>
      <c r="G182" s="36" t="str">
        <f t="shared" si="10"/>
        <v>2022-09</v>
      </c>
    </row>
    <row r="183" spans="1:7" x14ac:dyDescent="0.25">
      <c r="A183" s="37">
        <v>44826</v>
      </c>
      <c r="B183" s="38">
        <v>45596.796627044692</v>
      </c>
      <c r="C183" s="39">
        <f t="shared" si="11"/>
        <v>-1.4857949103446622E-2</v>
      </c>
      <c r="D183" s="38">
        <f>MAX($B$2:B183)</f>
        <v>65018.849296569817</v>
      </c>
      <c r="E183" s="40">
        <f t="shared" si="8"/>
        <v>-0.29871418641901082</v>
      </c>
      <c r="F183" s="41">
        <f t="shared" si="9"/>
        <v>70.128581358098913</v>
      </c>
      <c r="G183" s="42" t="str">
        <f t="shared" si="10"/>
        <v>2022-09</v>
      </c>
    </row>
    <row r="184" spans="1:7" x14ac:dyDescent="0.25">
      <c r="A184" s="31">
        <v>44827</v>
      </c>
      <c r="B184" s="32">
        <v>44497.714500427282</v>
      </c>
      <c r="C184" s="33">
        <f t="shared" si="11"/>
        <v>-2.4104371533098301E-2</v>
      </c>
      <c r="D184" s="32">
        <f>MAX($B$2:B184)</f>
        <v>65018.849296569817</v>
      </c>
      <c r="E184" s="34">
        <f t="shared" si="8"/>
        <v>-0.31561824022045804</v>
      </c>
      <c r="F184" s="35">
        <f t="shared" si="9"/>
        <v>68.438175977954202</v>
      </c>
      <c r="G184" s="36" t="str">
        <f t="shared" si="10"/>
        <v>2022-09</v>
      </c>
    </row>
    <row r="185" spans="1:7" x14ac:dyDescent="0.25">
      <c r="A185" s="37">
        <v>44830</v>
      </c>
      <c r="B185" s="38">
        <v>44428.546409606963</v>
      </c>
      <c r="C185" s="39">
        <f t="shared" si="11"/>
        <v>-1.5544189538017061E-3</v>
      </c>
      <c r="D185" s="38">
        <f>MAX($B$2:B185)</f>
        <v>65018.849296569817</v>
      </c>
      <c r="E185" s="40">
        <f t="shared" si="8"/>
        <v>-0.31668205619949552</v>
      </c>
      <c r="F185" s="41">
        <f t="shared" si="9"/>
        <v>68.331794380050454</v>
      </c>
      <c r="G185" s="42" t="str">
        <f t="shared" si="10"/>
        <v>2022-09</v>
      </c>
    </row>
    <row r="186" spans="1:7" x14ac:dyDescent="0.25">
      <c r="A186" s="31">
        <v>44831</v>
      </c>
      <c r="B186" s="32">
        <v>44819.499731063821</v>
      </c>
      <c r="C186" s="33">
        <f t="shared" si="11"/>
        <v>8.7995973996646271E-3</v>
      </c>
      <c r="D186" s="32">
        <f>MAX($B$2:B186)</f>
        <v>65018.849296569817</v>
      </c>
      <c r="E186" s="34">
        <f t="shared" si="8"/>
        <v>-0.31066913339808444</v>
      </c>
      <c r="F186" s="35">
        <f t="shared" si="9"/>
        <v>68.933086660191549</v>
      </c>
      <c r="G186" s="36" t="str">
        <f t="shared" si="10"/>
        <v>2022-09</v>
      </c>
    </row>
    <row r="187" spans="1:7" x14ac:dyDescent="0.25">
      <c r="A187" s="37">
        <v>44832</v>
      </c>
      <c r="B187" s="38">
        <v>45320.615987777717</v>
      </c>
      <c r="C187" s="39">
        <f t="shared" si="11"/>
        <v>1.118076417007785E-2</v>
      </c>
      <c r="D187" s="38">
        <f>MAX($B$2:B187)</f>
        <v>65018.849296569817</v>
      </c>
      <c r="E187" s="40">
        <f t="shared" si="8"/>
        <v>-0.30296188754345299</v>
      </c>
      <c r="F187" s="41">
        <f t="shared" si="9"/>
        <v>69.703811245654705</v>
      </c>
      <c r="G187" s="42" t="str">
        <f t="shared" si="10"/>
        <v>2022-09</v>
      </c>
    </row>
    <row r="188" spans="1:7" x14ac:dyDescent="0.25">
      <c r="A188" s="31">
        <v>44833</v>
      </c>
      <c r="B188" s="32">
        <v>43447.330284118652</v>
      </c>
      <c r="C188" s="33">
        <f t="shared" si="11"/>
        <v>-4.1334074191848202E-2</v>
      </c>
      <c r="D188" s="32">
        <f>MAX($B$2:B188)</f>
        <v>65018.849296569817</v>
      </c>
      <c r="E188" s="34">
        <f t="shared" si="8"/>
        <v>-0.33177331259827769</v>
      </c>
      <c r="F188" s="35">
        <f t="shared" si="9"/>
        <v>66.822668740172233</v>
      </c>
      <c r="G188" s="36" t="str">
        <f t="shared" si="10"/>
        <v>2022-09</v>
      </c>
    </row>
    <row r="189" spans="1:7" x14ac:dyDescent="0.25">
      <c r="A189" s="37">
        <v>44834</v>
      </c>
      <c r="B189" s="38">
        <v>42756.728267669627</v>
      </c>
      <c r="C189" s="39">
        <f t="shared" si="11"/>
        <v>-1.5895154246139298E-2</v>
      </c>
      <c r="D189" s="38">
        <f>MAX($B$2:B189)</f>
        <v>65018.849296569817</v>
      </c>
      <c r="E189" s="40">
        <f t="shared" si="8"/>
        <v>-0.3423948788659148</v>
      </c>
      <c r="F189" s="41">
        <f t="shared" si="9"/>
        <v>65.760512113408524</v>
      </c>
      <c r="G189" s="42" t="str">
        <f t="shared" si="10"/>
        <v>2022-09</v>
      </c>
    </row>
    <row r="190" spans="1:7" x14ac:dyDescent="0.25">
      <c r="A190" s="31">
        <v>44837</v>
      </c>
      <c r="B190" s="32">
        <v>42590.999937057517</v>
      </c>
      <c r="C190" s="33">
        <f t="shared" si="11"/>
        <v>-3.8760760546177053E-3</v>
      </c>
      <c r="D190" s="32">
        <f>MAX($B$2:B190)</f>
        <v>65018.849296569817</v>
      </c>
      <c r="E190" s="34">
        <f t="shared" si="8"/>
        <v>-0.34494380632933652</v>
      </c>
      <c r="F190" s="35">
        <f t="shared" si="9"/>
        <v>65.505619367066345</v>
      </c>
      <c r="G190" s="36" t="str">
        <f t="shared" si="10"/>
        <v>2022-10</v>
      </c>
    </row>
    <row r="191" spans="1:7" x14ac:dyDescent="0.25">
      <c r="A191" s="37">
        <v>44838</v>
      </c>
      <c r="B191" s="38">
        <v>44061.884460449197</v>
      </c>
      <c r="C191" s="39">
        <f t="shared" si="11"/>
        <v>3.4535101912737565E-2</v>
      </c>
      <c r="D191" s="38">
        <f>MAX($B$2:B191)</f>
        <v>65018.849296569817</v>
      </c>
      <c r="E191" s="40">
        <f t="shared" si="8"/>
        <v>-0.32232137392235027</v>
      </c>
      <c r="F191" s="41">
        <f t="shared" si="9"/>
        <v>67.767862607764968</v>
      </c>
      <c r="G191" s="42" t="str">
        <f t="shared" si="10"/>
        <v>2022-10</v>
      </c>
    </row>
    <row r="192" spans="1:7" x14ac:dyDescent="0.25">
      <c r="A192" s="31">
        <v>44839</v>
      </c>
      <c r="B192" s="32">
        <v>43806.351909637473</v>
      </c>
      <c r="C192" s="33">
        <f t="shared" si="11"/>
        <v>-5.7994013179598625E-3</v>
      </c>
      <c r="D192" s="32">
        <f>MAX($B$2:B192)</f>
        <v>65018.849296569817</v>
      </c>
      <c r="E192" s="34">
        <f t="shared" si="8"/>
        <v>-0.32625150423957816</v>
      </c>
      <c r="F192" s="35">
        <f t="shared" si="9"/>
        <v>67.37484957604218</v>
      </c>
      <c r="G192" s="36" t="str">
        <f t="shared" si="10"/>
        <v>2022-10</v>
      </c>
    </row>
    <row r="193" spans="1:7" x14ac:dyDescent="0.25">
      <c r="A193" s="37">
        <v>44840</v>
      </c>
      <c r="B193" s="38">
        <v>43533.097782135053</v>
      </c>
      <c r="C193" s="39">
        <f t="shared" si="11"/>
        <v>-6.2377741033099454E-3</v>
      </c>
      <c r="D193" s="38">
        <f>MAX($B$2:B193)</f>
        <v>65018.849296569817</v>
      </c>
      <c r="E193" s="40">
        <f t="shared" si="8"/>
        <v>-0.33045419515857666</v>
      </c>
      <c r="F193" s="41">
        <f t="shared" si="9"/>
        <v>66.95458048414234</v>
      </c>
      <c r="G193" s="42" t="str">
        <f t="shared" si="10"/>
        <v>2022-10</v>
      </c>
    </row>
    <row r="194" spans="1:7" x14ac:dyDescent="0.25">
      <c r="A194" s="31">
        <v>44841</v>
      </c>
      <c r="B194" s="32">
        <v>41403.127851486228</v>
      </c>
      <c r="C194" s="33">
        <f t="shared" si="11"/>
        <v>-4.8927598520749349E-2</v>
      </c>
      <c r="D194" s="32">
        <f>MAX($B$2:B194)</f>
        <v>65018.849296569817</v>
      </c>
      <c r="E194" s="34">
        <f t="shared" ref="E194:E257" si="12">B194/D194-1</f>
        <v>-0.36321346348910977</v>
      </c>
      <c r="F194" s="35">
        <f t="shared" ref="F194:F257" si="13">B194/$B$2*100</f>
        <v>63.678653651089022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40946.17879867553</v>
      </c>
      <c r="C195" s="39">
        <f t="shared" ref="C195:C258" si="15">B195/B194-1</f>
        <v>-1.1036582898997005E-2</v>
      </c>
      <c r="D195" s="38">
        <f>MAX($B$2:B195)</f>
        <v>65018.849296569817</v>
      </c>
      <c r="E195" s="40">
        <f t="shared" si="12"/>
        <v>-0.37024141088827733</v>
      </c>
      <c r="F195" s="41">
        <f t="shared" si="13"/>
        <v>62.975858911172267</v>
      </c>
      <c r="G195" s="42" t="str">
        <f t="shared" si="14"/>
        <v>2022-10</v>
      </c>
    </row>
    <row r="196" spans="1:7" x14ac:dyDescent="0.25">
      <c r="A196" s="31">
        <v>44845</v>
      </c>
      <c r="B196" s="32">
        <v>40228.178482055708</v>
      </c>
      <c r="C196" s="33">
        <f t="shared" si="15"/>
        <v>-1.7535221544117463E-2</v>
      </c>
      <c r="D196" s="32">
        <f>MAX($B$2:B196)</f>
        <v>65018.849296569817</v>
      </c>
      <c r="E196" s="34">
        <f t="shared" si="12"/>
        <v>-0.38128436726766224</v>
      </c>
      <c r="F196" s="35">
        <f t="shared" si="13"/>
        <v>61.871563273233775</v>
      </c>
      <c r="G196" s="36" t="str">
        <f t="shared" si="14"/>
        <v>2022-10</v>
      </c>
    </row>
    <row r="197" spans="1:7" x14ac:dyDescent="0.25">
      <c r="A197" s="37">
        <v>44846</v>
      </c>
      <c r="B197" s="38">
        <v>40280.687541961663</v>
      </c>
      <c r="C197" s="39">
        <f t="shared" si="15"/>
        <v>1.3052805741471385E-3</v>
      </c>
      <c r="D197" s="38">
        <f>MAX($B$2:B197)</f>
        <v>65018.849296569817</v>
      </c>
      <c r="E197" s="40">
        <f t="shared" si="12"/>
        <v>-0.38047676977133549</v>
      </c>
      <c r="F197" s="41">
        <f t="shared" si="13"/>
        <v>61.952323022866452</v>
      </c>
      <c r="G197" s="42" t="str">
        <f t="shared" si="14"/>
        <v>2022-10</v>
      </c>
    </row>
    <row r="198" spans="1:7" x14ac:dyDescent="0.25">
      <c r="A198" s="31">
        <v>44847</v>
      </c>
      <c r="B198" s="32">
        <v>41360.231771469123</v>
      </c>
      <c r="C198" s="33">
        <f t="shared" si="15"/>
        <v>2.6800541286264412E-2</v>
      </c>
      <c r="D198" s="32">
        <f>MAX($B$2:B198)</f>
        <v>65018.849296569817</v>
      </c>
      <c r="E198" s="34">
        <f t="shared" si="12"/>
        <v>-0.36387321186179233</v>
      </c>
      <c r="F198" s="35">
        <f t="shared" si="13"/>
        <v>63.612678813820764</v>
      </c>
      <c r="G198" s="36" t="str">
        <f t="shared" si="14"/>
        <v>2022-10</v>
      </c>
    </row>
    <row r="199" spans="1:7" x14ac:dyDescent="0.25">
      <c r="A199" s="37">
        <v>44848</v>
      </c>
      <c r="B199" s="38">
        <v>39539.823312759399</v>
      </c>
      <c r="C199" s="39">
        <f t="shared" si="15"/>
        <v>-4.4013497525066336E-2</v>
      </c>
      <c r="D199" s="38">
        <f>MAX($B$2:B199)</f>
        <v>65018.849296569817</v>
      </c>
      <c r="E199" s="40">
        <f t="shared" si="12"/>
        <v>-0.39187137667714167</v>
      </c>
      <c r="F199" s="41">
        <f t="shared" si="13"/>
        <v>60.812862332285832</v>
      </c>
      <c r="G199" s="42" t="str">
        <f t="shared" si="14"/>
        <v>2022-10</v>
      </c>
    </row>
    <row r="200" spans="1:7" x14ac:dyDescent="0.25">
      <c r="A200" s="31">
        <v>44851</v>
      </c>
      <c r="B200" s="32">
        <v>41235.886440277129</v>
      </c>
      <c r="C200" s="33">
        <f t="shared" si="15"/>
        <v>4.2895060863117562E-2</v>
      </c>
      <c r="D200" s="32">
        <f>MAX($B$2:B200)</f>
        <v>65018.849296569817</v>
      </c>
      <c r="E200" s="34">
        <f t="shared" si="12"/>
        <v>-0.36578566236710375</v>
      </c>
      <c r="F200" s="35">
        <f t="shared" si="13"/>
        <v>63.421433763289627</v>
      </c>
      <c r="G200" s="36" t="str">
        <f t="shared" si="14"/>
        <v>2022-10</v>
      </c>
    </row>
    <row r="201" spans="1:7" x14ac:dyDescent="0.25">
      <c r="A201" s="37">
        <v>44852</v>
      </c>
      <c r="B201" s="38">
        <v>41418.800983428991</v>
      </c>
      <c r="C201" s="39">
        <f t="shared" si="15"/>
        <v>4.4358096537291392E-3</v>
      </c>
      <c r="D201" s="38">
        <f>MAX($B$2:B201)</f>
        <v>65018.849296569817</v>
      </c>
      <c r="E201" s="40">
        <f t="shared" si="12"/>
        <v>-0.36297240828569832</v>
      </c>
      <c r="F201" s="41">
        <f t="shared" si="13"/>
        <v>63.702759171430166</v>
      </c>
      <c r="G201" s="42" t="str">
        <f t="shared" si="14"/>
        <v>2022-10</v>
      </c>
    </row>
    <row r="202" spans="1:7" x14ac:dyDescent="0.25">
      <c r="A202" s="31">
        <v>44853</v>
      </c>
      <c r="B202" s="32">
        <v>41346.003265380852</v>
      </c>
      <c r="C202" s="33">
        <f t="shared" si="15"/>
        <v>-1.7576008073547644E-3</v>
      </c>
      <c r="D202" s="32">
        <f>MAX($B$2:B202)</f>
        <v>65018.849296569817</v>
      </c>
      <c r="E202" s="34">
        <f t="shared" si="12"/>
        <v>-0.3640920484952026</v>
      </c>
      <c r="F202" s="35">
        <f t="shared" si="13"/>
        <v>63.590795150479742</v>
      </c>
      <c r="G202" s="36" t="str">
        <f t="shared" si="14"/>
        <v>2022-10</v>
      </c>
    </row>
    <row r="203" spans="1:7" x14ac:dyDescent="0.25">
      <c r="A203" s="37">
        <v>44854</v>
      </c>
      <c r="B203" s="38">
        <v>40665.440921783447</v>
      </c>
      <c r="C203" s="39">
        <f t="shared" si="15"/>
        <v>-1.6460172443493293E-2</v>
      </c>
      <c r="D203" s="38">
        <f>MAX($B$2:B203)</f>
        <v>65018.849296569817</v>
      </c>
      <c r="E203" s="40">
        <f t="shared" si="12"/>
        <v>-0.3745592030351601</v>
      </c>
      <c r="F203" s="41">
        <f t="shared" si="13"/>
        <v>62.54407969648399</v>
      </c>
      <c r="G203" s="42" t="str">
        <f t="shared" si="14"/>
        <v>2022-10</v>
      </c>
    </row>
    <row r="204" spans="1:7" x14ac:dyDescent="0.25">
      <c r="A204" s="31">
        <v>44855</v>
      </c>
      <c r="B204" s="32">
        <v>41749.655160903952</v>
      </c>
      <c r="C204" s="33">
        <f t="shared" si="15"/>
        <v>2.6661809500747813E-2</v>
      </c>
      <c r="D204" s="32">
        <f>MAX($B$2:B204)</f>
        <v>65018.849296569817</v>
      </c>
      <c r="E204" s="34">
        <f t="shared" si="12"/>
        <v>-0.35788381965248761</v>
      </c>
      <c r="F204" s="35">
        <f t="shared" si="13"/>
        <v>64.21161803475124</v>
      </c>
      <c r="G204" s="36" t="str">
        <f t="shared" si="14"/>
        <v>2022-10</v>
      </c>
    </row>
    <row r="205" spans="1:7" x14ac:dyDescent="0.25">
      <c r="A205" s="37">
        <v>44858</v>
      </c>
      <c r="B205" s="38">
        <v>41888.654785156243</v>
      </c>
      <c r="C205" s="39">
        <f t="shared" si="15"/>
        <v>3.3293598166639349E-3</v>
      </c>
      <c r="D205" s="38">
        <f>MAX($B$2:B205)</f>
        <v>65018.849296569817</v>
      </c>
      <c r="E205" s="40">
        <f t="shared" si="12"/>
        <v>-0.35574598384400891</v>
      </c>
      <c r="F205" s="41">
        <f t="shared" si="13"/>
        <v>64.425401615599114</v>
      </c>
      <c r="G205" s="42" t="str">
        <f t="shared" si="14"/>
        <v>2022-10</v>
      </c>
    </row>
    <row r="206" spans="1:7" x14ac:dyDescent="0.25">
      <c r="A206" s="31">
        <v>44859</v>
      </c>
      <c r="B206" s="32">
        <v>42845.455989837639</v>
      </c>
      <c r="C206" s="33">
        <f t="shared" si="15"/>
        <v>2.2841535723425732E-2</v>
      </c>
      <c r="D206" s="32">
        <f>MAX($B$2:B206)</f>
        <v>65018.849296569817</v>
      </c>
      <c r="E206" s="34">
        <f t="shared" si="12"/>
        <v>-0.34103023271902133</v>
      </c>
      <c r="F206" s="35">
        <f t="shared" si="13"/>
        <v>65.896976728097869</v>
      </c>
      <c r="G206" s="36" t="str">
        <f t="shared" si="14"/>
        <v>2022-10</v>
      </c>
    </row>
    <row r="207" spans="1:7" x14ac:dyDescent="0.25">
      <c r="A207" s="37">
        <v>44860</v>
      </c>
      <c r="B207" s="38">
        <v>41509.363288879373</v>
      </c>
      <c r="C207" s="39">
        <f t="shared" si="15"/>
        <v>-3.1184000032002723E-2</v>
      </c>
      <c r="D207" s="38">
        <f>MAX($B$2:B207)</f>
        <v>65018.849296569817</v>
      </c>
      <c r="E207" s="40">
        <f t="shared" si="12"/>
        <v>-0.36157954596300013</v>
      </c>
      <c r="F207" s="41">
        <f t="shared" si="13"/>
        <v>63.842045403699984</v>
      </c>
      <c r="G207" s="42" t="str">
        <f t="shared" si="14"/>
        <v>2022-10</v>
      </c>
    </row>
    <row r="208" spans="1:7" x14ac:dyDescent="0.25">
      <c r="A208" s="31">
        <v>44861</v>
      </c>
      <c r="B208" s="32">
        <v>40748.034086227453</v>
      </c>
      <c r="C208" s="33">
        <f t="shared" si="15"/>
        <v>-1.8341143836718032E-2</v>
      </c>
      <c r="D208" s="32">
        <f>MAX($B$2:B208)</f>
        <v>65018.849296569817</v>
      </c>
      <c r="E208" s="34">
        <f t="shared" si="12"/>
        <v>-0.37328890733879561</v>
      </c>
      <c r="F208" s="35">
        <f t="shared" si="13"/>
        <v>62.671109266120439</v>
      </c>
      <c r="G208" s="36" t="str">
        <f t="shared" si="14"/>
        <v>2022-10</v>
      </c>
    </row>
    <row r="209" spans="1:7" x14ac:dyDescent="0.25">
      <c r="A209" s="37">
        <v>44862</v>
      </c>
      <c r="B209" s="38">
        <v>42002.18218803405</v>
      </c>
      <c r="C209" s="39">
        <f t="shared" si="15"/>
        <v>3.0778125372936449E-2</v>
      </c>
      <c r="D209" s="38">
        <f>MAX($B$2:B209)</f>
        <v>65018.849296569817</v>
      </c>
      <c r="E209" s="40">
        <f t="shared" si="12"/>
        <v>-0.35399991475625903</v>
      </c>
      <c r="F209" s="41">
        <f t="shared" si="13"/>
        <v>64.600008524374104</v>
      </c>
      <c r="G209" s="42" t="str">
        <f t="shared" si="14"/>
        <v>2022-10</v>
      </c>
    </row>
    <row r="210" spans="1:7" x14ac:dyDescent="0.25">
      <c r="A210" s="31">
        <v>44865</v>
      </c>
      <c r="B210" s="32">
        <v>41556.879539489782</v>
      </c>
      <c r="C210" s="33">
        <f t="shared" si="15"/>
        <v>-1.0601893171901189E-2</v>
      </c>
      <c r="D210" s="32">
        <f>MAX($B$2:B210)</f>
        <v>65018.849296569817</v>
      </c>
      <c r="E210" s="34">
        <f t="shared" si="12"/>
        <v>-0.3608487386490522</v>
      </c>
      <c r="F210" s="35">
        <f t="shared" si="13"/>
        <v>63.915126135094781</v>
      </c>
      <c r="G210" s="36" t="str">
        <f t="shared" si="14"/>
        <v>2022-10</v>
      </c>
    </row>
    <row r="211" spans="1:7" x14ac:dyDescent="0.25">
      <c r="A211" s="37">
        <v>44866</v>
      </c>
      <c r="B211" s="38">
        <v>41000.735225677483</v>
      </c>
      <c r="C211" s="39">
        <f t="shared" si="15"/>
        <v>-1.33827255553155E-2</v>
      </c>
      <c r="D211" s="38">
        <f>MAX($B$2:B211)</f>
        <v>65018.849296569817</v>
      </c>
      <c r="E211" s="40">
        <f t="shared" si="12"/>
        <v>-0.36940232456804567</v>
      </c>
      <c r="F211" s="41">
        <f t="shared" si="13"/>
        <v>63.059767543195434</v>
      </c>
      <c r="G211" s="42" t="str">
        <f t="shared" si="14"/>
        <v>2022-11</v>
      </c>
    </row>
    <row r="212" spans="1:7" x14ac:dyDescent="0.25">
      <c r="A212" s="31">
        <v>44867</v>
      </c>
      <c r="B212" s="32">
        <v>39349.161005020163</v>
      </c>
      <c r="C212" s="33">
        <f t="shared" si="15"/>
        <v>-4.0281575722158958E-2</v>
      </c>
      <c r="D212" s="32">
        <f>MAX($B$2:B212)</f>
        <v>65018.849296569817</v>
      </c>
      <c r="E212" s="34">
        <f t="shared" si="12"/>
        <v>-0.39480379258117537</v>
      </c>
      <c r="F212" s="35">
        <f t="shared" si="13"/>
        <v>60.519620741882463</v>
      </c>
      <c r="G212" s="36" t="str">
        <f t="shared" si="14"/>
        <v>2022-11</v>
      </c>
    </row>
    <row r="213" spans="1:7" x14ac:dyDescent="0.25">
      <c r="A213" s="37">
        <v>44868</v>
      </c>
      <c r="B213" s="38">
        <v>38640.666379928611</v>
      </c>
      <c r="C213" s="39">
        <f t="shared" si="15"/>
        <v>-1.8005329897660682E-2</v>
      </c>
      <c r="D213" s="38">
        <f>MAX($B$2:B213)</f>
        <v>65018.849296569817</v>
      </c>
      <c r="E213" s="40">
        <f t="shared" si="12"/>
        <v>-0.40570054994856442</v>
      </c>
      <c r="F213" s="41">
        <f t="shared" si="13"/>
        <v>59.429945005143558</v>
      </c>
      <c r="G213" s="42" t="str">
        <f t="shared" si="14"/>
        <v>2022-11</v>
      </c>
    </row>
    <row r="214" spans="1:7" x14ac:dyDescent="0.25">
      <c r="A214" s="31">
        <v>44869</v>
      </c>
      <c r="B214" s="32">
        <v>38960.812149047852</v>
      </c>
      <c r="C214" s="33">
        <f t="shared" si="15"/>
        <v>8.2852031062676801E-3</v>
      </c>
      <c r="D214" s="32">
        <f>MAX($B$2:B214)</f>
        <v>65018.849296569817</v>
      </c>
      <c r="E214" s="34">
        <f t="shared" si="12"/>
        <v>-0.40077665829894504</v>
      </c>
      <c r="F214" s="35">
        <f t="shared" si="13"/>
        <v>59.922334170105493</v>
      </c>
      <c r="G214" s="36" t="str">
        <f t="shared" si="14"/>
        <v>2022-11</v>
      </c>
    </row>
    <row r="215" spans="1:7" x14ac:dyDescent="0.25">
      <c r="A215" s="37">
        <v>44872</v>
      </c>
      <c r="B215" s="38">
        <v>38846.695299148567</v>
      </c>
      <c r="C215" s="39">
        <f t="shared" si="15"/>
        <v>-2.9290161987055585E-3</v>
      </c>
      <c r="D215" s="38">
        <f>MAX($B$2:B215)</f>
        <v>65018.849296569817</v>
      </c>
      <c r="E215" s="40">
        <f t="shared" si="12"/>
        <v>-0.40253179317342991</v>
      </c>
      <c r="F215" s="41">
        <f t="shared" si="13"/>
        <v>59.74682068265701</v>
      </c>
      <c r="G215" s="42" t="str">
        <f t="shared" si="14"/>
        <v>2022-11</v>
      </c>
    </row>
    <row r="216" spans="1:7" x14ac:dyDescent="0.25">
      <c r="A216" s="31">
        <v>44873</v>
      </c>
      <c r="B216" s="32">
        <v>38643.060579299941</v>
      </c>
      <c r="C216" s="33">
        <f t="shared" si="15"/>
        <v>-5.2420088319092839E-3</v>
      </c>
      <c r="D216" s="32">
        <f>MAX($B$2:B216)</f>
        <v>65018.849296569817</v>
      </c>
      <c r="E216" s="34">
        <f t="shared" si="12"/>
        <v>-0.40566372679039975</v>
      </c>
      <c r="F216" s="35">
        <f t="shared" si="13"/>
        <v>59.433627320960028</v>
      </c>
      <c r="G216" s="36" t="str">
        <f t="shared" si="14"/>
        <v>2022-11</v>
      </c>
    </row>
    <row r="217" spans="1:7" x14ac:dyDescent="0.25">
      <c r="A217" s="37">
        <v>44874</v>
      </c>
      <c r="B217" s="38">
        <v>37204.633741378777</v>
      </c>
      <c r="C217" s="39">
        <f t="shared" si="15"/>
        <v>-3.7223419065613328E-2</v>
      </c>
      <c r="D217" s="38">
        <f>MAX($B$2:B217)</f>
        <v>65018.849296569817</v>
      </c>
      <c r="E217" s="40">
        <f t="shared" si="12"/>
        <v>-0.42778695495397556</v>
      </c>
      <c r="F217" s="41">
        <f t="shared" si="13"/>
        <v>57.221304504602443</v>
      </c>
      <c r="G217" s="42" t="str">
        <f t="shared" si="14"/>
        <v>2022-11</v>
      </c>
    </row>
    <row r="218" spans="1:7" x14ac:dyDescent="0.25">
      <c r="A218" s="31">
        <v>44875</v>
      </c>
      <c r="B218" s="32">
        <v>40404.548263549797</v>
      </c>
      <c r="C218" s="33">
        <f t="shared" si="15"/>
        <v>8.6008494114325762E-2</v>
      </c>
      <c r="D218" s="32">
        <f>MAX($B$2:B218)</f>
        <v>65018.849296569817</v>
      </c>
      <c r="E218" s="34">
        <f t="shared" si="12"/>
        <v>-0.37857177263699415</v>
      </c>
      <c r="F218" s="35">
        <f t="shared" si="13"/>
        <v>62.142822736300587</v>
      </c>
      <c r="G218" s="36" t="str">
        <f t="shared" si="14"/>
        <v>2022-11</v>
      </c>
    </row>
    <row r="219" spans="1:7" x14ac:dyDescent="0.25">
      <c r="A219" s="37">
        <v>44876</v>
      </c>
      <c r="B219" s="38">
        <v>41546.943664550781</v>
      </c>
      <c r="C219" s="39">
        <f t="shared" si="15"/>
        <v>2.8273930784955104E-2</v>
      </c>
      <c r="D219" s="38">
        <f>MAX($B$2:B219)</f>
        <v>65018.849296569817</v>
      </c>
      <c r="E219" s="40">
        <f t="shared" si="12"/>
        <v>-0.36100155394871525</v>
      </c>
      <c r="F219" s="41">
        <f t="shared" si="13"/>
        <v>63.899844605128479</v>
      </c>
      <c r="G219" s="42" t="str">
        <f t="shared" si="14"/>
        <v>2022-11</v>
      </c>
    </row>
    <row r="220" spans="1:7" x14ac:dyDescent="0.25">
      <c r="A220" s="31">
        <v>44879</v>
      </c>
      <c r="B220" s="32">
        <v>40771.017227172837</v>
      </c>
      <c r="C220" s="33">
        <f t="shared" si="15"/>
        <v>-1.8675896923796786E-2</v>
      </c>
      <c r="D220" s="32">
        <f>MAX($B$2:B220)</f>
        <v>65018.849296569817</v>
      </c>
      <c r="E220" s="34">
        <f t="shared" si="12"/>
        <v>-0.37293542306163541</v>
      </c>
      <c r="F220" s="35">
        <f t="shared" si="13"/>
        <v>62.706457693836462</v>
      </c>
      <c r="G220" s="36" t="str">
        <f t="shared" si="14"/>
        <v>2022-11</v>
      </c>
    </row>
    <row r="221" spans="1:7" x14ac:dyDescent="0.25">
      <c r="A221" s="37">
        <v>44880</v>
      </c>
      <c r="B221" s="38">
        <v>41671.217994689912</v>
      </c>
      <c r="C221" s="39">
        <f t="shared" si="15"/>
        <v>2.2079428690759073E-2</v>
      </c>
      <c r="D221" s="38">
        <f>MAX($B$2:B221)</f>
        <v>65018.849296569817</v>
      </c>
      <c r="E221" s="40">
        <f t="shared" si="12"/>
        <v>-0.35909019545062371</v>
      </c>
      <c r="F221" s="41">
        <f t="shared" si="13"/>
        <v>64.090980454937636</v>
      </c>
      <c r="G221" s="42" t="str">
        <f t="shared" si="14"/>
        <v>2022-11</v>
      </c>
    </row>
    <row r="222" spans="1:7" x14ac:dyDescent="0.25">
      <c r="A222" s="31">
        <v>44881</v>
      </c>
      <c r="B222" s="32">
        <v>40913.828763961792</v>
      </c>
      <c r="C222" s="33">
        <f t="shared" si="15"/>
        <v>-1.817535620928179E-2</v>
      </c>
      <c r="D222" s="32">
        <f>MAX($B$2:B222)</f>
        <v>65018.849296569817</v>
      </c>
      <c r="E222" s="34">
        <f t="shared" si="12"/>
        <v>-0.37073895944632973</v>
      </c>
      <c r="F222" s="35">
        <f t="shared" si="13"/>
        <v>62.926104055367027</v>
      </c>
      <c r="G222" s="36" t="str">
        <f t="shared" si="14"/>
        <v>2022-11</v>
      </c>
    </row>
    <row r="223" spans="1:7" x14ac:dyDescent="0.25">
      <c r="A223" s="37">
        <v>44882</v>
      </c>
      <c r="B223" s="38">
        <v>40872.581176757762</v>
      </c>
      <c r="C223" s="39">
        <f t="shared" si="15"/>
        <v>-1.0081575948805988E-3</v>
      </c>
      <c r="D223" s="38">
        <f>MAX($B$2:B223)</f>
        <v>65018.849296569817</v>
      </c>
      <c r="E223" s="40">
        <f t="shared" si="12"/>
        <v>-0.37137335374352642</v>
      </c>
      <c r="F223" s="41">
        <f t="shared" si="13"/>
        <v>62.862664625647355</v>
      </c>
      <c r="G223" s="42" t="str">
        <f t="shared" si="14"/>
        <v>2022-11</v>
      </c>
    </row>
    <row r="224" spans="1:7" x14ac:dyDescent="0.25">
      <c r="A224" s="31">
        <v>44883</v>
      </c>
      <c r="B224" s="32">
        <v>40699.618587493911</v>
      </c>
      <c r="C224" s="33">
        <f t="shared" si="15"/>
        <v>-4.2317510733138608E-3</v>
      </c>
      <c r="D224" s="32">
        <f>MAX($B$2:B224)</f>
        <v>65018.849296569817</v>
      </c>
      <c r="E224" s="34">
        <f t="shared" si="12"/>
        <v>-0.37403354522853594</v>
      </c>
      <c r="F224" s="35">
        <f t="shared" si="13"/>
        <v>62.59664547714641</v>
      </c>
      <c r="G224" s="36" t="str">
        <f t="shared" si="14"/>
        <v>2022-11</v>
      </c>
    </row>
    <row r="225" spans="1:7" x14ac:dyDescent="0.25">
      <c r="A225" s="37">
        <v>44886</v>
      </c>
      <c r="B225" s="38">
        <v>39660.966415405273</v>
      </c>
      <c r="C225" s="39">
        <f t="shared" si="15"/>
        <v>-2.5519948543394788E-2</v>
      </c>
      <c r="D225" s="38">
        <f>MAX($B$2:B225)</f>
        <v>65018.849296569817</v>
      </c>
      <c r="E225" s="40">
        <f t="shared" si="12"/>
        <v>-0.39000817694419487</v>
      </c>
      <c r="F225" s="41">
        <f t="shared" si="13"/>
        <v>60.999182305580511</v>
      </c>
      <c r="G225" s="42" t="str">
        <f t="shared" si="14"/>
        <v>2022-11</v>
      </c>
    </row>
    <row r="226" spans="1:7" x14ac:dyDescent="0.25">
      <c r="A226" s="31">
        <v>44887</v>
      </c>
      <c r="B226" s="32">
        <v>40317.294502258257</v>
      </c>
      <c r="C226" s="33">
        <f t="shared" si="15"/>
        <v>1.6548464300608856E-2</v>
      </c>
      <c r="D226" s="32">
        <f>MAX($B$2:B226)</f>
        <v>65018.849296569817</v>
      </c>
      <c r="E226" s="34">
        <f t="shared" si="12"/>
        <v>-0.37991374903669251</v>
      </c>
      <c r="F226" s="35">
        <f t="shared" si="13"/>
        <v>62.008625096330746</v>
      </c>
      <c r="G226" s="36" t="str">
        <f t="shared" si="14"/>
        <v>2022-11</v>
      </c>
    </row>
    <row r="227" spans="1:7" x14ac:dyDescent="0.25">
      <c r="A227" s="37">
        <v>44888</v>
      </c>
      <c r="B227" s="38">
        <v>41180.027370452881</v>
      </c>
      <c r="C227" s="39">
        <f t="shared" si="15"/>
        <v>2.1398580406884804E-2</v>
      </c>
      <c r="D227" s="38">
        <f>MAX($B$2:B227)</f>
        <v>65018.849296569817</v>
      </c>
      <c r="E227" s="40">
        <f t="shared" si="12"/>
        <v>-0.36664478353625052</v>
      </c>
      <c r="F227" s="41">
        <f t="shared" si="13"/>
        <v>63.33552164637495</v>
      </c>
      <c r="G227" s="42" t="str">
        <f t="shared" si="14"/>
        <v>2022-11</v>
      </c>
    </row>
    <row r="228" spans="1:7" x14ac:dyDescent="0.25">
      <c r="A228" s="31">
        <v>44890</v>
      </c>
      <c r="B228" s="32">
        <v>40862.236785888701</v>
      </c>
      <c r="C228" s="33">
        <f t="shared" si="15"/>
        <v>-7.7171047436505047E-3</v>
      </c>
      <c r="D228" s="32">
        <f>MAX($B$2:B228)</f>
        <v>65018.849296569817</v>
      </c>
      <c r="E228" s="34">
        <f t="shared" si="12"/>
        <v>-0.37153245208163876</v>
      </c>
      <c r="F228" s="35">
        <f t="shared" si="13"/>
        <v>62.846754791836126</v>
      </c>
      <c r="G228" s="36" t="str">
        <f t="shared" si="14"/>
        <v>2022-11</v>
      </c>
    </row>
    <row r="229" spans="1:7" x14ac:dyDescent="0.25">
      <c r="A229" s="37">
        <v>44893</v>
      </c>
      <c r="B229" s="38">
        <v>40123.969526290908</v>
      </c>
      <c r="C229" s="39">
        <f t="shared" si="15"/>
        <v>-1.8067225821880251E-2</v>
      </c>
      <c r="D229" s="38">
        <f>MAX($B$2:B229)</f>
        <v>65018.849296569817</v>
      </c>
      <c r="E229" s="40">
        <f t="shared" si="12"/>
        <v>-0.38288711719160307</v>
      </c>
      <c r="F229" s="41">
        <f t="shared" si="13"/>
        <v>61.711288280839696</v>
      </c>
      <c r="G229" s="42" t="str">
        <f t="shared" si="14"/>
        <v>2022-11</v>
      </c>
    </row>
    <row r="230" spans="1:7" x14ac:dyDescent="0.25">
      <c r="A230" s="31">
        <v>44894</v>
      </c>
      <c r="B230" s="32">
        <v>39689.386901855469</v>
      </c>
      <c r="C230" s="33">
        <f t="shared" si="15"/>
        <v>-1.0830997769317952E-2</v>
      </c>
      <c r="D230" s="32">
        <f>MAX($B$2:B230)</f>
        <v>65018.849296569817</v>
      </c>
      <c r="E230" s="34">
        <f t="shared" si="12"/>
        <v>-0.38957106544871822</v>
      </c>
      <c r="F230" s="35">
        <f t="shared" si="13"/>
        <v>61.04289345512818</v>
      </c>
      <c r="G230" s="36" t="str">
        <f t="shared" si="14"/>
        <v>2022-11</v>
      </c>
    </row>
    <row r="231" spans="1:7" x14ac:dyDescent="0.25">
      <c r="A231" s="37">
        <v>44895</v>
      </c>
      <c r="B231" s="38">
        <v>42005.153465271003</v>
      </c>
      <c r="C231" s="39">
        <f t="shared" si="15"/>
        <v>5.8347249584429051E-2</v>
      </c>
      <c r="D231" s="38">
        <f>MAX($B$2:B231)</f>
        <v>65018.849296569817</v>
      </c>
      <c r="E231" s="40">
        <f t="shared" si="12"/>
        <v>-0.35395421605089739</v>
      </c>
      <c r="F231" s="41">
        <f t="shared" si="13"/>
        <v>64.604578394910263</v>
      </c>
      <c r="G231" s="42" t="str">
        <f t="shared" si="14"/>
        <v>2022-11</v>
      </c>
    </row>
    <row r="232" spans="1:7" x14ac:dyDescent="0.25">
      <c r="A232" s="31">
        <v>44896</v>
      </c>
      <c r="B232" s="32">
        <v>41905.438499450669</v>
      </c>
      <c r="C232" s="33">
        <f t="shared" si="15"/>
        <v>-2.3738745747655665E-3</v>
      </c>
      <c r="D232" s="32">
        <f>MAX($B$2:B232)</f>
        <v>65018.849296569817</v>
      </c>
      <c r="E232" s="34">
        <f t="shared" si="12"/>
        <v>-0.35548784771154873</v>
      </c>
      <c r="F232" s="35">
        <f t="shared" si="13"/>
        <v>64.451215228845129</v>
      </c>
      <c r="G232" s="36" t="str">
        <f t="shared" si="14"/>
        <v>2022-12</v>
      </c>
    </row>
    <row r="233" spans="1:7" x14ac:dyDescent="0.25">
      <c r="A233" s="37">
        <v>44897</v>
      </c>
      <c r="B233" s="38">
        <v>41739.34705734258</v>
      </c>
      <c r="C233" s="39">
        <f t="shared" si="15"/>
        <v>-3.9634817831644131E-3</v>
      </c>
      <c r="D233" s="38">
        <f>MAX($B$2:B233)</f>
        <v>65018.849296569817</v>
      </c>
      <c r="E233" s="40">
        <f t="shared" si="12"/>
        <v>-0.35804235988617206</v>
      </c>
      <c r="F233" s="41">
        <f t="shared" si="13"/>
        <v>64.195764011382792</v>
      </c>
      <c r="G233" s="42" t="str">
        <f t="shared" si="14"/>
        <v>2022-12</v>
      </c>
    </row>
    <row r="234" spans="1:7" x14ac:dyDescent="0.25">
      <c r="A234" s="31">
        <v>44900</v>
      </c>
      <c r="B234" s="32">
        <v>40739.107170104951</v>
      </c>
      <c r="C234" s="33">
        <f t="shared" si="15"/>
        <v>-2.3963956260826813E-2</v>
      </c>
      <c r="D234" s="32">
        <f>MAX($B$2:B234)</f>
        <v>65018.849296569817</v>
      </c>
      <c r="E234" s="34">
        <f t="shared" si="12"/>
        <v>-0.37342620469516341</v>
      </c>
      <c r="F234" s="35">
        <f t="shared" si="13"/>
        <v>62.657379530483659</v>
      </c>
      <c r="G234" s="36" t="str">
        <f t="shared" si="14"/>
        <v>2022-12</v>
      </c>
    </row>
    <row r="235" spans="1:7" x14ac:dyDescent="0.25">
      <c r="A235" s="37">
        <v>44901</v>
      </c>
      <c r="B235" s="38">
        <v>39859.570446014397</v>
      </c>
      <c r="C235" s="39">
        <f t="shared" si="15"/>
        <v>-2.1589494350430227E-2</v>
      </c>
      <c r="D235" s="38">
        <f>MAX($B$2:B235)</f>
        <v>65018.849296569817</v>
      </c>
      <c r="E235" s="40">
        <f t="shared" si="12"/>
        <v>-0.3869536161090249</v>
      </c>
      <c r="F235" s="41">
        <f t="shared" si="13"/>
        <v>61.304638389097512</v>
      </c>
      <c r="G235" s="42" t="str">
        <f t="shared" si="14"/>
        <v>2022-12</v>
      </c>
    </row>
    <row r="236" spans="1:7" x14ac:dyDescent="0.25">
      <c r="A236" s="31">
        <v>44902</v>
      </c>
      <c r="B236" s="32">
        <v>39374.726028442397</v>
      </c>
      <c r="C236" s="33">
        <f t="shared" si="15"/>
        <v>-1.2163814415127039E-2</v>
      </c>
      <c r="D236" s="32">
        <f>MAX($B$2:B236)</f>
        <v>65018.849296569817</v>
      </c>
      <c r="E236" s="34">
        <f t="shared" si="12"/>
        <v>-0.39441059855053939</v>
      </c>
      <c r="F236" s="35">
        <f t="shared" si="13"/>
        <v>60.558940144946064</v>
      </c>
      <c r="G236" s="36" t="str">
        <f t="shared" si="14"/>
        <v>2022-12</v>
      </c>
    </row>
    <row r="237" spans="1:7" x14ac:dyDescent="0.25">
      <c r="A237" s="37">
        <v>44903</v>
      </c>
      <c r="B237" s="38">
        <v>39788.890323638887</v>
      </c>
      <c r="C237" s="39">
        <f t="shared" si="15"/>
        <v>1.051853147872861E-2</v>
      </c>
      <c r="D237" s="38">
        <f>MAX($B$2:B237)</f>
        <v>65018.849296569817</v>
      </c>
      <c r="E237" s="40">
        <f t="shared" si="12"/>
        <v>-0.38804068736820874</v>
      </c>
      <c r="F237" s="41">
        <f t="shared" si="13"/>
        <v>61.195931263179126</v>
      </c>
      <c r="G237" s="42" t="str">
        <f t="shared" si="14"/>
        <v>2022-12</v>
      </c>
    </row>
    <row r="238" spans="1:7" x14ac:dyDescent="0.25">
      <c r="A238" s="31">
        <v>44904</v>
      </c>
      <c r="B238" s="32">
        <v>39823.222827911428</v>
      </c>
      <c r="C238" s="33">
        <f t="shared" si="15"/>
        <v>8.628665939984792E-4</v>
      </c>
      <c r="D238" s="32">
        <f>MAX($B$2:B238)</f>
        <v>65018.849296569817</v>
      </c>
      <c r="E238" s="34">
        <f t="shared" si="12"/>
        <v>-0.3875126481204525</v>
      </c>
      <c r="F238" s="35">
        <f t="shared" si="13"/>
        <v>61.24873518795475</v>
      </c>
      <c r="G238" s="36" t="str">
        <f t="shared" si="14"/>
        <v>2022-12</v>
      </c>
    </row>
    <row r="239" spans="1:7" x14ac:dyDescent="0.25">
      <c r="A239" s="37">
        <v>44907</v>
      </c>
      <c r="B239" s="38">
        <v>39845.157623291008</v>
      </c>
      <c r="C239" s="39">
        <f t="shared" si="15"/>
        <v>5.5080412437646942E-4</v>
      </c>
      <c r="D239" s="38">
        <f>MAX($B$2:B239)</f>
        <v>65018.849296569817</v>
      </c>
      <c r="E239" s="40">
        <f t="shared" si="12"/>
        <v>-0.3871752875609088</v>
      </c>
      <c r="F239" s="41">
        <f t="shared" si="13"/>
        <v>61.282471243909121</v>
      </c>
      <c r="G239" s="42" t="str">
        <f t="shared" si="14"/>
        <v>2022-12</v>
      </c>
    </row>
    <row r="240" spans="1:7" x14ac:dyDescent="0.25">
      <c r="A240" s="31">
        <v>44908</v>
      </c>
      <c r="B240" s="32">
        <v>39912.246551513672</v>
      </c>
      <c r="C240" s="33">
        <f t="shared" si="15"/>
        <v>1.6837410672820852E-3</v>
      </c>
      <c r="D240" s="32">
        <f>MAX($B$2:B240)</f>
        <v>65018.849296569817</v>
      </c>
      <c r="E240" s="34">
        <f t="shared" si="12"/>
        <v>-0.38614344942552969</v>
      </c>
      <c r="F240" s="35">
        <f t="shared" si="13"/>
        <v>61.385655057447032</v>
      </c>
      <c r="G240" s="36" t="str">
        <f t="shared" si="14"/>
        <v>2022-12</v>
      </c>
    </row>
    <row r="241" spans="1:7" x14ac:dyDescent="0.25">
      <c r="A241" s="37">
        <v>44909</v>
      </c>
      <c r="B241" s="38">
        <v>39465.441532135061</v>
      </c>
      <c r="C241" s="39">
        <f t="shared" si="15"/>
        <v>-1.1194684789339826E-2</v>
      </c>
      <c r="D241" s="38">
        <f>MAX($B$2:B241)</f>
        <v>65018.849296569817</v>
      </c>
      <c r="E241" s="40">
        <f t="shared" si="12"/>
        <v>-0.39301538001508229</v>
      </c>
      <c r="F241" s="41">
        <f t="shared" si="13"/>
        <v>60.698461998491773</v>
      </c>
      <c r="G241" s="42" t="str">
        <f t="shared" si="14"/>
        <v>2022-12</v>
      </c>
    </row>
    <row r="242" spans="1:7" x14ac:dyDescent="0.25">
      <c r="A242" s="31">
        <v>44910</v>
      </c>
      <c r="B242" s="32">
        <v>38277.256526947</v>
      </c>
      <c r="C242" s="33">
        <f t="shared" si="15"/>
        <v>-3.0106973571309759E-2</v>
      </c>
      <c r="D242" s="32">
        <f>MAX($B$2:B242)</f>
        <v>65018.849296569817</v>
      </c>
      <c r="E242" s="34">
        <f t="shared" si="12"/>
        <v>-0.41128984992715978</v>
      </c>
      <c r="F242" s="35">
        <f t="shared" si="13"/>
        <v>58.871015007284022</v>
      </c>
      <c r="G242" s="36" t="str">
        <f t="shared" si="14"/>
        <v>2022-12</v>
      </c>
    </row>
    <row r="243" spans="1:7" x14ac:dyDescent="0.25">
      <c r="A243" s="37">
        <v>44911</v>
      </c>
      <c r="B243" s="38">
        <v>37527.480850219697</v>
      </c>
      <c r="C243" s="39">
        <f t="shared" si="15"/>
        <v>-1.9588020269934003E-2</v>
      </c>
      <c r="D243" s="38">
        <f>MAX($B$2:B243)</f>
        <v>65018.849296569817</v>
      </c>
      <c r="E243" s="40">
        <f t="shared" si="12"/>
        <v>-0.4228215162799025</v>
      </c>
      <c r="F243" s="41">
        <f t="shared" si="13"/>
        <v>57.717848372009747</v>
      </c>
      <c r="G243" s="42" t="str">
        <f t="shared" si="14"/>
        <v>2022-12</v>
      </c>
    </row>
    <row r="244" spans="1:7" x14ac:dyDescent="0.25">
      <c r="A244" s="31">
        <v>44914</v>
      </c>
      <c r="B244" s="32">
        <v>36995.954017639197</v>
      </c>
      <c r="C244" s="33">
        <f t="shared" si="15"/>
        <v>-1.4163669410742985E-2</v>
      </c>
      <c r="D244" s="32">
        <f>MAX($B$2:B244)</f>
        <v>65018.849296569817</v>
      </c>
      <c r="E244" s="34">
        <f t="shared" si="12"/>
        <v>-0.43099648151430781</v>
      </c>
      <c r="F244" s="35">
        <f t="shared" si="13"/>
        <v>56.900351848569223</v>
      </c>
      <c r="G244" s="36" t="str">
        <f t="shared" si="14"/>
        <v>2022-12</v>
      </c>
    </row>
    <row r="245" spans="1:7" x14ac:dyDescent="0.25">
      <c r="A245" s="37">
        <v>44915</v>
      </c>
      <c r="B245" s="38">
        <v>36447.01406478884</v>
      </c>
      <c r="C245" s="39">
        <f t="shared" si="15"/>
        <v>-1.4837837472406523E-2</v>
      </c>
      <c r="D245" s="38">
        <f>MAX($B$2:B245)</f>
        <v>65018.849296569817</v>
      </c>
      <c r="E245" s="40">
        <f t="shared" si="12"/>
        <v>-0.43943926324282601</v>
      </c>
      <c r="F245" s="41">
        <f t="shared" si="13"/>
        <v>56.0560736757174</v>
      </c>
      <c r="G245" s="42" t="str">
        <f t="shared" si="14"/>
        <v>2022-12</v>
      </c>
    </row>
    <row r="246" spans="1:7" x14ac:dyDescent="0.25">
      <c r="A246" s="31">
        <v>44916</v>
      </c>
      <c r="B246" s="32">
        <v>36917.408542633057</v>
      </c>
      <c r="C246" s="33">
        <f t="shared" si="15"/>
        <v>1.2906255557946E-2</v>
      </c>
      <c r="D246" s="32">
        <f>MAX($B$2:B246)</f>
        <v>65018.849296569817</v>
      </c>
      <c r="E246" s="34">
        <f t="shared" si="12"/>
        <v>-0.43220452311848745</v>
      </c>
      <c r="F246" s="35">
        <f t="shared" si="13"/>
        <v>56.779547688151254</v>
      </c>
      <c r="G246" s="36" t="str">
        <f t="shared" si="14"/>
        <v>2022-12</v>
      </c>
    </row>
    <row r="247" spans="1:7" x14ac:dyDescent="0.25">
      <c r="A247" s="37">
        <v>44917</v>
      </c>
      <c r="B247" s="38">
        <v>35543.592071533189</v>
      </c>
      <c r="C247" s="39">
        <f t="shared" si="15"/>
        <v>-3.7213242351866405E-2</v>
      </c>
      <c r="D247" s="38">
        <f>MAX($B$2:B247)</f>
        <v>65018.849296569817</v>
      </c>
      <c r="E247" s="40">
        <f t="shared" si="12"/>
        <v>-0.4533340338059727</v>
      </c>
      <c r="F247" s="41">
        <f t="shared" si="13"/>
        <v>54.666596619402732</v>
      </c>
      <c r="G247" s="42" t="str">
        <f t="shared" si="14"/>
        <v>2022-12</v>
      </c>
    </row>
    <row r="248" spans="1:7" x14ac:dyDescent="0.25">
      <c r="A248" s="31">
        <v>44918</v>
      </c>
      <c r="B248" s="32">
        <v>35538.641223907478</v>
      </c>
      <c r="C248" s="33">
        <f t="shared" si="15"/>
        <v>-1.3928945661279002E-4</v>
      </c>
      <c r="D248" s="32">
        <f>MAX($B$2:B248)</f>
        <v>65018.849296569817</v>
      </c>
      <c r="E248" s="34">
        <f t="shared" si="12"/>
        <v>-0.45341017861135258</v>
      </c>
      <c r="F248" s="35">
        <f t="shared" si="13"/>
        <v>54.658982138864744</v>
      </c>
      <c r="G248" s="36" t="str">
        <f t="shared" si="14"/>
        <v>2022-12</v>
      </c>
    </row>
    <row r="249" spans="1:7" x14ac:dyDescent="0.25">
      <c r="A249" s="37">
        <v>44922</v>
      </c>
      <c r="B249" s="38">
        <v>34488.474721908562</v>
      </c>
      <c r="C249" s="39">
        <f t="shared" si="15"/>
        <v>-2.9549990259403858E-2</v>
      </c>
      <c r="D249" s="38">
        <f>MAX($B$2:B249)</f>
        <v>65018.849296569817</v>
      </c>
      <c r="E249" s="40">
        <f t="shared" si="12"/>
        <v>-0.46956190250927643</v>
      </c>
      <c r="F249" s="41">
        <f t="shared" si="13"/>
        <v>53.043809749072359</v>
      </c>
      <c r="G249" s="42" t="str">
        <f t="shared" si="14"/>
        <v>2022-12</v>
      </c>
    </row>
    <row r="250" spans="1:7" x14ac:dyDescent="0.25">
      <c r="A250" s="31">
        <v>44923</v>
      </c>
      <c r="B250" s="32">
        <v>34131.452159881592</v>
      </c>
      <c r="C250" s="33">
        <f t="shared" si="15"/>
        <v>-1.0351938289696938E-2</v>
      </c>
      <c r="D250" s="32">
        <f>MAX($B$2:B250)</f>
        <v>65018.849296569817</v>
      </c>
      <c r="E250" s="34">
        <f t="shared" si="12"/>
        <v>-0.47505296496100469</v>
      </c>
      <c r="F250" s="35">
        <f t="shared" si="13"/>
        <v>52.49470350389953</v>
      </c>
      <c r="G250" s="36" t="str">
        <f t="shared" si="14"/>
        <v>2022-12</v>
      </c>
    </row>
    <row r="251" spans="1:7" x14ac:dyDescent="0.25">
      <c r="A251" s="37">
        <v>44924</v>
      </c>
      <c r="B251" s="38">
        <v>35429.134712219238</v>
      </c>
      <c r="C251" s="39">
        <f t="shared" si="15"/>
        <v>3.8020138910554557E-2</v>
      </c>
      <c r="D251" s="38">
        <f>MAX($B$2:B251)</f>
        <v>65018.849296569817</v>
      </c>
      <c r="E251" s="40">
        <f t="shared" si="12"/>
        <v>-0.45509440576813831</v>
      </c>
      <c r="F251" s="41">
        <f t="shared" si="13"/>
        <v>54.49055942318617</v>
      </c>
      <c r="G251" s="42" t="str">
        <f t="shared" si="14"/>
        <v>2022-12</v>
      </c>
    </row>
    <row r="252" spans="1:7" x14ac:dyDescent="0.25">
      <c r="A252" s="31">
        <v>44925</v>
      </c>
      <c r="B252" s="32">
        <v>35356.921205520652</v>
      </c>
      <c r="C252" s="33">
        <f t="shared" si="15"/>
        <v>-2.0382520568215101E-3</v>
      </c>
      <c r="D252" s="32">
        <f>MAX($B$2:B252)</f>
        <v>65018.849296569817</v>
      </c>
      <c r="E252" s="34">
        <f t="shared" si="12"/>
        <v>-0.45620506071635492</v>
      </c>
      <c r="F252" s="35">
        <f t="shared" si="13"/>
        <v>54.379493928364511</v>
      </c>
      <c r="G252" s="36" t="str">
        <f t="shared" si="14"/>
        <v>2022-12</v>
      </c>
    </row>
    <row r="253" spans="1:7" x14ac:dyDescent="0.25">
      <c r="A253" s="37">
        <v>44929</v>
      </c>
      <c r="B253" s="38">
        <v>34439.362554550178</v>
      </c>
      <c r="C253" s="39">
        <f t="shared" si="15"/>
        <v>-2.5951316451931494E-2</v>
      </c>
      <c r="D253" s="38">
        <f>MAX($B$2:B253)</f>
        <v>65018.849296569817</v>
      </c>
      <c r="E253" s="40">
        <f t="shared" si="12"/>
        <v>-0.4703172552706637</v>
      </c>
      <c r="F253" s="41">
        <f t="shared" si="13"/>
        <v>52.968274472933629</v>
      </c>
      <c r="G253" s="42" t="str">
        <f t="shared" si="14"/>
        <v>2023-01</v>
      </c>
    </row>
    <row r="254" spans="1:7" x14ac:dyDescent="0.25">
      <c r="A254" s="31">
        <v>44930</v>
      </c>
      <c r="B254" s="32">
        <v>34615.274534225413</v>
      </c>
      <c r="C254" s="33">
        <f t="shared" si="15"/>
        <v>5.1078756000957348E-3</v>
      </c>
      <c r="D254" s="32">
        <f>MAX($B$2:B254)</f>
        <v>65018.849296569817</v>
      </c>
      <c r="E254" s="34">
        <f t="shared" si="12"/>
        <v>-0.46761170170306898</v>
      </c>
      <c r="F254" s="35">
        <f t="shared" si="13"/>
        <v>53.238829829693103</v>
      </c>
      <c r="G254" s="36" t="str">
        <f t="shared" si="14"/>
        <v>2023-01</v>
      </c>
    </row>
    <row r="255" spans="1:7" x14ac:dyDescent="0.25">
      <c r="A255" s="37">
        <v>44931</v>
      </c>
      <c r="B255" s="38">
        <v>33942.952899932883</v>
      </c>
      <c r="C255" s="39">
        <f t="shared" si="15"/>
        <v>-1.942268675719383E-2</v>
      </c>
      <c r="D255" s="38">
        <f>MAX($B$2:B255)</f>
        <v>65018.849296569817</v>
      </c>
      <c r="E255" s="40">
        <f t="shared" si="12"/>
        <v>-0.47795211285408579</v>
      </c>
      <c r="F255" s="41">
        <f t="shared" si="13"/>
        <v>52.204788714591423</v>
      </c>
      <c r="G255" s="42" t="str">
        <f t="shared" si="14"/>
        <v>2023-01</v>
      </c>
    </row>
    <row r="256" spans="1:7" x14ac:dyDescent="0.25">
      <c r="A256" s="31">
        <v>44932</v>
      </c>
      <c r="B256" s="32">
        <v>34811.210947036743</v>
      </c>
      <c r="C256" s="33">
        <f t="shared" si="15"/>
        <v>2.5579920806052758E-2</v>
      </c>
      <c r="D256" s="32">
        <f>MAX($B$2:B256)</f>
        <v>65018.849296569817</v>
      </c>
      <c r="E256" s="34">
        <f t="shared" si="12"/>
        <v>-0.46459816924392616</v>
      </c>
      <c r="F256" s="35">
        <f t="shared" si="13"/>
        <v>53.540183075607381</v>
      </c>
      <c r="G256" s="36" t="str">
        <f t="shared" si="14"/>
        <v>2023-01</v>
      </c>
    </row>
    <row r="257" spans="1:7" x14ac:dyDescent="0.25">
      <c r="A257" s="37">
        <v>44935</v>
      </c>
      <c r="B257" s="38">
        <v>35454.778356552153</v>
      </c>
      <c r="C257" s="39">
        <f t="shared" si="15"/>
        <v>1.8487360594682034E-2</v>
      </c>
      <c r="D257" s="38">
        <f>MAX($B$2:B257)</f>
        <v>65018.849296569817</v>
      </c>
      <c r="E257" s="40">
        <f t="shared" si="12"/>
        <v>-0.45470000253568577</v>
      </c>
      <c r="F257" s="41">
        <f t="shared" si="13"/>
        <v>54.529999746431422</v>
      </c>
      <c r="G257" s="42" t="str">
        <f t="shared" si="14"/>
        <v>2023-01</v>
      </c>
    </row>
    <row r="258" spans="1:7" x14ac:dyDescent="0.25">
      <c r="A258" s="31">
        <v>44936</v>
      </c>
      <c r="B258" s="32">
        <v>35715.309133529699</v>
      </c>
      <c r="C258" s="33">
        <f t="shared" si="15"/>
        <v>7.3482556951141031E-3</v>
      </c>
      <c r="D258" s="32">
        <f>MAX($B$2:B258)</f>
        <v>65018.849296569817</v>
      </c>
      <c r="E258" s="34">
        <f t="shared" ref="E258:E321" si="16">B258/D258-1</f>
        <v>-0.45069299872377278</v>
      </c>
      <c r="F258" s="35">
        <f t="shared" ref="F258:F321" si="17">B258/$B$2*100</f>
        <v>54.930700127622721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36676.001634597756</v>
      </c>
      <c r="C259" s="39">
        <f t="shared" ref="C259:C322" si="19">B259/B258-1</f>
        <v>2.6898619230097953E-2</v>
      </c>
      <c r="D259" s="38">
        <f>MAX($B$2:B259)</f>
        <v>65018.849296569817</v>
      </c>
      <c r="E259" s="40">
        <f t="shared" si="16"/>
        <v>-0.43591739885601666</v>
      </c>
      <c r="F259" s="41">
        <f t="shared" si="17"/>
        <v>56.408260114398331</v>
      </c>
      <c r="G259" s="42" t="str">
        <f t="shared" si="18"/>
        <v>2023-01</v>
      </c>
    </row>
    <row r="260" spans="1:7" x14ac:dyDescent="0.25">
      <c r="A260" s="31">
        <v>44938</v>
      </c>
      <c r="B260" s="32">
        <v>37074.320049285932</v>
      </c>
      <c r="C260" s="33">
        <f t="shared" si="19"/>
        <v>1.0860464525457747E-2</v>
      </c>
      <c r="D260" s="32">
        <f>MAX($B$2:B260)</f>
        <v>65018.849296569817</v>
      </c>
      <c r="E260" s="34">
        <f t="shared" si="16"/>
        <v>-0.42979119977686453</v>
      </c>
      <c r="F260" s="35">
        <f t="shared" si="17"/>
        <v>57.020880022313548</v>
      </c>
      <c r="G260" s="36" t="str">
        <f t="shared" si="18"/>
        <v>2023-01</v>
      </c>
    </row>
    <row r="261" spans="1:7" x14ac:dyDescent="0.25">
      <c r="A261" s="37">
        <v>44939</v>
      </c>
      <c r="B261" s="38">
        <v>37267.533054351799</v>
      </c>
      <c r="C261" s="39">
        <f t="shared" si="19"/>
        <v>5.2115050204295521E-3</v>
      </c>
      <c r="D261" s="38">
        <f>MAX($B$2:B261)</f>
        <v>65018.849296569817</v>
      </c>
      <c r="E261" s="40">
        <f t="shared" si="16"/>
        <v>-0.42681955375180847</v>
      </c>
      <c r="F261" s="41">
        <f t="shared" si="17"/>
        <v>57.318044624819152</v>
      </c>
      <c r="G261" s="42" t="str">
        <f t="shared" si="18"/>
        <v>2023-01</v>
      </c>
    </row>
    <row r="262" spans="1:7" x14ac:dyDescent="0.25">
      <c r="A262" s="31">
        <v>44943</v>
      </c>
      <c r="B262" s="32">
        <v>37866.136207580603</v>
      </c>
      <c r="C262" s="33">
        <f t="shared" si="19"/>
        <v>1.6062322997226319E-2</v>
      </c>
      <c r="D262" s="32">
        <f>MAX($B$2:B262)</f>
        <v>65018.849296569817</v>
      </c>
      <c r="E262" s="34">
        <f t="shared" si="16"/>
        <v>-0.41761294428847584</v>
      </c>
      <c r="F262" s="35">
        <f t="shared" si="17"/>
        <v>58.238705571152416</v>
      </c>
      <c r="G262" s="36" t="str">
        <f t="shared" si="18"/>
        <v>2023-01</v>
      </c>
    </row>
    <row r="263" spans="1:7" x14ac:dyDescent="0.25">
      <c r="A263" s="37">
        <v>44944</v>
      </c>
      <c r="B263" s="38">
        <v>37479.598884582541</v>
      </c>
      <c r="C263" s="39">
        <f t="shared" si="19"/>
        <v>-1.0207994839480872E-2</v>
      </c>
      <c r="D263" s="38">
        <f>MAX($B$2:B263)</f>
        <v>65018.849296569817</v>
      </c>
      <c r="E263" s="40">
        <f t="shared" si="16"/>
        <v>-0.42355794834775951</v>
      </c>
      <c r="F263" s="41">
        <f t="shared" si="17"/>
        <v>57.644205165224051</v>
      </c>
      <c r="G263" s="42" t="str">
        <f t="shared" si="18"/>
        <v>2023-01</v>
      </c>
    </row>
    <row r="264" spans="1:7" x14ac:dyDescent="0.25">
      <c r="A264" s="31">
        <v>44945</v>
      </c>
      <c r="B264" s="32">
        <v>37160.221805572488</v>
      </c>
      <c r="C264" s="33">
        <f t="shared" si="19"/>
        <v>-8.5213579791386662E-3</v>
      </c>
      <c r="D264" s="32">
        <f>MAX($B$2:B264)</f>
        <v>65018.849296569817</v>
      </c>
      <c r="E264" s="34">
        <f t="shared" si="16"/>
        <v>-0.42847001742411739</v>
      </c>
      <c r="F264" s="35">
        <f t="shared" si="17"/>
        <v>57.152998257588258</v>
      </c>
      <c r="G264" s="36" t="str">
        <f t="shared" si="18"/>
        <v>2023-01</v>
      </c>
    </row>
    <row r="265" spans="1:7" x14ac:dyDescent="0.25">
      <c r="A265" s="37">
        <v>44946</v>
      </c>
      <c r="B265" s="38">
        <v>38508.09354782103</v>
      </c>
      <c r="C265" s="39">
        <f t="shared" si="19"/>
        <v>3.6271897118935303E-2</v>
      </c>
      <c r="D265" s="38">
        <f>MAX($B$2:B265)</f>
        <v>65018.849296569817</v>
      </c>
      <c r="E265" s="40">
        <f t="shared" si="16"/>
        <v>-0.40773954069573803</v>
      </c>
      <c r="F265" s="41">
        <f t="shared" si="17"/>
        <v>59.226045930426196</v>
      </c>
      <c r="G265" s="42" t="str">
        <f t="shared" si="18"/>
        <v>2023-01</v>
      </c>
    </row>
    <row r="266" spans="1:7" x14ac:dyDescent="0.25">
      <c r="A266" s="31">
        <v>44949</v>
      </c>
      <c r="B266" s="32">
        <v>39782.344646453887</v>
      </c>
      <c r="C266" s="33">
        <f t="shared" si="19"/>
        <v>3.3090474786824586E-2</v>
      </c>
      <c r="D266" s="32">
        <f>MAX($B$2:B266)</f>
        <v>65018.849296569817</v>
      </c>
      <c r="E266" s="34">
        <f t="shared" si="16"/>
        <v>-0.38814136089989715</v>
      </c>
      <c r="F266" s="35">
        <f t="shared" si="17"/>
        <v>61.185863910010283</v>
      </c>
      <c r="G266" s="36" t="str">
        <f t="shared" si="18"/>
        <v>2023-01</v>
      </c>
    </row>
    <row r="267" spans="1:7" x14ac:dyDescent="0.25">
      <c r="A267" s="37">
        <v>44950</v>
      </c>
      <c r="B267" s="38">
        <v>39666.994915008523</v>
      </c>
      <c r="C267" s="39">
        <f t="shared" si="19"/>
        <v>-2.8995206911628379E-3</v>
      </c>
      <c r="D267" s="38">
        <f>MAX($B$2:B267)</f>
        <v>65018.849296569817</v>
      </c>
      <c r="E267" s="40">
        <f t="shared" si="16"/>
        <v>-0.38991545768403468</v>
      </c>
      <c r="F267" s="41">
        <f t="shared" si="17"/>
        <v>61.008454231596531</v>
      </c>
      <c r="G267" s="42" t="str">
        <f t="shared" si="18"/>
        <v>2023-01</v>
      </c>
    </row>
    <row r="268" spans="1:7" x14ac:dyDescent="0.25">
      <c r="A268" s="31">
        <v>44951</v>
      </c>
      <c r="B268" s="32">
        <v>39435.961513519258</v>
      </c>
      <c r="C268" s="33">
        <f t="shared" si="19"/>
        <v>-5.8243232688607316E-3</v>
      </c>
      <c r="D268" s="32">
        <f>MAX($B$2:B268)</f>
        <v>65018.849296569817</v>
      </c>
      <c r="E268" s="34">
        <f t="shared" si="16"/>
        <v>-0.39346878727981782</v>
      </c>
      <c r="F268" s="35">
        <f t="shared" si="17"/>
        <v>60.653121272018218</v>
      </c>
      <c r="G268" s="36" t="str">
        <f t="shared" si="18"/>
        <v>2023-01</v>
      </c>
    </row>
    <row r="269" spans="1:7" x14ac:dyDescent="0.25">
      <c r="A269" s="37">
        <v>44952</v>
      </c>
      <c r="B269" s="38">
        <v>40824.93515014647</v>
      </c>
      <c r="C269" s="39">
        <f t="shared" si="19"/>
        <v>3.5220990773891847E-2</v>
      </c>
      <c r="D269" s="38">
        <f>MAX($B$2:B269)</f>
        <v>65018.849296569817</v>
      </c>
      <c r="E269" s="40">
        <f t="shared" si="16"/>
        <v>-0.37210615703252281</v>
      </c>
      <c r="F269" s="41">
        <f t="shared" si="17"/>
        <v>62.78938429674772</v>
      </c>
      <c r="G269" s="42" t="str">
        <f t="shared" si="18"/>
        <v>2023-01</v>
      </c>
    </row>
    <row r="270" spans="1:7" x14ac:dyDescent="0.25">
      <c r="A270" s="31">
        <v>44953</v>
      </c>
      <c r="B270" s="32">
        <v>42017.936935424819</v>
      </c>
      <c r="C270" s="33">
        <f t="shared" si="19"/>
        <v>2.9222380412625482E-2</v>
      </c>
      <c r="D270" s="32">
        <f>MAX($B$2:B270)</f>
        <v>65018.849296569817</v>
      </c>
      <c r="E270" s="34">
        <f t="shared" si="16"/>
        <v>-0.35375760429458192</v>
      </c>
      <c r="F270" s="35">
        <f t="shared" si="17"/>
        <v>64.624239570541803</v>
      </c>
      <c r="G270" s="36" t="str">
        <f t="shared" si="18"/>
        <v>2023-01</v>
      </c>
    </row>
    <row r="271" spans="1:7" x14ac:dyDescent="0.25">
      <c r="A271" s="37">
        <v>44956</v>
      </c>
      <c r="B271" s="38">
        <v>40819.082679748557</v>
      </c>
      <c r="C271" s="39">
        <f t="shared" si="19"/>
        <v>-2.8531963802000071E-2</v>
      </c>
      <c r="D271" s="38">
        <f>MAX($B$2:B271)</f>
        <v>65018.849296569817</v>
      </c>
      <c r="E271" s="40">
        <f t="shared" si="16"/>
        <v>-0.37219616893616669</v>
      </c>
      <c r="F271" s="41">
        <f t="shared" si="17"/>
        <v>62.780383106383333</v>
      </c>
      <c r="G271" s="42" t="str">
        <f t="shared" si="18"/>
        <v>2023-01</v>
      </c>
    </row>
    <row r="272" spans="1:7" x14ac:dyDescent="0.25">
      <c r="A272" s="31">
        <v>44957</v>
      </c>
      <c r="B272" s="32">
        <v>41495.109844207742</v>
      </c>
      <c r="C272" s="33">
        <f t="shared" si="19"/>
        <v>1.6561547199946736E-2</v>
      </c>
      <c r="D272" s="32">
        <f>MAX($B$2:B272)</f>
        <v>65018.849296569817</v>
      </c>
      <c r="E272" s="34">
        <f t="shared" si="16"/>
        <v>-0.36179876615569562</v>
      </c>
      <c r="F272" s="35">
        <f t="shared" si="17"/>
        <v>63.820123384430438</v>
      </c>
      <c r="G272" s="36" t="str">
        <f t="shared" si="18"/>
        <v>2023-01</v>
      </c>
    </row>
    <row r="273" spans="1:7" x14ac:dyDescent="0.25">
      <c r="A273" s="37">
        <v>44958</v>
      </c>
      <c r="B273" s="38">
        <v>42534.164829254143</v>
      </c>
      <c r="C273" s="39">
        <f t="shared" si="19"/>
        <v>2.5040420159086363E-2</v>
      </c>
      <c r="D273" s="38">
        <f>MAX($B$2:B273)</f>
        <v>65018.849296569817</v>
      </c>
      <c r="E273" s="40">
        <f t="shared" si="16"/>
        <v>-0.3458179391141869</v>
      </c>
      <c r="F273" s="41">
        <f t="shared" si="17"/>
        <v>65.418206088581314</v>
      </c>
      <c r="G273" s="42" t="str">
        <f t="shared" si="18"/>
        <v>2023-02</v>
      </c>
    </row>
    <row r="274" spans="1:7" x14ac:dyDescent="0.25">
      <c r="A274" s="31">
        <v>44959</v>
      </c>
      <c r="B274" s="32">
        <v>44297.368545532227</v>
      </c>
      <c r="C274" s="33">
        <f t="shared" si="19"/>
        <v>4.1453822435591592E-2</v>
      </c>
      <c r="D274" s="32">
        <f>MAX($B$2:B274)</f>
        <v>65018.849296569817</v>
      </c>
      <c r="E274" s="34">
        <f t="shared" si="16"/>
        <v>-0.31869959212167709</v>
      </c>
      <c r="F274" s="35">
        <f t="shared" si="17"/>
        <v>68.130040787832286</v>
      </c>
      <c r="G274" s="36" t="str">
        <f t="shared" si="18"/>
        <v>2023-02</v>
      </c>
    </row>
    <row r="275" spans="1:7" x14ac:dyDescent="0.25">
      <c r="A275" s="37">
        <v>44960</v>
      </c>
      <c r="B275" s="38">
        <v>43763.811531066887</v>
      </c>
      <c r="C275" s="39">
        <f t="shared" si="19"/>
        <v>-1.2044891874715025E-2</v>
      </c>
      <c r="D275" s="38">
        <f>MAX($B$2:B275)</f>
        <v>65018.849296569817</v>
      </c>
      <c r="E275" s="40">
        <f t="shared" si="16"/>
        <v>-0.32690578186877073</v>
      </c>
      <c r="F275" s="41">
        <f t="shared" si="17"/>
        <v>67.309421813122924</v>
      </c>
      <c r="G275" s="42" t="str">
        <f t="shared" si="18"/>
        <v>2023-02</v>
      </c>
    </row>
    <row r="276" spans="1:7" x14ac:dyDescent="0.25">
      <c r="A276" s="31">
        <v>44963</v>
      </c>
      <c r="B276" s="32">
        <v>43397.208995819092</v>
      </c>
      <c r="C276" s="33">
        <f t="shared" si="19"/>
        <v>-8.3768420167780189E-3</v>
      </c>
      <c r="D276" s="32">
        <f>MAX($B$2:B276)</f>
        <v>65018.849296569817</v>
      </c>
      <c r="E276" s="34">
        <f t="shared" si="16"/>
        <v>-0.33254418579646272</v>
      </c>
      <c r="F276" s="35">
        <f t="shared" si="17"/>
        <v>66.74558142035373</v>
      </c>
      <c r="G276" s="36" t="str">
        <f t="shared" si="18"/>
        <v>2023-02</v>
      </c>
    </row>
    <row r="277" spans="1:7" x14ac:dyDescent="0.25">
      <c r="A277" s="37">
        <v>44964</v>
      </c>
      <c r="B277" s="38">
        <v>44520.583133697583</v>
      </c>
      <c r="C277" s="39">
        <f t="shared" si="19"/>
        <v>2.588586141534388E-2</v>
      </c>
      <c r="D277" s="38">
        <f>MAX($B$2:B277)</f>
        <v>65018.849296569817</v>
      </c>
      <c r="E277" s="40">
        <f t="shared" si="16"/>
        <v>-0.31526651708912445</v>
      </c>
      <c r="F277" s="41">
        <f t="shared" si="17"/>
        <v>68.473348291087561</v>
      </c>
      <c r="G277" s="42" t="str">
        <f t="shared" si="18"/>
        <v>2023-02</v>
      </c>
    </row>
    <row r="278" spans="1:7" x14ac:dyDescent="0.25">
      <c r="A278" s="31">
        <v>44965</v>
      </c>
      <c r="B278" s="32">
        <v>44087.134628295891</v>
      </c>
      <c r="C278" s="33">
        <f t="shared" si="19"/>
        <v>-9.7359125800312585E-3</v>
      </c>
      <c r="D278" s="32">
        <f>MAX($B$2:B278)</f>
        <v>65018.849296569817</v>
      </c>
      <c r="E278" s="34">
        <f t="shared" si="16"/>
        <v>-0.32193302241936506</v>
      </c>
      <c r="F278" s="35">
        <f t="shared" si="17"/>
        <v>67.806697758063493</v>
      </c>
      <c r="G278" s="36" t="str">
        <f t="shared" si="18"/>
        <v>2023-02</v>
      </c>
    </row>
    <row r="279" spans="1:7" x14ac:dyDescent="0.25">
      <c r="A279" s="37">
        <v>44966</v>
      </c>
      <c r="B279" s="38">
        <v>44068.504734039321</v>
      </c>
      <c r="C279" s="39">
        <f t="shared" si="19"/>
        <v>-4.2256985884070453E-4</v>
      </c>
      <c r="D279" s="38">
        <f>MAX($B$2:B279)</f>
        <v>65018.849296569817</v>
      </c>
      <c r="E279" s="40">
        <f t="shared" si="16"/>
        <v>-0.32221955308636585</v>
      </c>
      <c r="F279" s="41">
        <f t="shared" si="17"/>
        <v>67.778044691363419</v>
      </c>
      <c r="G279" s="42" t="str">
        <f t="shared" si="18"/>
        <v>2023-02</v>
      </c>
    </row>
    <row r="280" spans="1:7" x14ac:dyDescent="0.25">
      <c r="A280" s="31">
        <v>44967</v>
      </c>
      <c r="B280" s="32">
        <v>43422.029037475593</v>
      </c>
      <c r="C280" s="33">
        <f t="shared" si="19"/>
        <v>-1.4669789693689705E-2</v>
      </c>
      <c r="D280" s="32">
        <f>MAX($B$2:B280)</f>
        <v>65018.849296569817</v>
      </c>
      <c r="E280" s="34">
        <f t="shared" si="16"/>
        <v>-0.33216244970108388</v>
      </c>
      <c r="F280" s="35">
        <f t="shared" si="17"/>
        <v>66.783755029891609</v>
      </c>
      <c r="G280" s="36" t="str">
        <f t="shared" si="18"/>
        <v>2023-02</v>
      </c>
    </row>
    <row r="281" spans="1:7" x14ac:dyDescent="0.25">
      <c r="A281" s="37">
        <v>44970</v>
      </c>
      <c r="B281" s="38">
        <v>43939.335556030273</v>
      </c>
      <c r="C281" s="39">
        <f t="shared" si="19"/>
        <v>1.1913457984845E-2</v>
      </c>
      <c r="D281" s="38">
        <f>MAX($B$2:B281)</f>
        <v>65018.849296569817</v>
      </c>
      <c r="E281" s="40">
        <f t="shared" si="16"/>
        <v>-0.32420619510489601</v>
      </c>
      <c r="F281" s="41">
        <f t="shared" si="17"/>
        <v>67.579380489510399</v>
      </c>
      <c r="G281" s="42" t="str">
        <f t="shared" si="18"/>
        <v>2023-02</v>
      </c>
    </row>
    <row r="282" spans="1:7" x14ac:dyDescent="0.25">
      <c r="A282" s="31">
        <v>44971</v>
      </c>
      <c r="B282" s="32">
        <v>44842.341651916533</v>
      </c>
      <c r="C282" s="33">
        <f t="shared" si="19"/>
        <v>2.0551200523612145E-2</v>
      </c>
      <c r="D282" s="32">
        <f>MAX($B$2:B282)</f>
        <v>65018.849296569817</v>
      </c>
      <c r="E282" s="34">
        <f t="shared" si="16"/>
        <v>-0.31031782110788186</v>
      </c>
      <c r="F282" s="35">
        <f t="shared" si="17"/>
        <v>68.968217889211815</v>
      </c>
      <c r="G282" s="36" t="str">
        <f t="shared" si="18"/>
        <v>2023-02</v>
      </c>
    </row>
    <row r="283" spans="1:7" x14ac:dyDescent="0.25">
      <c r="A283" s="37">
        <v>44972</v>
      </c>
      <c r="B283" s="38">
        <v>44985.005435943604</v>
      </c>
      <c r="C283" s="39">
        <f t="shared" si="19"/>
        <v>3.1814525908231417E-3</v>
      </c>
      <c r="D283" s="38">
        <f>MAX($B$2:B283)</f>
        <v>65018.849296569817</v>
      </c>
      <c r="E283" s="40">
        <f t="shared" si="16"/>
        <v>-0.30812362995300091</v>
      </c>
      <c r="F283" s="41">
        <f t="shared" si="17"/>
        <v>69.187637004699909</v>
      </c>
      <c r="G283" s="42" t="str">
        <f t="shared" si="18"/>
        <v>2023-02</v>
      </c>
    </row>
    <row r="284" spans="1:7" x14ac:dyDescent="0.25">
      <c r="A284" s="31">
        <v>44973</v>
      </c>
      <c r="B284" s="32">
        <v>43687.74209976197</v>
      </c>
      <c r="C284" s="33">
        <f t="shared" si="19"/>
        <v>-2.8837683214885224E-2</v>
      </c>
      <c r="D284" s="32">
        <f>MAX($B$2:B284)</f>
        <v>65018.849296569817</v>
      </c>
      <c r="E284" s="34">
        <f t="shared" si="16"/>
        <v>-0.32807574153628105</v>
      </c>
      <c r="F284" s="35">
        <f t="shared" si="17"/>
        <v>67.19242584637189</v>
      </c>
      <c r="G284" s="36" t="str">
        <f t="shared" si="18"/>
        <v>2023-02</v>
      </c>
    </row>
    <row r="285" spans="1:7" x14ac:dyDescent="0.25">
      <c r="A285" s="37">
        <v>44974</v>
      </c>
      <c r="B285" s="38">
        <v>43564.717102050789</v>
      </c>
      <c r="C285" s="39">
        <f t="shared" si="19"/>
        <v>-2.8160072321945506E-3</v>
      </c>
      <c r="D285" s="38">
        <f>MAX($B$2:B285)</f>
        <v>65018.849296569817</v>
      </c>
      <c r="E285" s="40">
        <f t="shared" si="16"/>
        <v>-0.32996788510760189</v>
      </c>
      <c r="F285" s="41">
        <f t="shared" si="17"/>
        <v>67.003211489239817</v>
      </c>
      <c r="G285" s="42" t="str">
        <f t="shared" si="18"/>
        <v>2023-02</v>
      </c>
    </row>
    <row r="286" spans="1:7" x14ac:dyDescent="0.25">
      <c r="A286" s="31">
        <v>44978</v>
      </c>
      <c r="B286" s="32">
        <v>42197.757434844963</v>
      </c>
      <c r="C286" s="33">
        <f t="shared" si="19"/>
        <v>-3.1377678041698442E-2</v>
      </c>
      <c r="D286" s="32">
        <f>MAX($B$2:B286)</f>
        <v>65018.849296569817</v>
      </c>
      <c r="E286" s="34">
        <f t="shared" si="16"/>
        <v>-0.35099193708629384</v>
      </c>
      <c r="F286" s="35">
        <f t="shared" si="17"/>
        <v>64.900806291370614</v>
      </c>
      <c r="G286" s="36" t="str">
        <f t="shared" si="18"/>
        <v>2023-02</v>
      </c>
    </row>
    <row r="287" spans="1:7" x14ac:dyDescent="0.25">
      <c r="A287" s="37">
        <v>44979</v>
      </c>
      <c r="B287" s="38">
        <v>42308.636341095</v>
      </c>
      <c r="C287" s="39">
        <f t="shared" si="19"/>
        <v>2.6276018677351409E-3</v>
      </c>
      <c r="D287" s="38">
        <f>MAX($B$2:B287)</f>
        <v>65018.849296569817</v>
      </c>
      <c r="E287" s="40">
        <f t="shared" si="16"/>
        <v>-0.34928660228800656</v>
      </c>
      <c r="F287" s="41">
        <f t="shared" si="17"/>
        <v>65.071339771199348</v>
      </c>
      <c r="G287" s="42" t="str">
        <f t="shared" si="18"/>
        <v>2023-02</v>
      </c>
    </row>
    <row r="288" spans="1:7" x14ac:dyDescent="0.25">
      <c r="A288" s="31">
        <v>44980</v>
      </c>
      <c r="B288" s="32">
        <v>42889.533233642578</v>
      </c>
      <c r="C288" s="33">
        <f t="shared" si="19"/>
        <v>1.3729983823263625E-2</v>
      </c>
      <c r="D288" s="32">
        <f>MAX($B$2:B288)</f>
        <v>65018.849296569817</v>
      </c>
      <c r="E288" s="34">
        <f t="shared" si="16"/>
        <v>-0.34035231786384001</v>
      </c>
      <c r="F288" s="35">
        <f t="shared" si="17"/>
        <v>65.964768213615997</v>
      </c>
      <c r="G288" s="36" t="str">
        <f t="shared" si="18"/>
        <v>2023-02</v>
      </c>
    </row>
    <row r="289" spans="1:7" x14ac:dyDescent="0.25">
      <c r="A289" s="37">
        <v>44981</v>
      </c>
      <c r="B289" s="38">
        <v>41965.782394409252</v>
      </c>
      <c r="C289" s="39">
        <f t="shared" si="19"/>
        <v>-2.1537908426308872E-2</v>
      </c>
      <c r="D289" s="38">
        <f>MAX($B$2:B289)</f>
        <v>65018.849296569817</v>
      </c>
      <c r="E289" s="40">
        <f t="shared" si="16"/>
        <v>-0.35455974923531552</v>
      </c>
      <c r="F289" s="41">
        <f t="shared" si="17"/>
        <v>64.544025076468444</v>
      </c>
      <c r="G289" s="42" t="str">
        <f t="shared" si="18"/>
        <v>2023-02</v>
      </c>
    </row>
    <row r="290" spans="1:7" x14ac:dyDescent="0.25">
      <c r="A290" s="31">
        <v>44984</v>
      </c>
      <c r="B290" s="32">
        <v>42558.945198059097</v>
      </c>
      <c r="C290" s="33">
        <f t="shared" si="19"/>
        <v>1.4134439293305379E-2</v>
      </c>
      <c r="D290" s="32">
        <f>MAX($B$2:B290)</f>
        <v>65018.849296569817</v>
      </c>
      <c r="E290" s="34">
        <f t="shared" si="16"/>
        <v>-0.34543681319342623</v>
      </c>
      <c r="F290" s="35">
        <f t="shared" si="17"/>
        <v>65.456318680657375</v>
      </c>
      <c r="G290" s="36" t="str">
        <f t="shared" si="18"/>
        <v>2023-02</v>
      </c>
    </row>
    <row r="291" spans="1:7" x14ac:dyDescent="0.25">
      <c r="A291" s="37">
        <v>44985</v>
      </c>
      <c r="B291" s="38">
        <v>42432.866973876917</v>
      </c>
      <c r="C291" s="39">
        <f t="shared" si="19"/>
        <v>-2.962437710696153E-3</v>
      </c>
      <c r="D291" s="38">
        <f>MAX($B$2:B291)</f>
        <v>65018.849296569817</v>
      </c>
      <c r="E291" s="40">
        <f t="shared" si="16"/>
        <v>-0.34737591586205541</v>
      </c>
      <c r="F291" s="41">
        <f t="shared" si="17"/>
        <v>65.262408413794461</v>
      </c>
      <c r="G291" s="42" t="str">
        <f t="shared" si="18"/>
        <v>2023-02</v>
      </c>
    </row>
    <row r="292" spans="1:7" x14ac:dyDescent="0.25">
      <c r="A292" s="31">
        <v>44986</v>
      </c>
      <c r="B292" s="32">
        <v>42000.807113647432</v>
      </c>
      <c r="C292" s="33">
        <f t="shared" si="19"/>
        <v>-1.0182198164820577E-2</v>
      </c>
      <c r="D292" s="32">
        <f>MAX($B$2:B292)</f>
        <v>65018.849296569817</v>
      </c>
      <c r="E292" s="34">
        <f t="shared" si="16"/>
        <v>-0.35402106361388253</v>
      </c>
      <c r="F292" s="35">
        <f t="shared" si="17"/>
        <v>64.597893638611751</v>
      </c>
      <c r="G292" s="36" t="str">
        <f t="shared" si="18"/>
        <v>2023-03</v>
      </c>
    </row>
    <row r="293" spans="1:7" x14ac:dyDescent="0.25">
      <c r="A293" s="37">
        <v>44987</v>
      </c>
      <c r="B293" s="38">
        <v>41764.442958831809</v>
      </c>
      <c r="C293" s="39">
        <f t="shared" si="19"/>
        <v>-5.6276098260698015E-3</v>
      </c>
      <c r="D293" s="38">
        <f>MAX($B$2:B293)</f>
        <v>65018.849296569817</v>
      </c>
      <c r="E293" s="40">
        <f t="shared" si="16"/>
        <v>-0.3576563810237231</v>
      </c>
      <c r="F293" s="41">
        <f t="shared" si="17"/>
        <v>64.234361897627693</v>
      </c>
      <c r="G293" s="42" t="str">
        <f t="shared" si="18"/>
        <v>2023-03</v>
      </c>
    </row>
    <row r="294" spans="1:7" x14ac:dyDescent="0.25">
      <c r="A294" s="31">
        <v>44988</v>
      </c>
      <c r="B294" s="32">
        <v>42784.967212677053</v>
      </c>
      <c r="C294" s="33">
        <f t="shared" si="19"/>
        <v>2.4435241596570512E-2</v>
      </c>
      <c r="D294" s="32">
        <f>MAX($B$2:B294)</f>
        <v>65018.849296569817</v>
      </c>
      <c r="E294" s="34">
        <f t="shared" si="16"/>
        <v>-0.34196055950602233</v>
      </c>
      <c r="F294" s="35">
        <f t="shared" si="17"/>
        <v>65.803944049397771</v>
      </c>
      <c r="G294" s="36" t="str">
        <f t="shared" si="18"/>
        <v>2023-03</v>
      </c>
    </row>
    <row r="295" spans="1:7" x14ac:dyDescent="0.25">
      <c r="A295" s="37">
        <v>44991</v>
      </c>
      <c r="B295" s="38">
        <v>42809.603843688958</v>
      </c>
      <c r="C295" s="39">
        <f t="shared" si="19"/>
        <v>5.7582446866066839E-4</v>
      </c>
      <c r="D295" s="38">
        <f>MAX($B$2:B295)</f>
        <v>65018.849296569817</v>
      </c>
      <c r="E295" s="40">
        <f t="shared" si="16"/>
        <v>-0.34158164429484217</v>
      </c>
      <c r="F295" s="41">
        <f t="shared" si="17"/>
        <v>65.841835570515784</v>
      </c>
      <c r="G295" s="42" t="str">
        <f t="shared" si="18"/>
        <v>2023-03</v>
      </c>
    </row>
    <row r="296" spans="1:7" x14ac:dyDescent="0.25">
      <c r="A296" s="31">
        <v>44992</v>
      </c>
      <c r="B296" s="32">
        <v>42121.980171203613</v>
      </c>
      <c r="C296" s="33">
        <f t="shared" si="19"/>
        <v>-1.6062369439251767E-2</v>
      </c>
      <c r="D296" s="32">
        <f>MAX($B$2:B296)</f>
        <v>65018.849296569817</v>
      </c>
      <c r="E296" s="34">
        <f t="shared" si="16"/>
        <v>-0.35215740316976307</v>
      </c>
      <c r="F296" s="35">
        <f t="shared" si="17"/>
        <v>64.784259683023691</v>
      </c>
      <c r="G296" s="36" t="str">
        <f t="shared" si="18"/>
        <v>2023-03</v>
      </c>
    </row>
    <row r="297" spans="1:7" x14ac:dyDescent="0.25">
      <c r="A297" s="37">
        <v>44993</v>
      </c>
      <c r="B297" s="38">
        <v>42165.928363800049</v>
      </c>
      <c r="C297" s="39">
        <f t="shared" si="19"/>
        <v>1.0433553317723554E-3</v>
      </c>
      <c r="D297" s="38">
        <f>MAX($B$2:B297)</f>
        <v>65018.849296569817</v>
      </c>
      <c r="E297" s="40">
        <f t="shared" si="16"/>
        <v>-0.35148147314221101</v>
      </c>
      <c r="F297" s="41">
        <f t="shared" si="17"/>
        <v>64.851852685778894</v>
      </c>
      <c r="G297" s="42" t="str">
        <f t="shared" si="18"/>
        <v>2023-03</v>
      </c>
    </row>
    <row r="298" spans="1:7" x14ac:dyDescent="0.25">
      <c r="A298" s="31">
        <v>44994</v>
      </c>
      <c r="B298" s="32">
        <v>41245.099391937278</v>
      </c>
      <c r="C298" s="33">
        <f t="shared" si="19"/>
        <v>-2.1838223598874107E-2</v>
      </c>
      <c r="D298" s="32">
        <f>MAX($B$2:B298)</f>
        <v>65018.849296569817</v>
      </c>
      <c r="E298" s="34">
        <f t="shared" si="16"/>
        <v>-0.36564396573974378</v>
      </c>
      <c r="F298" s="35">
        <f t="shared" si="17"/>
        <v>63.435603426025622</v>
      </c>
      <c r="G298" s="36" t="str">
        <f t="shared" si="18"/>
        <v>2023-03</v>
      </c>
    </row>
    <row r="299" spans="1:7" x14ac:dyDescent="0.25">
      <c r="A299" s="37">
        <v>44995</v>
      </c>
      <c r="B299" s="38">
        <v>40725.913658142068</v>
      </c>
      <c r="C299" s="39">
        <f t="shared" si="19"/>
        <v>-1.2587816284828746E-2</v>
      </c>
      <c r="D299" s="38">
        <f>MAX($B$2:B299)</f>
        <v>65018.849296569817</v>
      </c>
      <c r="E299" s="40">
        <f t="shared" si="16"/>
        <v>-0.3736291229581844</v>
      </c>
      <c r="F299" s="41">
        <f t="shared" si="17"/>
        <v>62.63708770418156</v>
      </c>
      <c r="G299" s="42" t="str">
        <f t="shared" si="18"/>
        <v>2023-03</v>
      </c>
    </row>
    <row r="300" spans="1:7" x14ac:dyDescent="0.25">
      <c r="A300" s="31">
        <v>44998</v>
      </c>
      <c r="B300" s="32">
        <v>41148.034839630149</v>
      </c>
      <c r="C300" s="33">
        <f t="shared" si="19"/>
        <v>1.0364928458853395E-2</v>
      </c>
      <c r="D300" s="32">
        <f>MAX($B$2:B300)</f>
        <v>65018.849296569817</v>
      </c>
      <c r="E300" s="34">
        <f t="shared" si="16"/>
        <v>-0.36713683362893679</v>
      </c>
      <c r="F300" s="35">
        <f t="shared" si="17"/>
        <v>63.286316637106324</v>
      </c>
      <c r="G300" s="36" t="str">
        <f t="shared" si="18"/>
        <v>2023-03</v>
      </c>
    </row>
    <row r="301" spans="1:7" x14ac:dyDescent="0.25">
      <c r="A301" s="37">
        <v>44999</v>
      </c>
      <c r="B301" s="38">
        <v>42268.847293853752</v>
      </c>
      <c r="C301" s="39">
        <f t="shared" si="19"/>
        <v>2.7238541490300694E-2</v>
      </c>
      <c r="D301" s="38">
        <f>MAX($B$2:B301)</f>
        <v>65018.849296569817</v>
      </c>
      <c r="E301" s="40">
        <f t="shared" si="16"/>
        <v>-0.3498985640140555</v>
      </c>
      <c r="F301" s="41">
        <f t="shared" si="17"/>
        <v>65.010143598594453</v>
      </c>
      <c r="G301" s="42" t="str">
        <f t="shared" si="18"/>
        <v>2023-03</v>
      </c>
    </row>
    <row r="302" spans="1:7" x14ac:dyDescent="0.25">
      <c r="A302" s="31">
        <v>45000</v>
      </c>
      <c r="B302" s="32">
        <v>42335.842380523703</v>
      </c>
      <c r="C302" s="33">
        <f t="shared" si="19"/>
        <v>1.5849754833434648E-3</v>
      </c>
      <c r="D302" s="32">
        <f>MAX($B$2:B302)</f>
        <v>65018.849296569817</v>
      </c>
      <c r="E302" s="34">
        <f t="shared" si="16"/>
        <v>-0.34886816917633134</v>
      </c>
      <c r="F302" s="35">
        <f t="shared" si="17"/>
        <v>65.113183082366859</v>
      </c>
      <c r="G302" s="36" t="str">
        <f t="shared" si="18"/>
        <v>2023-03</v>
      </c>
    </row>
    <row r="303" spans="1:7" x14ac:dyDescent="0.25">
      <c r="A303" s="37">
        <v>45001</v>
      </c>
      <c r="B303" s="38">
        <v>43681.752109527588</v>
      </c>
      <c r="C303" s="39">
        <f t="shared" si="19"/>
        <v>3.1791258974052328E-2</v>
      </c>
      <c r="D303" s="38">
        <f>MAX($B$2:B303)</f>
        <v>65018.849296569817</v>
      </c>
      <c r="E303" s="40">
        <f t="shared" si="16"/>
        <v>-0.32816786851636737</v>
      </c>
      <c r="F303" s="41">
        <f t="shared" si="17"/>
        <v>67.183213148363265</v>
      </c>
      <c r="G303" s="42" t="str">
        <f t="shared" si="18"/>
        <v>2023-03</v>
      </c>
    </row>
    <row r="304" spans="1:7" x14ac:dyDescent="0.25">
      <c r="A304" s="31">
        <v>45002</v>
      </c>
      <c r="B304" s="32">
        <v>43601.918869018591</v>
      </c>
      <c r="C304" s="33">
        <f t="shared" si="19"/>
        <v>-1.8276107677371867E-3</v>
      </c>
      <c r="D304" s="32">
        <f>MAX($B$2:B304)</f>
        <v>65018.849296569817</v>
      </c>
      <c r="E304" s="34">
        <f t="shared" si="16"/>
        <v>-0.32939571615397867</v>
      </c>
      <c r="F304" s="35">
        <f t="shared" si="17"/>
        <v>67.060428384602133</v>
      </c>
      <c r="G304" s="36" t="str">
        <f t="shared" si="18"/>
        <v>2023-03</v>
      </c>
    </row>
    <row r="305" spans="1:7" x14ac:dyDescent="0.25">
      <c r="A305" s="37">
        <v>45005</v>
      </c>
      <c r="B305" s="38">
        <v>43598.396854400657</v>
      </c>
      <c r="C305" s="39">
        <f t="shared" si="19"/>
        <v>-8.0776596748322049E-5</v>
      </c>
      <c r="D305" s="38">
        <f>MAX($B$2:B305)</f>
        <v>65018.849296569817</v>
      </c>
      <c r="E305" s="40">
        <f t="shared" si="16"/>
        <v>-0.32944988528579255</v>
      </c>
      <c r="F305" s="41">
        <f t="shared" si="17"/>
        <v>67.055011471420741</v>
      </c>
      <c r="G305" s="42" t="str">
        <f t="shared" si="18"/>
        <v>2023-03</v>
      </c>
    </row>
    <row r="306" spans="1:7" x14ac:dyDescent="0.25">
      <c r="A306" s="31">
        <v>45006</v>
      </c>
      <c r="B306" s="32">
        <v>44856.398468017622</v>
      </c>
      <c r="C306" s="33">
        <f t="shared" si="19"/>
        <v>2.8854308974206822E-2</v>
      </c>
      <c r="D306" s="32">
        <f>MAX($B$2:B306)</f>
        <v>65018.849296569817</v>
      </c>
      <c r="E306" s="34">
        <f t="shared" si="16"/>
        <v>-0.31010162509313899</v>
      </c>
      <c r="F306" s="35">
        <f t="shared" si="17"/>
        <v>68.989837490686099</v>
      </c>
      <c r="G306" s="36" t="str">
        <f t="shared" si="18"/>
        <v>2023-03</v>
      </c>
    </row>
    <row r="307" spans="1:7" x14ac:dyDescent="0.25">
      <c r="A307" s="37">
        <v>45007</v>
      </c>
      <c r="B307" s="38">
        <v>44280.997409820528</v>
      </c>
      <c r="C307" s="39">
        <f t="shared" si="19"/>
        <v>-1.2827624995514375E-2</v>
      </c>
      <c r="D307" s="38">
        <f>MAX($B$2:B307)</f>
        <v>65018.849296569817</v>
      </c>
      <c r="E307" s="40">
        <f t="shared" si="16"/>
        <v>-0.31895138273145895</v>
      </c>
      <c r="F307" s="41">
        <f t="shared" si="17"/>
        <v>68.104861726854111</v>
      </c>
      <c r="G307" s="42" t="str">
        <f t="shared" si="18"/>
        <v>2023-03</v>
      </c>
    </row>
    <row r="308" spans="1:7" x14ac:dyDescent="0.25">
      <c r="A308" s="31">
        <v>45008</v>
      </c>
      <c r="B308" s="32">
        <v>44916.800689697222</v>
      </c>
      <c r="C308" s="33">
        <f t="shared" si="19"/>
        <v>1.4358377567522673E-2</v>
      </c>
      <c r="D308" s="32">
        <f>MAX($B$2:B308)</f>
        <v>65018.849296569817</v>
      </c>
      <c r="E308" s="34">
        <f t="shared" si="16"/>
        <v>-0.30917262954287805</v>
      </c>
      <c r="F308" s="35">
        <f t="shared" si="17"/>
        <v>69.082737045712193</v>
      </c>
      <c r="G308" s="36" t="str">
        <f t="shared" si="18"/>
        <v>2023-03</v>
      </c>
    </row>
    <row r="309" spans="1:7" x14ac:dyDescent="0.25">
      <c r="A309" s="37">
        <v>45009</v>
      </c>
      <c r="B309" s="38">
        <v>44890.520038604693</v>
      </c>
      <c r="C309" s="39">
        <f t="shared" si="19"/>
        <v>-5.850962376880986E-4</v>
      </c>
      <c r="D309" s="38">
        <f>MAX($B$2:B309)</f>
        <v>65018.849296569817</v>
      </c>
      <c r="E309" s="40">
        <f t="shared" si="16"/>
        <v>-0.30957683003822445</v>
      </c>
      <c r="F309" s="41">
        <f t="shared" si="17"/>
        <v>69.042316996177561</v>
      </c>
      <c r="G309" s="42" t="str">
        <f t="shared" si="18"/>
        <v>2023-03</v>
      </c>
    </row>
    <row r="310" spans="1:7" x14ac:dyDescent="0.25">
      <c r="A310" s="31">
        <v>45012</v>
      </c>
      <c r="B310" s="32">
        <v>44383.887481689497</v>
      </c>
      <c r="C310" s="33">
        <f t="shared" si="19"/>
        <v>-1.1285958738715962E-2</v>
      </c>
      <c r="D310" s="32">
        <f>MAX($B$2:B310)</f>
        <v>65018.849296569817</v>
      </c>
      <c r="E310" s="34">
        <f t="shared" si="16"/>
        <v>-0.31736891744666651</v>
      </c>
      <c r="F310" s="35">
        <f t="shared" si="17"/>
        <v>68.26310825533335</v>
      </c>
      <c r="G310" s="36" t="str">
        <f t="shared" si="18"/>
        <v>2023-03</v>
      </c>
    </row>
    <row r="311" spans="1:7" x14ac:dyDescent="0.25">
      <c r="A311" s="37">
        <v>45013</v>
      </c>
      <c r="B311" s="38">
        <v>44096.84843063353</v>
      </c>
      <c r="C311" s="39">
        <f t="shared" si="19"/>
        <v>-6.4671904004439673E-3</v>
      </c>
      <c r="D311" s="38">
        <f>MAX($B$2:B311)</f>
        <v>65018.849296569817</v>
      </c>
      <c r="E311" s="40">
        <f t="shared" si="16"/>
        <v>-0.32178362263080018</v>
      </c>
      <c r="F311" s="41">
        <f t="shared" si="17"/>
        <v>67.821637736919982</v>
      </c>
      <c r="G311" s="42" t="str">
        <f t="shared" si="18"/>
        <v>2023-03</v>
      </c>
    </row>
    <row r="312" spans="1:7" x14ac:dyDescent="0.25">
      <c r="A312" s="31">
        <v>45014</v>
      </c>
      <c r="B312" s="32">
        <v>45134.204330444372</v>
      </c>
      <c r="C312" s="33">
        <f t="shared" si="19"/>
        <v>2.3524490677438115E-2</v>
      </c>
      <c r="D312" s="32">
        <f>MAX($B$2:B312)</f>
        <v>65018.849296569817</v>
      </c>
      <c r="E312" s="34">
        <f t="shared" si="16"/>
        <v>-0.30582892778409254</v>
      </c>
      <c r="F312" s="35">
        <f t="shared" si="17"/>
        <v>69.41710722159074</v>
      </c>
      <c r="G312" s="36" t="str">
        <f t="shared" si="18"/>
        <v>2023-03</v>
      </c>
    </row>
    <row r="313" spans="1:7" x14ac:dyDescent="0.25">
      <c r="A313" s="37">
        <v>45015</v>
      </c>
      <c r="B313" s="38">
        <v>45480.085163116521</v>
      </c>
      <c r="C313" s="39">
        <f t="shared" si="19"/>
        <v>7.6633860683534838E-3</v>
      </c>
      <c r="D313" s="38">
        <f>MAX($B$2:B313)</f>
        <v>65018.849296569817</v>
      </c>
      <c r="E313" s="40">
        <f t="shared" si="16"/>
        <v>-0.30050922686021908</v>
      </c>
      <c r="F313" s="41">
        <f t="shared" si="17"/>
        <v>69.949077313978094</v>
      </c>
      <c r="G313" s="42" t="str">
        <f t="shared" si="18"/>
        <v>2023-03</v>
      </c>
    </row>
    <row r="314" spans="1:7" x14ac:dyDescent="0.25">
      <c r="A314" s="31">
        <v>45016</v>
      </c>
      <c r="B314" s="32">
        <v>46441.359138488719</v>
      </c>
      <c r="C314" s="33">
        <f t="shared" si="19"/>
        <v>2.1136151612833221E-2</v>
      </c>
      <c r="D314" s="32">
        <f>MAX($B$2:B314)</f>
        <v>65018.849296569817</v>
      </c>
      <c r="E314" s="34">
        <f t="shared" si="16"/>
        <v>-0.28572468382735872</v>
      </c>
      <c r="F314" s="35">
        <f t="shared" si="17"/>
        <v>71.427531617264123</v>
      </c>
      <c r="G314" s="36" t="str">
        <f t="shared" si="18"/>
        <v>2023-03</v>
      </c>
    </row>
    <row r="315" spans="1:7" x14ac:dyDescent="0.25">
      <c r="A315" s="37">
        <v>45019</v>
      </c>
      <c r="B315" s="38">
        <v>45874.251499176004</v>
      </c>
      <c r="C315" s="39">
        <f t="shared" si="19"/>
        <v>-1.2211262758731745E-2</v>
      </c>
      <c r="D315" s="38">
        <f>MAX($B$2:B315)</f>
        <v>65018.849296569817</v>
      </c>
      <c r="E315" s="40">
        <f t="shared" si="16"/>
        <v>-0.29444688739521907</v>
      </c>
      <c r="F315" s="41">
        <f t="shared" si="17"/>
        <v>70.555311260478092</v>
      </c>
      <c r="G315" s="42" t="str">
        <f t="shared" si="18"/>
        <v>2023-04</v>
      </c>
    </row>
    <row r="316" spans="1:7" x14ac:dyDescent="0.25">
      <c r="A316" s="31">
        <v>45020</v>
      </c>
      <c r="B316" s="32">
        <v>45647.597694396987</v>
      </c>
      <c r="C316" s="33">
        <f t="shared" si="19"/>
        <v>-4.9407630069580044E-3</v>
      </c>
      <c r="D316" s="32">
        <f>MAX($B$2:B316)</f>
        <v>65018.849296569817</v>
      </c>
      <c r="E316" s="34">
        <f t="shared" si="16"/>
        <v>-0.29793285811342085</v>
      </c>
      <c r="F316" s="35">
        <f t="shared" si="17"/>
        <v>70.206714188657912</v>
      </c>
      <c r="G316" s="36" t="str">
        <f t="shared" si="18"/>
        <v>2023-04</v>
      </c>
    </row>
    <row r="317" spans="1:7" x14ac:dyDescent="0.25">
      <c r="A317" s="37">
        <v>45021</v>
      </c>
      <c r="B317" s="38">
        <v>44871.887493133567</v>
      </c>
      <c r="C317" s="39">
        <f t="shared" si="19"/>
        <v>-1.6993450705920399E-2</v>
      </c>
      <c r="D317" s="38">
        <f>MAX($B$2:B317)</f>
        <v>65018.849296569817</v>
      </c>
      <c r="E317" s="40">
        <f t="shared" si="16"/>
        <v>-0.30986340148131686</v>
      </c>
      <c r="F317" s="41">
        <f t="shared" si="17"/>
        <v>69.013659851868312</v>
      </c>
      <c r="G317" s="42" t="str">
        <f t="shared" si="18"/>
        <v>2023-04</v>
      </c>
    </row>
    <row r="318" spans="1:7" x14ac:dyDescent="0.25">
      <c r="A318" s="31">
        <v>45022</v>
      </c>
      <c r="B318" s="32">
        <v>45449.310398101843</v>
      </c>
      <c r="C318" s="33">
        <f t="shared" si="19"/>
        <v>1.286825532036362E-2</v>
      </c>
      <c r="D318" s="32">
        <f>MAX($B$2:B318)</f>
        <v>65018.849296569817</v>
      </c>
      <c r="E318" s="34">
        <f t="shared" si="16"/>
        <v>-0.30098254752565112</v>
      </c>
      <c r="F318" s="35">
        <f t="shared" si="17"/>
        <v>69.901745247434889</v>
      </c>
      <c r="G318" s="36" t="str">
        <f t="shared" si="18"/>
        <v>2023-04</v>
      </c>
    </row>
    <row r="319" spans="1:7" x14ac:dyDescent="0.25">
      <c r="A319" s="37">
        <v>45026</v>
      </c>
      <c r="B319" s="38">
        <v>45264.197559356668</v>
      </c>
      <c r="C319" s="39">
        <f t="shared" si="19"/>
        <v>-4.0729515392802229E-3</v>
      </c>
      <c r="D319" s="38">
        <f>MAX($B$2:B319)</f>
        <v>65018.849296569817</v>
      </c>
      <c r="E319" s="40">
        <f t="shared" si="16"/>
        <v>-0.30382961173469025</v>
      </c>
      <c r="F319" s="41">
        <f t="shared" si="17"/>
        <v>69.617038826530973</v>
      </c>
      <c r="G319" s="42" t="str">
        <f t="shared" si="18"/>
        <v>2023-04</v>
      </c>
    </row>
    <row r="320" spans="1:7" x14ac:dyDescent="0.25">
      <c r="A320" s="31">
        <v>45027</v>
      </c>
      <c r="B320" s="32">
        <v>44934.36574935916</v>
      </c>
      <c r="C320" s="33">
        <f t="shared" si="19"/>
        <v>-7.286814475502168E-3</v>
      </c>
      <c r="D320" s="32">
        <f>MAX($B$2:B320)</f>
        <v>65018.849296569817</v>
      </c>
      <c r="E320" s="34">
        <f t="shared" si="16"/>
        <v>-0.30890247619731792</v>
      </c>
      <c r="F320" s="35">
        <f t="shared" si="17"/>
        <v>69.109752380268205</v>
      </c>
      <c r="G320" s="36" t="str">
        <f t="shared" si="18"/>
        <v>2023-04</v>
      </c>
    </row>
    <row r="321" spans="1:7" x14ac:dyDescent="0.25">
      <c r="A321" s="37">
        <v>45028</v>
      </c>
      <c r="B321" s="38">
        <v>44332.537384033203</v>
      </c>
      <c r="C321" s="39">
        <f t="shared" si="19"/>
        <v>-1.3393498612685795E-2</v>
      </c>
      <c r="D321" s="38">
        <f>MAX($B$2:B321)</f>
        <v>65018.849296569817</v>
      </c>
      <c r="E321" s="40">
        <f t="shared" si="16"/>
        <v>-0.31815868992359964</v>
      </c>
      <c r="F321" s="41">
        <f t="shared" si="17"/>
        <v>68.184131007640033</v>
      </c>
      <c r="G321" s="42" t="str">
        <f t="shared" si="18"/>
        <v>2023-04</v>
      </c>
    </row>
    <row r="322" spans="1:7" x14ac:dyDescent="0.25">
      <c r="A322" s="31">
        <v>45029</v>
      </c>
      <c r="B322" s="32">
        <v>45431.561870574988</v>
      </c>
      <c r="C322" s="33">
        <f t="shared" si="19"/>
        <v>2.4790471093982802E-2</v>
      </c>
      <c r="D322" s="32">
        <f>MAX($B$2:B322)</f>
        <v>65018.849296569817</v>
      </c>
      <c r="E322" s="34">
        <f t="shared" ref="E322:E385" si="20">B322/D322-1</f>
        <v>-0.3012555226354674</v>
      </c>
      <c r="F322" s="35">
        <f t="shared" ref="F322:F385" si="21">B322/$B$2*100</f>
        <v>69.874447736453263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45281.759376525857</v>
      </c>
      <c r="C323" s="39">
        <f t="shared" ref="C323:C386" si="23">B323/B322-1</f>
        <v>-3.2973221232386329E-3</v>
      </c>
      <c r="D323" s="38">
        <f>MAX($B$2:B323)</f>
        <v>65018.849296569817</v>
      </c>
      <c r="E323" s="40">
        <f t="shared" si="20"/>
        <v>-0.30355950825917222</v>
      </c>
      <c r="F323" s="41">
        <f t="shared" si="21"/>
        <v>69.644049174082781</v>
      </c>
      <c r="G323" s="42" t="str">
        <f t="shared" si="22"/>
        <v>2023-04</v>
      </c>
    </row>
    <row r="324" spans="1:7" x14ac:dyDescent="0.25">
      <c r="A324" s="31">
        <v>45033</v>
      </c>
      <c r="B324" s="32">
        <v>45425.233745574988</v>
      </c>
      <c r="C324" s="33">
        <f t="shared" si="23"/>
        <v>3.1684804438827374E-3</v>
      </c>
      <c r="D324" s="32">
        <f>MAX($B$2:B324)</f>
        <v>65018.849296569817</v>
      </c>
      <c r="E324" s="34">
        <f t="shared" si="20"/>
        <v>-0.3013528501807633</v>
      </c>
      <c r="F324" s="35">
        <f t="shared" si="21"/>
        <v>69.864714981923669</v>
      </c>
      <c r="G324" s="36" t="str">
        <f t="shared" si="22"/>
        <v>2023-04</v>
      </c>
    </row>
    <row r="325" spans="1:7" x14ac:dyDescent="0.25">
      <c r="A325" s="37">
        <v>45034</v>
      </c>
      <c r="B325" s="38">
        <v>45308.458061218262</v>
      </c>
      <c r="C325" s="39">
        <f t="shared" si="23"/>
        <v>-2.5707228059801412E-3</v>
      </c>
      <c r="D325" s="38">
        <f>MAX($B$2:B325)</f>
        <v>65018.849296569817</v>
      </c>
      <c r="E325" s="40">
        <f t="shared" si="20"/>
        <v>-0.30314887834213655</v>
      </c>
      <c r="F325" s="41">
        <f t="shared" si="21"/>
        <v>69.68511216578635</v>
      </c>
      <c r="G325" s="42" t="str">
        <f t="shared" si="22"/>
        <v>2023-04</v>
      </c>
    </row>
    <row r="326" spans="1:7" x14ac:dyDescent="0.25">
      <c r="A326" s="31">
        <v>45035</v>
      </c>
      <c r="B326" s="32">
        <v>45174.878311157263</v>
      </c>
      <c r="C326" s="33">
        <f t="shared" si="23"/>
        <v>-2.9482298841534416E-3</v>
      </c>
      <c r="D326" s="32">
        <f>MAX($B$2:B326)</f>
        <v>65018.849296569817</v>
      </c>
      <c r="E326" s="34">
        <f t="shared" si="20"/>
        <v>-0.30520335564381418</v>
      </c>
      <c r="F326" s="35">
        <f t="shared" si="21"/>
        <v>69.479664435618588</v>
      </c>
      <c r="G326" s="36" t="str">
        <f t="shared" si="22"/>
        <v>2023-04</v>
      </c>
    </row>
    <row r="327" spans="1:7" x14ac:dyDescent="0.25">
      <c r="A327" s="37">
        <v>45036</v>
      </c>
      <c r="B327" s="38">
        <v>44349.201221466072</v>
      </c>
      <c r="C327" s="39">
        <f t="shared" si="23"/>
        <v>-1.8277350610754528E-2</v>
      </c>
      <c r="D327" s="38">
        <f>MAX($B$2:B327)</f>
        <v>65018.849296569817</v>
      </c>
      <c r="E327" s="40">
        <f t="shared" si="20"/>
        <v>-0.31790239751588789</v>
      </c>
      <c r="F327" s="41">
        <f t="shared" si="21"/>
        <v>68.209760248411214</v>
      </c>
      <c r="G327" s="42" t="str">
        <f t="shared" si="22"/>
        <v>2023-04</v>
      </c>
    </row>
    <row r="328" spans="1:7" x14ac:dyDescent="0.25">
      <c r="A328" s="31">
        <v>45037</v>
      </c>
      <c r="B328" s="32">
        <v>44206.694717407248</v>
      </c>
      <c r="C328" s="33">
        <f t="shared" si="23"/>
        <v>-3.21328231701834E-3</v>
      </c>
      <c r="D328" s="32">
        <f>MAX($B$2:B328)</f>
        <v>65018.849296569817</v>
      </c>
      <c r="E328" s="34">
        <f t="shared" si="20"/>
        <v>-0.3200941696804307</v>
      </c>
      <c r="F328" s="35">
        <f t="shared" si="21"/>
        <v>67.99058303195693</v>
      </c>
      <c r="G328" s="36" t="str">
        <f t="shared" si="22"/>
        <v>2023-04</v>
      </c>
    </row>
    <row r="329" spans="1:7" x14ac:dyDescent="0.25">
      <c r="A329" s="37">
        <v>45040</v>
      </c>
      <c r="B329" s="38">
        <v>43827.182121276892</v>
      </c>
      <c r="C329" s="39">
        <f t="shared" si="23"/>
        <v>-8.5849575173263526E-3</v>
      </c>
      <c r="D329" s="38">
        <f>MAX($B$2:B329)</f>
        <v>65018.849296569817</v>
      </c>
      <c r="E329" s="40">
        <f t="shared" si="20"/>
        <v>-0.32593113234950666</v>
      </c>
      <c r="F329" s="41">
        <f t="shared" si="21"/>
        <v>67.406886765049336</v>
      </c>
      <c r="G329" s="42" t="str">
        <f t="shared" si="22"/>
        <v>2023-04</v>
      </c>
    </row>
    <row r="330" spans="1:7" x14ac:dyDescent="0.25">
      <c r="A330" s="31">
        <v>45041</v>
      </c>
      <c r="B330" s="32">
        <v>42977.843837738023</v>
      </c>
      <c r="C330" s="33">
        <f t="shared" si="23"/>
        <v>-1.9379258314819681E-2</v>
      </c>
      <c r="D330" s="32">
        <f>MAX($B$2:B330)</f>
        <v>65018.849296569817</v>
      </c>
      <c r="E330" s="34">
        <f t="shared" si="20"/>
        <v>-0.33899408705768352</v>
      </c>
      <c r="F330" s="35">
        <f t="shared" si="21"/>
        <v>66.100591294231648</v>
      </c>
      <c r="G330" s="36" t="str">
        <f t="shared" si="22"/>
        <v>2023-04</v>
      </c>
    </row>
    <row r="331" spans="1:7" x14ac:dyDescent="0.25">
      <c r="A331" s="37">
        <v>45042</v>
      </c>
      <c r="B331" s="38">
        <v>43636.855201721228</v>
      </c>
      <c r="C331" s="39">
        <f t="shared" si="23"/>
        <v>1.5333746533941817E-2</v>
      </c>
      <c r="D331" s="38">
        <f>MAX($B$2:B331)</f>
        <v>65018.849296569817</v>
      </c>
      <c r="E331" s="40">
        <f t="shared" si="20"/>
        <v>-0.32885838993118932</v>
      </c>
      <c r="F331" s="41">
        <f t="shared" si="21"/>
        <v>67.114161006881062</v>
      </c>
      <c r="G331" s="42" t="str">
        <f t="shared" si="22"/>
        <v>2023-04</v>
      </c>
    </row>
    <row r="332" spans="1:7" x14ac:dyDescent="0.25">
      <c r="A332" s="31">
        <v>45043</v>
      </c>
      <c r="B332" s="32">
        <v>44972.836170196533</v>
      </c>
      <c r="C332" s="33">
        <f t="shared" si="23"/>
        <v>3.0615885638399787E-2</v>
      </c>
      <c r="D332" s="32">
        <f>MAX($B$2:B332)</f>
        <v>65018.849296569817</v>
      </c>
      <c r="E332" s="34">
        <f t="shared" si="20"/>
        <v>-0.30831079515015114</v>
      </c>
      <c r="F332" s="35">
        <f t="shared" si="21"/>
        <v>69.168920484984881</v>
      </c>
      <c r="G332" s="36" t="str">
        <f t="shared" si="22"/>
        <v>2023-04</v>
      </c>
    </row>
    <row r="333" spans="1:7" x14ac:dyDescent="0.25">
      <c r="A333" s="37">
        <v>45044</v>
      </c>
      <c r="B333" s="38">
        <v>45346.964187622078</v>
      </c>
      <c r="C333" s="39">
        <f t="shared" si="23"/>
        <v>8.3189776159475759E-3</v>
      </c>
      <c r="D333" s="38">
        <f>MAX($B$2:B333)</f>
        <v>65018.849296569817</v>
      </c>
      <c r="E333" s="40">
        <f t="shared" si="20"/>
        <v>-0.30255664813781258</v>
      </c>
      <c r="F333" s="41">
        <f t="shared" si="21"/>
        <v>69.744335186218748</v>
      </c>
      <c r="G333" s="42" t="str">
        <f t="shared" si="22"/>
        <v>2023-04</v>
      </c>
    </row>
    <row r="334" spans="1:7" x14ac:dyDescent="0.25">
      <c r="A334" s="31">
        <v>45047</v>
      </c>
      <c r="B334" s="32">
        <v>45016.263980865493</v>
      </c>
      <c r="C334" s="33">
        <f t="shared" si="23"/>
        <v>-7.2926647391062804E-3</v>
      </c>
      <c r="D334" s="32">
        <f>MAX($B$2:B334)</f>
        <v>65018.849296569817</v>
      </c>
      <c r="E334" s="34">
        <f t="shared" si="20"/>
        <v>-0.30764286867746204</v>
      </c>
      <c r="F334" s="35">
        <f t="shared" si="21"/>
        <v>69.235713132253792</v>
      </c>
      <c r="G334" s="36" t="str">
        <f t="shared" si="22"/>
        <v>2023-05</v>
      </c>
    </row>
    <row r="335" spans="1:7" x14ac:dyDescent="0.25">
      <c r="A335" s="37">
        <v>45048</v>
      </c>
      <c r="B335" s="38">
        <v>44727.108078002952</v>
      </c>
      <c r="C335" s="39">
        <f t="shared" si="23"/>
        <v>-6.423365186090324E-3</v>
      </c>
      <c r="D335" s="38">
        <f>MAX($B$2:B335)</f>
        <v>65018.849296569817</v>
      </c>
      <c r="E335" s="40">
        <f t="shared" si="20"/>
        <v>-0.31209013137114061</v>
      </c>
      <c r="F335" s="41">
        <f t="shared" si="21"/>
        <v>68.790986862885944</v>
      </c>
      <c r="G335" s="42" t="str">
        <f t="shared" si="22"/>
        <v>2023-05</v>
      </c>
    </row>
    <row r="336" spans="1:7" x14ac:dyDescent="0.25">
      <c r="A336" s="31">
        <v>45049</v>
      </c>
      <c r="B336" s="32">
        <v>44561.045856475837</v>
      </c>
      <c r="C336" s="33">
        <f t="shared" si="23"/>
        <v>-3.7127869129724989E-3</v>
      </c>
      <c r="D336" s="32">
        <f>MAX($B$2:B336)</f>
        <v>65018.849296569817</v>
      </c>
      <c r="E336" s="34">
        <f t="shared" si="20"/>
        <v>-0.31464419412869038</v>
      </c>
      <c r="F336" s="35">
        <f t="shared" si="21"/>
        <v>68.535580587130966</v>
      </c>
      <c r="G336" s="36" t="str">
        <f t="shared" si="22"/>
        <v>2023-05</v>
      </c>
    </row>
    <row r="337" spans="1:7" x14ac:dyDescent="0.25">
      <c r="A337" s="37">
        <v>45050</v>
      </c>
      <c r="B337" s="38">
        <v>44536.105403900132</v>
      </c>
      <c r="C337" s="39">
        <f t="shared" si="23"/>
        <v>-5.5969181369830423E-4</v>
      </c>
      <c r="D337" s="38">
        <f>MAX($B$2:B337)</f>
        <v>65018.849296569817</v>
      </c>
      <c r="E337" s="40">
        <f t="shared" si="20"/>
        <v>-0.31502778216270722</v>
      </c>
      <c r="F337" s="41">
        <f t="shared" si="21"/>
        <v>68.497221783729273</v>
      </c>
      <c r="G337" s="42" t="str">
        <f t="shared" si="22"/>
        <v>2023-05</v>
      </c>
    </row>
    <row r="338" spans="1:7" x14ac:dyDescent="0.25">
      <c r="A338" s="31">
        <v>45051</v>
      </c>
      <c r="B338" s="32">
        <v>45870.661087036147</v>
      </c>
      <c r="C338" s="33">
        <f t="shared" si="23"/>
        <v>2.9965702457205534E-2</v>
      </c>
      <c r="D338" s="32">
        <f>MAX($B$2:B338)</f>
        <v>65018.849296569817</v>
      </c>
      <c r="E338" s="34">
        <f t="shared" si="20"/>
        <v>-0.29450210849154268</v>
      </c>
      <c r="F338" s="35">
        <f t="shared" si="21"/>
        <v>70.549789150845726</v>
      </c>
      <c r="G338" s="36" t="str">
        <f t="shared" si="22"/>
        <v>2023-05</v>
      </c>
    </row>
    <row r="339" spans="1:7" x14ac:dyDescent="0.25">
      <c r="A339" s="37">
        <v>45054</v>
      </c>
      <c r="B339" s="38">
        <v>45991.823177337683</v>
      </c>
      <c r="C339" s="39">
        <f t="shared" si="23"/>
        <v>2.6413853088282924E-3</v>
      </c>
      <c r="D339" s="38">
        <f>MAX($B$2:B339)</f>
        <v>65018.849296569817</v>
      </c>
      <c r="E339" s="40">
        <f t="shared" si="20"/>
        <v>-0.29263861672550295</v>
      </c>
      <c r="F339" s="41">
        <f t="shared" si="21"/>
        <v>70.736138327449709</v>
      </c>
      <c r="G339" s="42" t="str">
        <f t="shared" si="22"/>
        <v>2023-05</v>
      </c>
    </row>
    <row r="340" spans="1:7" x14ac:dyDescent="0.25">
      <c r="A340" s="31">
        <v>45055</v>
      </c>
      <c r="B340" s="32">
        <v>45679.830398559527</v>
      </c>
      <c r="C340" s="33">
        <f t="shared" si="23"/>
        <v>-6.7836575552823186E-3</v>
      </c>
      <c r="D340" s="32">
        <f>MAX($B$2:B340)</f>
        <v>65018.849296569817</v>
      </c>
      <c r="E340" s="34">
        <f t="shared" si="20"/>
        <v>-0.29743711411746798</v>
      </c>
      <c r="F340" s="35">
        <f t="shared" si="21"/>
        <v>70.256288588253199</v>
      </c>
      <c r="G340" s="36" t="str">
        <f t="shared" si="22"/>
        <v>2023-05</v>
      </c>
    </row>
    <row r="341" spans="1:7" x14ac:dyDescent="0.25">
      <c r="A341" s="37">
        <v>45056</v>
      </c>
      <c r="B341" s="38">
        <v>46191.881256103487</v>
      </c>
      <c r="C341" s="39">
        <f t="shared" si="23"/>
        <v>1.1209561267550239E-2</v>
      </c>
      <c r="D341" s="38">
        <f>MAX($B$2:B341)</f>
        <v>65018.849296569817</v>
      </c>
      <c r="E341" s="40">
        <f t="shared" si="20"/>
        <v>-0.28956169240386076</v>
      </c>
      <c r="F341" s="41">
        <f t="shared" si="21"/>
        <v>71.043830759613925</v>
      </c>
      <c r="G341" s="42" t="str">
        <f t="shared" si="22"/>
        <v>2023-05</v>
      </c>
    </row>
    <row r="342" spans="1:7" x14ac:dyDescent="0.25">
      <c r="A342" s="31">
        <v>45057</v>
      </c>
      <c r="B342" s="32">
        <v>46521.437778472908</v>
      </c>
      <c r="C342" s="33">
        <f t="shared" si="23"/>
        <v>7.1345118104684246E-3</v>
      </c>
      <c r="D342" s="32">
        <f>MAX($B$2:B342)</f>
        <v>65018.849296569817</v>
      </c>
      <c r="E342" s="34">
        <f t="shared" si="20"/>
        <v>-0.28449306190770696</v>
      </c>
      <c r="F342" s="35">
        <f t="shared" si="21"/>
        <v>71.550693809229301</v>
      </c>
      <c r="G342" s="36" t="str">
        <f t="shared" si="22"/>
        <v>2023-05</v>
      </c>
    </row>
    <row r="343" spans="1:7" x14ac:dyDescent="0.25">
      <c r="A343" s="37">
        <v>45058</v>
      </c>
      <c r="B343" s="38">
        <v>46099.951858520493</v>
      </c>
      <c r="C343" s="39">
        <f t="shared" si="23"/>
        <v>-9.0600364064296057E-3</v>
      </c>
      <c r="D343" s="38">
        <f>MAX($B$2:B343)</f>
        <v>65018.849296569817</v>
      </c>
      <c r="E343" s="40">
        <f t="shared" si="20"/>
        <v>-0.29097558081587616</v>
      </c>
      <c r="F343" s="41">
        <f t="shared" si="21"/>
        <v>70.902441918412379</v>
      </c>
      <c r="G343" s="42" t="str">
        <f t="shared" si="22"/>
        <v>2023-05</v>
      </c>
    </row>
    <row r="344" spans="1:7" x14ac:dyDescent="0.25">
      <c r="A344" s="31">
        <v>45061</v>
      </c>
      <c r="B344" s="32">
        <v>46296.983261108449</v>
      </c>
      <c r="C344" s="33">
        <f t="shared" si="23"/>
        <v>4.2740045194111786E-3</v>
      </c>
      <c r="D344" s="32">
        <f>MAX($B$2:B344)</f>
        <v>65018.849296569817</v>
      </c>
      <c r="E344" s="34">
        <f t="shared" si="20"/>
        <v>-0.28794520724391026</v>
      </c>
      <c r="F344" s="35">
        <f t="shared" si="21"/>
        <v>71.20547927560898</v>
      </c>
      <c r="G344" s="36" t="str">
        <f t="shared" si="22"/>
        <v>2023-05</v>
      </c>
    </row>
    <row r="345" spans="1:7" x14ac:dyDescent="0.25">
      <c r="A345" s="37">
        <v>45062</v>
      </c>
      <c r="B345" s="38">
        <v>46528.19131851197</v>
      </c>
      <c r="C345" s="39">
        <f t="shared" si="23"/>
        <v>4.9940199364510995E-3</v>
      </c>
      <c r="D345" s="38">
        <f>MAX($B$2:B345)</f>
        <v>65018.849296569817</v>
      </c>
      <c r="E345" s="40">
        <f t="shared" si="20"/>
        <v>-0.28438919141304075</v>
      </c>
      <c r="F345" s="41">
        <f t="shared" si="21"/>
        <v>71.561080858695931</v>
      </c>
      <c r="G345" s="42" t="str">
        <f t="shared" si="22"/>
        <v>2023-05</v>
      </c>
    </row>
    <row r="346" spans="1:7" x14ac:dyDescent="0.25">
      <c r="A346" s="31">
        <v>45063</v>
      </c>
      <c r="B346" s="32">
        <v>47485.608806610137</v>
      </c>
      <c r="C346" s="33">
        <f t="shared" si="23"/>
        <v>2.0577148196973649E-2</v>
      </c>
      <c r="D346" s="32">
        <f>MAX($B$2:B346)</f>
        <v>65018.849296569817</v>
      </c>
      <c r="E346" s="34">
        <f t="shared" si="20"/>
        <v>-0.2696639617533908</v>
      </c>
      <c r="F346" s="35">
        <f t="shared" si="21"/>
        <v>73.033603824660915</v>
      </c>
      <c r="G346" s="36" t="str">
        <f t="shared" si="22"/>
        <v>2023-05</v>
      </c>
    </row>
    <row r="347" spans="1:7" x14ac:dyDescent="0.25">
      <c r="A347" s="37">
        <v>45064</v>
      </c>
      <c r="B347" s="38">
        <v>48371.966400146513</v>
      </c>
      <c r="C347" s="39">
        <f t="shared" si="23"/>
        <v>1.8665815092445248E-2</v>
      </c>
      <c r="D347" s="38">
        <f>MAX($B$2:B347)</f>
        <v>65018.849296569817</v>
      </c>
      <c r="E347" s="40">
        <f t="shared" si="20"/>
        <v>-0.25603164430813052</v>
      </c>
      <c r="F347" s="41">
        <f t="shared" si="21"/>
        <v>74.396835569186948</v>
      </c>
      <c r="G347" s="42" t="str">
        <f t="shared" si="22"/>
        <v>2023-05</v>
      </c>
    </row>
    <row r="348" spans="1:7" x14ac:dyDescent="0.25">
      <c r="A348" s="31">
        <v>45065</v>
      </c>
      <c r="B348" s="32">
        <v>48445.627040862993</v>
      </c>
      <c r="C348" s="33">
        <f t="shared" si="23"/>
        <v>1.5227960779418126E-3</v>
      </c>
      <c r="D348" s="32">
        <f>MAX($B$2:B348)</f>
        <v>65018.849296569817</v>
      </c>
      <c r="E348" s="34">
        <f t="shared" si="20"/>
        <v>-0.25489873221397008</v>
      </c>
      <c r="F348" s="35">
        <f t="shared" si="21"/>
        <v>74.510126778602995</v>
      </c>
      <c r="G348" s="36" t="str">
        <f t="shared" si="22"/>
        <v>2023-05</v>
      </c>
    </row>
    <row r="349" spans="1:7" x14ac:dyDescent="0.25">
      <c r="A349" s="37">
        <v>45068</v>
      </c>
      <c r="B349" s="38">
        <v>48831.948070526087</v>
      </c>
      <c r="C349" s="39">
        <f t="shared" si="23"/>
        <v>7.9743220030414896E-3</v>
      </c>
      <c r="D349" s="38">
        <f>MAX($B$2:B349)</f>
        <v>65018.849296569817</v>
      </c>
      <c r="E349" s="40">
        <f t="shared" si="20"/>
        <v>-0.24895705477976982</v>
      </c>
      <c r="F349" s="41">
        <f t="shared" si="21"/>
        <v>75.104294522023025</v>
      </c>
      <c r="G349" s="42" t="str">
        <f t="shared" si="22"/>
        <v>2023-05</v>
      </c>
    </row>
    <row r="350" spans="1:7" x14ac:dyDescent="0.25">
      <c r="A350" s="31">
        <v>45069</v>
      </c>
      <c r="B350" s="32">
        <v>48111.296577453671</v>
      </c>
      <c r="C350" s="33">
        <f t="shared" si="23"/>
        <v>-1.4757787095276309E-2</v>
      </c>
      <c r="D350" s="32">
        <f>MAX($B$2:B350)</f>
        <v>65018.849296569817</v>
      </c>
      <c r="E350" s="34">
        <f t="shared" si="20"/>
        <v>-0.26004078666473929</v>
      </c>
      <c r="F350" s="35">
        <f t="shared" si="21"/>
        <v>73.99592133352607</v>
      </c>
      <c r="G350" s="36" t="str">
        <f t="shared" si="22"/>
        <v>2023-05</v>
      </c>
    </row>
    <row r="351" spans="1:7" x14ac:dyDescent="0.25">
      <c r="A351" s="37">
        <v>45070</v>
      </c>
      <c r="B351" s="38">
        <v>47929.205703735337</v>
      </c>
      <c r="C351" s="39">
        <f t="shared" si="23"/>
        <v>-3.7847841707028262E-3</v>
      </c>
      <c r="D351" s="38">
        <f>MAX($B$2:B351)</f>
        <v>65018.849296569817</v>
      </c>
      <c r="E351" s="40">
        <f t="shared" si="20"/>
        <v>-0.26284137258233631</v>
      </c>
      <c r="F351" s="41">
        <f t="shared" si="21"/>
        <v>73.715862741766372</v>
      </c>
      <c r="G351" s="42" t="str">
        <f t="shared" si="22"/>
        <v>2023-05</v>
      </c>
    </row>
    <row r="352" spans="1:7" x14ac:dyDescent="0.25">
      <c r="A352" s="31">
        <v>45071</v>
      </c>
      <c r="B352" s="32">
        <v>49637.491950988748</v>
      </c>
      <c r="C352" s="33">
        <f t="shared" si="23"/>
        <v>3.5641864332424777E-2</v>
      </c>
      <c r="D352" s="32">
        <f>MAX($B$2:B352)</f>
        <v>65018.849296569817</v>
      </c>
      <c r="E352" s="34">
        <f t="shared" si="20"/>
        <v>-0.23656766479243951</v>
      </c>
      <c r="F352" s="35">
        <f t="shared" si="21"/>
        <v>76.343233520756044</v>
      </c>
      <c r="G352" s="36" t="str">
        <f t="shared" si="22"/>
        <v>2023-05</v>
      </c>
    </row>
    <row r="353" spans="1:7" x14ac:dyDescent="0.25">
      <c r="A353" s="37">
        <v>45072</v>
      </c>
      <c r="B353" s="38">
        <v>50993.258895874038</v>
      </c>
      <c r="C353" s="39">
        <f t="shared" si="23"/>
        <v>2.7313365192261463E-2</v>
      </c>
      <c r="D353" s="38">
        <f>MAX($B$2:B353)</f>
        <v>65018.849296569817</v>
      </c>
      <c r="E353" s="40">
        <f t="shared" si="20"/>
        <v>-0.21571575862133452</v>
      </c>
      <c r="F353" s="41">
        <f t="shared" si="21"/>
        <v>78.428424137866543</v>
      </c>
      <c r="G353" s="42" t="str">
        <f t="shared" si="22"/>
        <v>2023-05</v>
      </c>
    </row>
    <row r="354" spans="1:7" x14ac:dyDescent="0.25">
      <c r="A354" s="31">
        <v>45076</v>
      </c>
      <c r="B354" s="32">
        <v>51324.804801940903</v>
      </c>
      <c r="C354" s="33">
        <f t="shared" si="23"/>
        <v>6.5017595118574967E-3</v>
      </c>
      <c r="D354" s="32">
        <f>MAX($B$2:B354)</f>
        <v>65018.849296569817</v>
      </c>
      <c r="E354" s="34">
        <f t="shared" si="20"/>
        <v>-0.21061653109495071</v>
      </c>
      <c r="F354" s="35">
        <f t="shared" si="21"/>
        <v>78.938346890504931</v>
      </c>
      <c r="G354" s="36" t="str">
        <f t="shared" si="22"/>
        <v>2023-05</v>
      </c>
    </row>
    <row r="355" spans="1:7" x14ac:dyDescent="0.25">
      <c r="A355" s="37">
        <v>45077</v>
      </c>
      <c r="B355" s="38">
        <v>50846.763801574758</v>
      </c>
      <c r="C355" s="39">
        <f t="shared" si="23"/>
        <v>-9.3140344558713117E-3</v>
      </c>
      <c r="D355" s="38">
        <f>MAX($B$2:B355)</f>
        <v>65018.849296569817</v>
      </c>
      <c r="E355" s="40">
        <f t="shared" si="20"/>
        <v>-0.21796887592322756</v>
      </c>
      <c r="F355" s="41">
        <f t="shared" si="21"/>
        <v>78.203112407677239</v>
      </c>
      <c r="G355" s="42" t="str">
        <f t="shared" si="22"/>
        <v>2023-05</v>
      </c>
    </row>
    <row r="356" spans="1:7" x14ac:dyDescent="0.25">
      <c r="A356" s="31">
        <v>45078</v>
      </c>
      <c r="B356" s="32">
        <v>51588.140869140589</v>
      </c>
      <c r="C356" s="33">
        <f t="shared" si="23"/>
        <v>1.4580614618051158E-2</v>
      </c>
      <c r="D356" s="32">
        <f>MAX($B$2:B356)</f>
        <v>65018.849296569817</v>
      </c>
      <c r="E356" s="34">
        <f t="shared" si="20"/>
        <v>-0.20656638148374284</v>
      </c>
      <c r="F356" s="35">
        <f t="shared" si="21"/>
        <v>79.343361851625716</v>
      </c>
      <c r="G356" s="36" t="str">
        <f t="shared" si="22"/>
        <v>2023-06</v>
      </c>
    </row>
    <row r="357" spans="1:7" x14ac:dyDescent="0.25">
      <c r="A357" s="37">
        <v>45079</v>
      </c>
      <c r="B357" s="38">
        <v>52128.731880188003</v>
      </c>
      <c r="C357" s="39">
        <f t="shared" si="23"/>
        <v>1.0478978345404677E-2</v>
      </c>
      <c r="D357" s="38">
        <f>MAX($B$2:B357)</f>
        <v>65018.849296569817</v>
      </c>
      <c r="E357" s="40">
        <f t="shared" si="20"/>
        <v>-0.19825200777679486</v>
      </c>
      <c r="F357" s="41">
        <f t="shared" si="21"/>
        <v>80.174799222320516</v>
      </c>
      <c r="G357" s="42" t="str">
        <f t="shared" si="22"/>
        <v>2023-06</v>
      </c>
    </row>
    <row r="358" spans="1:7" x14ac:dyDescent="0.25">
      <c r="A358" s="31">
        <v>45082</v>
      </c>
      <c r="B358" s="32">
        <v>52175.969886779807</v>
      </c>
      <c r="C358" s="33">
        <f t="shared" si="23"/>
        <v>9.0617985299124015E-4</v>
      </c>
      <c r="D358" s="32">
        <f>MAX($B$2:B358)</f>
        <v>65018.849296569817</v>
      </c>
      <c r="E358" s="34">
        <f t="shared" si="20"/>
        <v>-0.1975254798990661</v>
      </c>
      <c r="F358" s="35">
        <f t="shared" si="21"/>
        <v>80.247452010093383</v>
      </c>
      <c r="G358" s="36" t="str">
        <f t="shared" si="22"/>
        <v>2023-06</v>
      </c>
    </row>
    <row r="359" spans="1:7" x14ac:dyDescent="0.25">
      <c r="A359" s="37">
        <v>45083</v>
      </c>
      <c r="B359" s="38">
        <v>52381.89918518073</v>
      </c>
      <c r="C359" s="39">
        <f t="shared" si="23"/>
        <v>3.94682262443391E-3</v>
      </c>
      <c r="D359" s="38">
        <f>MAX($B$2:B359)</f>
        <v>65018.849296569817</v>
      </c>
      <c r="E359" s="40">
        <f t="shared" si="20"/>
        <v>-0.19435825530759998</v>
      </c>
      <c r="F359" s="41">
        <f t="shared" si="21"/>
        <v>80.564174469240001</v>
      </c>
      <c r="G359" s="42" t="str">
        <f t="shared" si="22"/>
        <v>2023-06</v>
      </c>
    </row>
    <row r="360" spans="1:7" x14ac:dyDescent="0.25">
      <c r="A360" s="31">
        <v>45084</v>
      </c>
      <c r="B360" s="32">
        <v>51685.08552551271</v>
      </c>
      <c r="C360" s="33">
        <f t="shared" si="23"/>
        <v>-1.3302565781447506E-2</v>
      </c>
      <c r="D360" s="32">
        <f>MAX($B$2:B360)</f>
        <v>65018.849296569817</v>
      </c>
      <c r="E360" s="34">
        <f t="shared" si="20"/>
        <v>-0.20507535761265083</v>
      </c>
      <c r="F360" s="35">
        <f t="shared" si="21"/>
        <v>79.492464238734911</v>
      </c>
      <c r="G360" s="36" t="str">
        <f t="shared" si="22"/>
        <v>2023-06</v>
      </c>
    </row>
    <row r="361" spans="1:7" x14ac:dyDescent="0.25">
      <c r="A361" s="37">
        <v>45085</v>
      </c>
      <c r="B361" s="38">
        <v>52434.991607666008</v>
      </c>
      <c r="C361" s="39">
        <f t="shared" si="23"/>
        <v>1.4509138845927527E-2</v>
      </c>
      <c r="D361" s="38">
        <f>MAX($B$2:B361)</f>
        <v>65018.849296569817</v>
      </c>
      <c r="E361" s="40">
        <f t="shared" si="20"/>
        <v>-0.19354168560420359</v>
      </c>
      <c r="F361" s="41">
        <f t="shared" si="21"/>
        <v>80.645831439579638</v>
      </c>
      <c r="G361" s="42" t="str">
        <f t="shared" si="22"/>
        <v>2023-06</v>
      </c>
    </row>
    <row r="362" spans="1:7" x14ac:dyDescent="0.25">
      <c r="A362" s="31">
        <v>45086</v>
      </c>
      <c r="B362" s="32">
        <v>53085.924453735337</v>
      </c>
      <c r="C362" s="33">
        <f t="shared" si="23"/>
        <v>1.2414092690999246E-2</v>
      </c>
      <c r="D362" s="32">
        <f>MAX($B$2:B362)</f>
        <v>65018.849296569817</v>
      </c>
      <c r="E362" s="34">
        <f t="shared" si="20"/>
        <v>-0.18353023733786722</v>
      </c>
      <c r="F362" s="35">
        <f t="shared" si="21"/>
        <v>81.646976266213272</v>
      </c>
      <c r="G362" s="36" t="str">
        <f t="shared" si="22"/>
        <v>2023-06</v>
      </c>
    </row>
    <row r="363" spans="1:7" x14ac:dyDescent="0.25">
      <c r="A363" s="37">
        <v>45089</v>
      </c>
      <c r="B363" s="38">
        <v>54173.485450744643</v>
      </c>
      <c r="C363" s="39">
        <f t="shared" si="23"/>
        <v>2.0486805272782238E-2</v>
      </c>
      <c r="D363" s="38">
        <f>MAX($B$2:B363)</f>
        <v>65018.849296569817</v>
      </c>
      <c r="E363" s="40">
        <f t="shared" si="20"/>
        <v>-0.16680338029909336</v>
      </c>
      <c r="F363" s="41">
        <f t="shared" si="21"/>
        <v>83.319661970090664</v>
      </c>
      <c r="G363" s="42" t="str">
        <f t="shared" si="22"/>
        <v>2023-06</v>
      </c>
    </row>
    <row r="364" spans="1:7" x14ac:dyDescent="0.25">
      <c r="A364" s="31">
        <v>45090</v>
      </c>
      <c r="B364" s="32">
        <v>54748.307876586863</v>
      </c>
      <c r="C364" s="33">
        <f t="shared" si="23"/>
        <v>1.0610770583791451E-2</v>
      </c>
      <c r="D364" s="32">
        <f>MAX($B$2:B364)</f>
        <v>65018.849296569817</v>
      </c>
      <c r="E364" s="34">
        <f t="shared" si="20"/>
        <v>-0.15796252211625639</v>
      </c>
      <c r="F364" s="35">
        <f t="shared" si="21"/>
        <v>84.203747788374358</v>
      </c>
      <c r="G364" s="36" t="str">
        <f t="shared" si="22"/>
        <v>2023-06</v>
      </c>
    </row>
    <row r="365" spans="1:7" x14ac:dyDescent="0.25">
      <c r="A365" s="37">
        <v>45091</v>
      </c>
      <c r="B365" s="38">
        <v>55014.146041870074</v>
      </c>
      <c r="C365" s="39">
        <f t="shared" si="23"/>
        <v>4.855641673573885E-3</v>
      </c>
      <c r="D365" s="38">
        <f>MAX($B$2:B365)</f>
        <v>65018.849296569817</v>
      </c>
      <c r="E365" s="40">
        <f t="shared" si="20"/>
        <v>-0.15387388984793304</v>
      </c>
      <c r="F365" s="41">
        <f t="shared" si="21"/>
        <v>84.612611015206696</v>
      </c>
      <c r="G365" s="42" t="str">
        <f t="shared" si="22"/>
        <v>2023-06</v>
      </c>
    </row>
    <row r="366" spans="1:7" x14ac:dyDescent="0.25">
      <c r="A366" s="31">
        <v>45092</v>
      </c>
      <c r="B366" s="32">
        <v>55465.854377746582</v>
      </c>
      <c r="C366" s="33">
        <f t="shared" si="23"/>
        <v>8.2107670185904702E-3</v>
      </c>
      <c r="D366" s="32">
        <f>MAX($B$2:B366)</f>
        <v>65018.849296569817</v>
      </c>
      <c r="E366" s="34">
        <f t="shared" si="20"/>
        <v>-0.1469265454891282</v>
      </c>
      <c r="F366" s="35">
        <f t="shared" si="21"/>
        <v>85.307345451087173</v>
      </c>
      <c r="G366" s="36" t="str">
        <f t="shared" si="22"/>
        <v>2023-06</v>
      </c>
    </row>
    <row r="367" spans="1:7" x14ac:dyDescent="0.25">
      <c r="A367" s="37">
        <v>45093</v>
      </c>
      <c r="B367" s="38">
        <v>55209.954910278313</v>
      </c>
      <c r="C367" s="39">
        <f t="shared" si="23"/>
        <v>-4.6136396948919245E-3</v>
      </c>
      <c r="D367" s="38">
        <f>MAX($B$2:B367)</f>
        <v>65018.849296569817</v>
      </c>
      <c r="E367" s="40">
        <f t="shared" si="20"/>
        <v>-0.15086231904151814</v>
      </c>
      <c r="F367" s="41">
        <f t="shared" si="21"/>
        <v>84.913768095848184</v>
      </c>
      <c r="G367" s="42" t="str">
        <f t="shared" si="22"/>
        <v>2023-06</v>
      </c>
    </row>
    <row r="368" spans="1:7" x14ac:dyDescent="0.25">
      <c r="A368" s="31">
        <v>45097</v>
      </c>
      <c r="B368" s="32">
        <v>55659.949417114243</v>
      </c>
      <c r="C368" s="33">
        <f t="shared" si="23"/>
        <v>8.1506044981782821E-3</v>
      </c>
      <c r="D368" s="32">
        <f>MAX($B$2:B368)</f>
        <v>65018.849296569817</v>
      </c>
      <c r="E368" s="34">
        <f t="shared" si="20"/>
        <v>-0.14394133363952533</v>
      </c>
      <c r="F368" s="35">
        <f t="shared" si="21"/>
        <v>85.605866636047466</v>
      </c>
      <c r="G368" s="36" t="str">
        <f t="shared" si="22"/>
        <v>2023-06</v>
      </c>
    </row>
    <row r="369" spans="1:7" x14ac:dyDescent="0.25">
      <c r="A369" s="37">
        <v>45098</v>
      </c>
      <c r="B369" s="38">
        <v>54406.791496276848</v>
      </c>
      <c r="C369" s="39">
        <f t="shared" si="23"/>
        <v>-2.2514535747171882E-2</v>
      </c>
      <c r="D369" s="38">
        <f>MAX($B$2:B369)</f>
        <v>65018.849296569817</v>
      </c>
      <c r="E369" s="40">
        <f t="shared" si="20"/>
        <v>-0.1632150970849745</v>
      </c>
      <c r="F369" s="41">
        <f t="shared" si="21"/>
        <v>83.678490291502555</v>
      </c>
      <c r="G369" s="42" t="str">
        <f t="shared" si="22"/>
        <v>2023-06</v>
      </c>
    </row>
    <row r="370" spans="1:7" x14ac:dyDescent="0.25">
      <c r="A370" s="31">
        <v>45099</v>
      </c>
      <c r="B370" s="32">
        <v>55379.047470092773</v>
      </c>
      <c r="C370" s="33">
        <f t="shared" si="23"/>
        <v>1.787012148809497E-2</v>
      </c>
      <c r="D370" s="32">
        <f>MAX($B$2:B370)</f>
        <v>65018.849296569817</v>
      </c>
      <c r="E370" s="34">
        <f t="shared" si="20"/>
        <v>-0.14826164921047913</v>
      </c>
      <c r="F370" s="35">
        <f t="shared" si="21"/>
        <v>85.173835078952081</v>
      </c>
      <c r="G370" s="36" t="str">
        <f t="shared" si="22"/>
        <v>2023-06</v>
      </c>
    </row>
    <row r="371" spans="1:7" x14ac:dyDescent="0.25">
      <c r="A371" s="37">
        <v>45100</v>
      </c>
      <c r="B371" s="38">
        <v>54623.568077087453</v>
      </c>
      <c r="C371" s="39">
        <f t="shared" si="23"/>
        <v>-1.3641971603309266E-2</v>
      </c>
      <c r="D371" s="38">
        <f>MAX($B$2:B371)</f>
        <v>65018.849296569817</v>
      </c>
      <c r="E371" s="40">
        <f t="shared" si="20"/>
        <v>-0.15988103960539923</v>
      </c>
      <c r="F371" s="41">
        <f t="shared" si="21"/>
        <v>84.011896039460083</v>
      </c>
      <c r="G371" s="42" t="str">
        <f t="shared" si="22"/>
        <v>2023-06</v>
      </c>
    </row>
    <row r="372" spans="1:7" x14ac:dyDescent="0.25">
      <c r="A372" s="31">
        <v>45103</v>
      </c>
      <c r="B372" s="32">
        <v>53235.083045959473</v>
      </c>
      <c r="C372" s="33">
        <f t="shared" si="23"/>
        <v>-2.5419156602301873E-2</v>
      </c>
      <c r="D372" s="32">
        <f>MAX($B$2:B372)</f>
        <v>65018.849296569817</v>
      </c>
      <c r="E372" s="34">
        <f t="shared" si="20"/>
        <v>-0.18123615502423263</v>
      </c>
      <c r="F372" s="35">
        <f t="shared" si="21"/>
        <v>81.876384497576737</v>
      </c>
      <c r="G372" s="36" t="str">
        <f t="shared" si="22"/>
        <v>2023-06</v>
      </c>
    </row>
    <row r="373" spans="1:7" x14ac:dyDescent="0.25">
      <c r="A373" s="37">
        <v>45104</v>
      </c>
      <c r="B373" s="38">
        <v>54344.444046020493</v>
      </c>
      <c r="C373" s="39">
        <f t="shared" si="23"/>
        <v>2.0838908039333193E-2</v>
      </c>
      <c r="D373" s="38">
        <f>MAX($B$2:B373)</f>
        <v>65018.849296569817</v>
      </c>
      <c r="E373" s="40">
        <f t="shared" si="20"/>
        <v>-0.16417401055285163</v>
      </c>
      <c r="F373" s="41">
        <f t="shared" si="21"/>
        <v>83.582598944714832</v>
      </c>
      <c r="G373" s="42" t="str">
        <f t="shared" si="22"/>
        <v>2023-06</v>
      </c>
    </row>
    <row r="374" spans="1:7" x14ac:dyDescent="0.25">
      <c r="A374" s="31">
        <v>45105</v>
      </c>
      <c r="B374" s="32">
        <v>54727.435760498047</v>
      </c>
      <c r="C374" s="33">
        <f t="shared" si="23"/>
        <v>7.0474861082987506E-3</v>
      </c>
      <c r="D374" s="32">
        <f>MAX($B$2:B374)</f>
        <v>65018.849296569817</v>
      </c>
      <c r="E374" s="34">
        <f t="shared" si="20"/>
        <v>-0.15828353850326771</v>
      </c>
      <c r="F374" s="35">
        <f t="shared" si="21"/>
        <v>84.171646149673222</v>
      </c>
      <c r="G374" s="36" t="str">
        <f t="shared" si="22"/>
        <v>2023-06</v>
      </c>
    </row>
    <row r="375" spans="1:7" x14ac:dyDescent="0.25">
      <c r="A375" s="37">
        <v>45106</v>
      </c>
      <c r="B375" s="38">
        <v>54546.843223571741</v>
      </c>
      <c r="C375" s="39">
        <f t="shared" si="23"/>
        <v>-3.2998538012383172E-3</v>
      </c>
      <c r="D375" s="38">
        <f>MAX($B$2:B375)</f>
        <v>65018.849296569817</v>
      </c>
      <c r="E375" s="40">
        <f t="shared" si="20"/>
        <v>-0.16106107976830264</v>
      </c>
      <c r="F375" s="41">
        <f t="shared" si="21"/>
        <v>83.893892023169741</v>
      </c>
      <c r="G375" s="42" t="str">
        <f t="shared" si="22"/>
        <v>2023-06</v>
      </c>
    </row>
    <row r="376" spans="1:7" x14ac:dyDescent="0.25">
      <c r="A376" s="31">
        <v>45107</v>
      </c>
      <c r="B376" s="32">
        <v>55348.538322448781</v>
      </c>
      <c r="C376" s="33">
        <f t="shared" si="23"/>
        <v>1.4697369297635099E-2</v>
      </c>
      <c r="D376" s="32">
        <f>MAX($B$2:B376)</f>
        <v>65018.849296569817</v>
      </c>
      <c r="E376" s="34">
        <f t="shared" si="20"/>
        <v>-0.14873088463949802</v>
      </c>
      <c r="F376" s="35">
        <f t="shared" si="21"/>
        <v>85.126911536050201</v>
      </c>
      <c r="G376" s="36" t="str">
        <f t="shared" si="22"/>
        <v>2023-06</v>
      </c>
    </row>
    <row r="377" spans="1:7" x14ac:dyDescent="0.25">
      <c r="A377" s="37">
        <v>45110</v>
      </c>
      <c r="B377" s="38">
        <v>56183.221702575647</v>
      </c>
      <c r="C377" s="39">
        <f t="shared" si="23"/>
        <v>1.5080495446224473E-2</v>
      </c>
      <c r="D377" s="38">
        <f>MAX($B$2:B377)</f>
        <v>65018.849296569817</v>
      </c>
      <c r="E377" s="40">
        <f t="shared" si="20"/>
        <v>-0.13589332462179249</v>
      </c>
      <c r="F377" s="41">
        <f t="shared" si="21"/>
        <v>86.410667537820757</v>
      </c>
      <c r="G377" s="42" t="str">
        <f t="shared" si="22"/>
        <v>2023-07</v>
      </c>
    </row>
    <row r="378" spans="1:7" x14ac:dyDescent="0.25">
      <c r="A378" s="31">
        <v>45112</v>
      </c>
      <c r="B378" s="32">
        <v>56124.784317016638</v>
      </c>
      <c r="C378" s="33">
        <f t="shared" si="23"/>
        <v>-1.0401216553291848E-3</v>
      </c>
      <c r="D378" s="32">
        <f>MAX($B$2:B378)</f>
        <v>65018.849296569817</v>
      </c>
      <c r="E378" s="34">
        <f t="shared" si="20"/>
        <v>-0.13679210068736791</v>
      </c>
      <c r="F378" s="35">
        <f t="shared" si="21"/>
        <v>86.320789931263207</v>
      </c>
      <c r="G378" s="36" t="str">
        <f t="shared" si="22"/>
        <v>2023-07</v>
      </c>
    </row>
    <row r="379" spans="1:7" x14ac:dyDescent="0.25">
      <c r="A379" s="37">
        <v>45113</v>
      </c>
      <c r="B379" s="38">
        <v>55738.763046264678</v>
      </c>
      <c r="C379" s="39">
        <f t="shared" si="23"/>
        <v>-6.8779109879789635E-3</v>
      </c>
      <c r="D379" s="38">
        <f>MAX($B$2:B379)</f>
        <v>65018.849296569817</v>
      </c>
      <c r="E379" s="40">
        <f t="shared" si="20"/>
        <v>-0.14272916778296052</v>
      </c>
      <c r="F379" s="41">
        <f t="shared" si="21"/>
        <v>85.72708322170395</v>
      </c>
      <c r="G379" s="42" t="str">
        <f t="shared" si="22"/>
        <v>2023-07</v>
      </c>
    </row>
    <row r="380" spans="1:7" x14ac:dyDescent="0.25">
      <c r="A380" s="31">
        <v>45114</v>
      </c>
      <c r="B380" s="32">
        <v>55514.625816345193</v>
      </c>
      <c r="C380" s="33">
        <f t="shared" si="23"/>
        <v>-4.0212092567150082E-3</v>
      </c>
      <c r="D380" s="32">
        <f>MAX($B$2:B380)</f>
        <v>65018.849296569817</v>
      </c>
      <c r="E380" s="34">
        <f t="shared" si="20"/>
        <v>-0.14617643318898343</v>
      </c>
      <c r="F380" s="35">
        <f t="shared" si="21"/>
        <v>85.382356681101655</v>
      </c>
      <c r="G380" s="36" t="str">
        <f t="shared" si="22"/>
        <v>2023-07</v>
      </c>
    </row>
    <row r="381" spans="1:7" x14ac:dyDescent="0.25">
      <c r="A381" s="37">
        <v>45117</v>
      </c>
      <c r="B381" s="38">
        <v>54845.644454956091</v>
      </c>
      <c r="C381" s="39">
        <f t="shared" si="23"/>
        <v>-1.2050542565165467E-2</v>
      </c>
      <c r="D381" s="38">
        <f>MAX($B$2:B381)</f>
        <v>65018.849296569817</v>
      </c>
      <c r="E381" s="40">
        <f t="shared" si="20"/>
        <v>-0.15646547042398107</v>
      </c>
      <c r="F381" s="41">
        <f t="shared" si="21"/>
        <v>84.353452957601888</v>
      </c>
      <c r="G381" s="42" t="str">
        <f t="shared" si="22"/>
        <v>2023-07</v>
      </c>
    </row>
    <row r="382" spans="1:7" x14ac:dyDescent="0.25">
      <c r="A382" s="31">
        <v>45118</v>
      </c>
      <c r="B382" s="32">
        <v>55104.511756897002</v>
      </c>
      <c r="C382" s="33">
        <f t="shared" si="23"/>
        <v>4.7199245174978088E-3</v>
      </c>
      <c r="D382" s="32">
        <f>MAX($B$2:B382)</f>
        <v>65018.849296569817</v>
      </c>
      <c r="E382" s="34">
        <f t="shared" si="20"/>
        <v>-0.15248405111647934</v>
      </c>
      <c r="F382" s="35">
        <f t="shared" si="21"/>
        <v>84.751594888352059</v>
      </c>
      <c r="G382" s="36" t="str">
        <f t="shared" si="22"/>
        <v>2023-07</v>
      </c>
    </row>
    <row r="383" spans="1:7" x14ac:dyDescent="0.25">
      <c r="A383" s="37">
        <v>45119</v>
      </c>
      <c r="B383" s="38">
        <v>55841.219635009737</v>
      </c>
      <c r="C383" s="39">
        <f t="shared" si="23"/>
        <v>1.3369284195146269E-2</v>
      </c>
      <c r="D383" s="38">
        <f>MAX($B$2:B383)</f>
        <v>65018.849296569817</v>
      </c>
      <c r="E383" s="40">
        <f t="shared" si="20"/>
        <v>-0.14115336953593649</v>
      </c>
      <c r="F383" s="41">
        <f t="shared" si="21"/>
        <v>85.884663046406345</v>
      </c>
      <c r="G383" s="42" t="str">
        <f t="shared" si="22"/>
        <v>2023-07</v>
      </c>
    </row>
    <row r="384" spans="1:7" x14ac:dyDescent="0.25">
      <c r="A384" s="31">
        <v>45120</v>
      </c>
      <c r="B384" s="32">
        <v>56927.364044189511</v>
      </c>
      <c r="C384" s="33">
        <f t="shared" si="23"/>
        <v>1.9450585361119321E-2</v>
      </c>
      <c r="D384" s="32">
        <f>MAX($B$2:B384)</f>
        <v>65018.849296569817</v>
      </c>
      <c r="E384" s="34">
        <f t="shared" si="20"/>
        <v>-0.12444829983798533</v>
      </c>
      <c r="F384" s="35">
        <f t="shared" si="21"/>
        <v>87.555170016201473</v>
      </c>
      <c r="G384" s="36" t="str">
        <f t="shared" si="22"/>
        <v>2023-07</v>
      </c>
    </row>
    <row r="385" spans="1:7" x14ac:dyDescent="0.25">
      <c r="A385" s="37">
        <v>45121</v>
      </c>
      <c r="B385" s="38">
        <v>57164.161643981992</v>
      </c>
      <c r="C385" s="39">
        <f t="shared" si="23"/>
        <v>4.1596445535168058E-3</v>
      </c>
      <c r="D385" s="38">
        <f>MAX($B$2:B385)</f>
        <v>65018.849296569817</v>
      </c>
      <c r="E385" s="40">
        <f t="shared" si="20"/>
        <v>-0.12080631597708413</v>
      </c>
      <c r="F385" s="41">
        <f t="shared" si="21"/>
        <v>87.919368402291582</v>
      </c>
      <c r="G385" s="42" t="str">
        <f t="shared" si="22"/>
        <v>2023-07</v>
      </c>
    </row>
    <row r="386" spans="1:7" x14ac:dyDescent="0.25">
      <c r="A386" s="31">
        <v>45124</v>
      </c>
      <c r="B386" s="32">
        <v>57805.841941833569</v>
      </c>
      <c r="C386" s="33">
        <f t="shared" si="23"/>
        <v>1.1225220127393021E-2</v>
      </c>
      <c r="D386" s="32">
        <f>MAX($B$2:B386)</f>
        <v>65018.849296569817</v>
      </c>
      <c r="E386" s="34">
        <f t="shared" ref="E386:E449" si="24">B386/D386-1</f>
        <v>-0.11093717333931319</v>
      </c>
      <c r="F386" s="35">
        <f t="shared" ref="F386:F449" si="25">B386/$B$2*100</f>
        <v>88.906282666068677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58372.953109741233</v>
      </c>
      <c r="C387" s="39">
        <f t="shared" ref="C387:C450" si="27">B387/B386-1</f>
        <v>9.8106203258541136E-3</v>
      </c>
      <c r="D387" s="38">
        <f>MAX($B$2:B387)</f>
        <v>65018.849296569817</v>
      </c>
      <c r="E387" s="40">
        <f t="shared" si="24"/>
        <v>-0.1022149155011145</v>
      </c>
      <c r="F387" s="41">
        <f t="shared" si="25"/>
        <v>89.778508449888548</v>
      </c>
      <c r="G387" s="42" t="str">
        <f t="shared" si="26"/>
        <v>2023-07</v>
      </c>
    </row>
    <row r="388" spans="1:7" x14ac:dyDescent="0.25">
      <c r="A388" s="31">
        <v>45126</v>
      </c>
      <c r="B388" s="32">
        <v>58221.619224548347</v>
      </c>
      <c r="C388" s="33">
        <f t="shared" si="27"/>
        <v>-2.5925343353517816E-3</v>
      </c>
      <c r="D388" s="32">
        <f>MAX($B$2:B388)</f>
        <v>65018.849296569817</v>
      </c>
      <c r="E388" s="34">
        <f t="shared" si="24"/>
        <v>-0.10454245415844465</v>
      </c>
      <c r="F388" s="35">
        <f t="shared" si="25"/>
        <v>89.545754584155532</v>
      </c>
      <c r="G388" s="36" t="str">
        <f t="shared" si="26"/>
        <v>2023-07</v>
      </c>
    </row>
    <row r="389" spans="1:7" x14ac:dyDescent="0.25">
      <c r="A389" s="37">
        <v>45127</v>
      </c>
      <c r="B389" s="38">
        <v>55860.572891235337</v>
      </c>
      <c r="C389" s="39">
        <f t="shared" si="27"/>
        <v>-4.0552742516606344E-2</v>
      </c>
      <c r="D389" s="38">
        <f>MAX($B$2:B389)</f>
        <v>65018.849296569817</v>
      </c>
      <c r="E389" s="40">
        <f t="shared" si="24"/>
        <v>-0.14085571344950953</v>
      </c>
      <c r="F389" s="41">
        <f t="shared" si="25"/>
        <v>85.914428655049051</v>
      </c>
      <c r="G389" s="42" t="str">
        <f t="shared" si="26"/>
        <v>2023-07</v>
      </c>
    </row>
    <row r="390" spans="1:7" x14ac:dyDescent="0.25">
      <c r="A390" s="31">
        <v>45128</v>
      </c>
      <c r="B390" s="32">
        <v>55510.471458435059</v>
      </c>
      <c r="C390" s="33">
        <f t="shared" si="27"/>
        <v>-6.2674157223906457E-3</v>
      </c>
      <c r="D390" s="32">
        <f>MAX($B$2:B390)</f>
        <v>65018.849296569817</v>
      </c>
      <c r="E390" s="34">
        <f t="shared" si="24"/>
        <v>-0.14624032785883812</v>
      </c>
      <c r="F390" s="35">
        <f t="shared" si="25"/>
        <v>85.375967214116187</v>
      </c>
      <c r="G390" s="36" t="str">
        <f t="shared" si="26"/>
        <v>2023-07</v>
      </c>
    </row>
    <row r="391" spans="1:7" x14ac:dyDescent="0.25">
      <c r="A391" s="37">
        <v>45131</v>
      </c>
      <c r="B391" s="38">
        <v>56093.45188140875</v>
      </c>
      <c r="C391" s="39">
        <f t="shared" si="27"/>
        <v>1.0502170269085509E-2</v>
      </c>
      <c r="D391" s="38">
        <f>MAX($B$2:B391)</f>
        <v>65018.849296569817</v>
      </c>
      <c r="E391" s="40">
        <f t="shared" si="24"/>
        <v>-0.13727399841313315</v>
      </c>
      <c r="F391" s="41">
        <f t="shared" si="25"/>
        <v>86.272600158686686</v>
      </c>
      <c r="G391" s="42" t="str">
        <f t="shared" si="26"/>
        <v>2023-07</v>
      </c>
    </row>
    <row r="392" spans="1:7" x14ac:dyDescent="0.25">
      <c r="A392" s="31">
        <v>45132</v>
      </c>
      <c r="B392" s="32">
        <v>56391.969947814992</v>
      </c>
      <c r="C392" s="33">
        <f t="shared" si="27"/>
        <v>5.321798826668056E-3</v>
      </c>
      <c r="D392" s="32">
        <f>MAX($B$2:B392)</f>
        <v>65018.849296569817</v>
      </c>
      <c r="E392" s="34">
        <f t="shared" si="24"/>
        <v>-0.13268274419015214</v>
      </c>
      <c r="F392" s="35">
        <f t="shared" si="25"/>
        <v>86.731725580984786</v>
      </c>
      <c r="G392" s="36" t="str">
        <f t="shared" si="26"/>
        <v>2023-07</v>
      </c>
    </row>
    <row r="393" spans="1:7" x14ac:dyDescent="0.25">
      <c r="A393" s="37">
        <v>45133</v>
      </c>
      <c r="B393" s="38">
        <v>56125.492897033721</v>
      </c>
      <c r="C393" s="39">
        <f t="shared" si="27"/>
        <v>-4.7254431974600442E-3</v>
      </c>
      <c r="D393" s="38">
        <f>MAX($B$2:B393)</f>
        <v>65018.849296569817</v>
      </c>
      <c r="E393" s="40">
        <f t="shared" si="24"/>
        <v>-0.13678120261665849</v>
      </c>
      <c r="F393" s="41">
        <f t="shared" si="25"/>
        <v>86.321879738334147</v>
      </c>
      <c r="G393" s="42" t="str">
        <f t="shared" si="26"/>
        <v>2023-07</v>
      </c>
    </row>
    <row r="394" spans="1:7" x14ac:dyDescent="0.25">
      <c r="A394" s="31">
        <v>45134</v>
      </c>
      <c r="B394" s="32">
        <v>55517.368583679177</v>
      </c>
      <c r="C394" s="33">
        <f t="shared" si="27"/>
        <v>-1.0835081920263723E-2</v>
      </c>
      <c r="D394" s="32">
        <f>MAX($B$2:B394)</f>
        <v>65018.849296569817</v>
      </c>
      <c r="E394" s="34">
        <f t="shared" si="24"/>
        <v>-0.14613424900141858</v>
      </c>
      <c r="F394" s="35">
        <f t="shared" si="25"/>
        <v>85.386575099858135</v>
      </c>
      <c r="G394" s="36" t="str">
        <f t="shared" si="26"/>
        <v>2023-07</v>
      </c>
    </row>
    <row r="395" spans="1:7" x14ac:dyDescent="0.25">
      <c r="A395" s="37">
        <v>45135</v>
      </c>
      <c r="B395" s="38">
        <v>56849.860420227044</v>
      </c>
      <c r="C395" s="39">
        <f t="shared" si="27"/>
        <v>2.4001350758176665E-2</v>
      </c>
      <c r="D395" s="38">
        <f>MAX($B$2:B395)</f>
        <v>65018.849296569817</v>
      </c>
      <c r="E395" s="40">
        <f t="shared" si="24"/>
        <v>-0.12564031761130756</v>
      </c>
      <c r="F395" s="41">
        <f t="shared" si="25"/>
        <v>87.435968238869251</v>
      </c>
      <c r="G395" s="42" t="str">
        <f t="shared" si="26"/>
        <v>2023-07</v>
      </c>
    </row>
    <row r="396" spans="1:7" x14ac:dyDescent="0.25">
      <c r="A396" s="31">
        <v>45138</v>
      </c>
      <c r="B396" s="32">
        <v>56811.04686737062</v>
      </c>
      <c r="C396" s="33">
        <f t="shared" si="27"/>
        <v>-6.8273787428008159E-4</v>
      </c>
      <c r="D396" s="32">
        <f>MAX($B$2:B396)</f>
        <v>65018.849296569817</v>
      </c>
      <c r="E396" s="34">
        <f t="shared" si="24"/>
        <v>-0.1262372760822178</v>
      </c>
      <c r="F396" s="35">
        <f t="shared" si="25"/>
        <v>87.376272391778215</v>
      </c>
      <c r="G396" s="36" t="str">
        <f t="shared" si="26"/>
        <v>2023-07</v>
      </c>
    </row>
    <row r="397" spans="1:7" x14ac:dyDescent="0.25">
      <c r="A397" s="37">
        <v>45139</v>
      </c>
      <c r="B397" s="38">
        <v>56316.528396606423</v>
      </c>
      <c r="C397" s="39">
        <f t="shared" si="27"/>
        <v>-8.7046181690452196E-3</v>
      </c>
      <c r="D397" s="38">
        <f>MAX($B$2:B397)</f>
        <v>65018.849296569817</v>
      </c>
      <c r="E397" s="40">
        <f t="shared" si="24"/>
        <v>-0.13384304696426697</v>
      </c>
      <c r="F397" s="41">
        <f t="shared" si="25"/>
        <v>86.615695303573304</v>
      </c>
      <c r="G397" s="42" t="str">
        <f t="shared" si="26"/>
        <v>2023-08</v>
      </c>
    </row>
    <row r="398" spans="1:7" x14ac:dyDescent="0.25">
      <c r="A398" s="31">
        <v>45140</v>
      </c>
      <c r="B398" s="32">
        <v>54873.357086181662</v>
      </c>
      <c r="C398" s="33">
        <f t="shared" si="27"/>
        <v>-2.5626070205558404E-2</v>
      </c>
      <c r="D398" s="32">
        <f>MAX($B$2:B398)</f>
        <v>65018.849296569817</v>
      </c>
      <c r="E398" s="34">
        <f t="shared" si="24"/>
        <v>-0.1560392458517933</v>
      </c>
      <c r="F398" s="35">
        <f t="shared" si="25"/>
        <v>84.396075414820672</v>
      </c>
      <c r="G398" s="36" t="str">
        <f t="shared" si="26"/>
        <v>2023-08</v>
      </c>
    </row>
    <row r="399" spans="1:7" x14ac:dyDescent="0.25">
      <c r="A399" s="37">
        <v>45141</v>
      </c>
      <c r="B399" s="38">
        <v>54957.268371582017</v>
      </c>
      <c r="C399" s="39">
        <f t="shared" si="27"/>
        <v>1.5291808239208393E-3</v>
      </c>
      <c r="D399" s="38">
        <f>MAX($B$2:B399)</f>
        <v>65018.849296569817</v>
      </c>
      <c r="E399" s="40">
        <f t="shared" si="24"/>
        <v>-0.15474867725040797</v>
      </c>
      <c r="F399" s="41">
        <f t="shared" si="25"/>
        <v>84.525132274959205</v>
      </c>
      <c r="G399" s="42" t="str">
        <f t="shared" si="26"/>
        <v>2023-08</v>
      </c>
    </row>
    <row r="400" spans="1:7" x14ac:dyDescent="0.25">
      <c r="A400" s="31">
        <v>45142</v>
      </c>
      <c r="B400" s="32">
        <v>54598.670043945327</v>
      </c>
      <c r="C400" s="33">
        <f t="shared" si="27"/>
        <v>-6.5250391488184123E-3</v>
      </c>
      <c r="D400" s="32">
        <f>MAX($B$2:B400)</f>
        <v>65018.849296569817</v>
      </c>
      <c r="E400" s="34">
        <f t="shared" si="24"/>
        <v>-0.16026397522193958</v>
      </c>
      <c r="F400" s="35">
        <f t="shared" si="25"/>
        <v>83.97360247780604</v>
      </c>
      <c r="G400" s="36" t="str">
        <f t="shared" si="26"/>
        <v>2023-08</v>
      </c>
    </row>
    <row r="401" spans="1:7" x14ac:dyDescent="0.25">
      <c r="A401" s="37">
        <v>45145</v>
      </c>
      <c r="B401" s="38">
        <v>54624.240837097197</v>
      </c>
      <c r="C401" s="39">
        <f t="shared" si="27"/>
        <v>4.6834095283432298E-4</v>
      </c>
      <c r="D401" s="38">
        <f>MAX($B$2:B401)</f>
        <v>65018.849296569817</v>
      </c>
      <c r="E401" s="40">
        <f t="shared" si="24"/>
        <v>-0.15987069245196572</v>
      </c>
      <c r="F401" s="41">
        <f t="shared" si="25"/>
        <v>84.012930754803421</v>
      </c>
      <c r="G401" s="42" t="str">
        <f t="shared" si="26"/>
        <v>2023-08</v>
      </c>
    </row>
    <row r="402" spans="1:7" x14ac:dyDescent="0.25">
      <c r="A402" s="31">
        <v>45146</v>
      </c>
      <c r="B402" s="32">
        <v>54146.87366485595</v>
      </c>
      <c r="C402" s="33">
        <f t="shared" si="27"/>
        <v>-8.7391085885271114E-3</v>
      </c>
      <c r="D402" s="32">
        <f>MAX($B$2:B402)</f>
        <v>65018.849296569817</v>
      </c>
      <c r="E402" s="34">
        <f t="shared" si="24"/>
        <v>-0.16721267369903203</v>
      </c>
      <c r="F402" s="35">
        <f t="shared" si="25"/>
        <v>83.278732630096798</v>
      </c>
      <c r="G402" s="36" t="str">
        <f t="shared" si="26"/>
        <v>2023-08</v>
      </c>
    </row>
    <row r="403" spans="1:7" x14ac:dyDescent="0.25">
      <c r="A403" s="37">
        <v>45147</v>
      </c>
      <c r="B403" s="38">
        <v>53247.567214965849</v>
      </c>
      <c r="C403" s="39">
        <f t="shared" si="27"/>
        <v>-1.6608649567773526E-2</v>
      </c>
      <c r="D403" s="38">
        <f>MAX($B$2:B403)</f>
        <v>65018.849296569817</v>
      </c>
      <c r="E403" s="40">
        <f t="shared" si="24"/>
        <v>-0.18104414656604795</v>
      </c>
      <c r="F403" s="41">
        <f t="shared" si="25"/>
        <v>81.895585343395211</v>
      </c>
      <c r="G403" s="42" t="str">
        <f t="shared" si="26"/>
        <v>2023-08</v>
      </c>
    </row>
    <row r="404" spans="1:7" x14ac:dyDescent="0.25">
      <c r="A404" s="31">
        <v>45148</v>
      </c>
      <c r="B404" s="32">
        <v>53405.483856201179</v>
      </c>
      <c r="C404" s="33">
        <f t="shared" si="27"/>
        <v>2.965706218986508E-3</v>
      </c>
      <c r="D404" s="32">
        <f>MAX($B$2:B404)</f>
        <v>65018.849296569817</v>
      </c>
      <c r="E404" s="34">
        <f t="shared" si="24"/>
        <v>-0.17861536409844336</v>
      </c>
      <c r="F404" s="35">
        <f t="shared" si="25"/>
        <v>82.138463590155666</v>
      </c>
      <c r="G404" s="36" t="str">
        <f t="shared" si="26"/>
        <v>2023-08</v>
      </c>
    </row>
    <row r="405" spans="1:7" x14ac:dyDescent="0.25">
      <c r="A405" s="37">
        <v>45149</v>
      </c>
      <c r="B405" s="38">
        <v>52936.196022033713</v>
      </c>
      <c r="C405" s="39">
        <f t="shared" si="27"/>
        <v>-8.7872592902830116E-3</v>
      </c>
      <c r="D405" s="38">
        <f>MAX($B$2:B405)</f>
        <v>65018.849296569817</v>
      </c>
      <c r="E405" s="40">
        <f t="shared" si="24"/>
        <v>-0.18583308387116515</v>
      </c>
      <c r="F405" s="41">
        <f t="shared" si="25"/>
        <v>81.416691612883483</v>
      </c>
      <c r="G405" s="42" t="str">
        <f t="shared" si="26"/>
        <v>2023-08</v>
      </c>
    </row>
    <row r="406" spans="1:7" x14ac:dyDescent="0.25">
      <c r="A406" s="31">
        <v>45152</v>
      </c>
      <c r="B406" s="32">
        <v>53500.342407226621</v>
      </c>
      <c r="C406" s="33">
        <f t="shared" si="27"/>
        <v>1.0657100955234755E-2</v>
      </c>
      <c r="D406" s="32">
        <f>MAX($B$2:B406)</f>
        <v>65018.849296569817</v>
      </c>
      <c r="E406" s="34">
        <f t="shared" si="24"/>
        <v>-0.17715642485156802</v>
      </c>
      <c r="F406" s="35">
        <f t="shared" si="25"/>
        <v>82.284357514843194</v>
      </c>
      <c r="G406" s="36" t="str">
        <f t="shared" si="26"/>
        <v>2023-08</v>
      </c>
    </row>
    <row r="407" spans="1:7" x14ac:dyDescent="0.25">
      <c r="A407" s="37">
        <v>45153</v>
      </c>
      <c r="B407" s="38">
        <v>52649.436187744133</v>
      </c>
      <c r="C407" s="39">
        <f t="shared" si="27"/>
        <v>-1.5904687357057967E-2</v>
      </c>
      <c r="D407" s="38">
        <f>MAX($B$2:B407)</f>
        <v>65018.849296569817</v>
      </c>
      <c r="E407" s="40">
        <f t="shared" si="24"/>
        <v>-0.19024349465806767</v>
      </c>
      <c r="F407" s="41">
        <f t="shared" si="25"/>
        <v>80.975650534193235</v>
      </c>
      <c r="G407" s="42" t="str">
        <f t="shared" si="26"/>
        <v>2023-08</v>
      </c>
    </row>
    <row r="408" spans="1:7" x14ac:dyDescent="0.25">
      <c r="A408" s="31">
        <v>45154</v>
      </c>
      <c r="B408" s="32">
        <v>52041.186103820823</v>
      </c>
      <c r="C408" s="33">
        <f t="shared" si="27"/>
        <v>-1.1552831862326807E-2</v>
      </c>
      <c r="D408" s="32">
        <f>MAX($B$2:B408)</f>
        <v>65018.849296569817</v>
      </c>
      <c r="E408" s="34">
        <f t="shared" si="24"/>
        <v>-0.19959847541370823</v>
      </c>
      <c r="F408" s="35">
        <f t="shared" si="25"/>
        <v>80.04015245862918</v>
      </c>
      <c r="G408" s="36" t="str">
        <f t="shared" si="26"/>
        <v>2023-08</v>
      </c>
    </row>
    <row r="409" spans="1:7" x14ac:dyDescent="0.25">
      <c r="A409" s="37">
        <v>45155</v>
      </c>
      <c r="B409" s="38">
        <v>51423.421020507827</v>
      </c>
      <c r="C409" s="39">
        <f t="shared" si="27"/>
        <v>-1.187069568477106E-2</v>
      </c>
      <c r="D409" s="38">
        <f>MAX($B$2:B409)</f>
        <v>65018.849296569817</v>
      </c>
      <c r="E409" s="40">
        <f t="shared" si="24"/>
        <v>-0.20909979833769898</v>
      </c>
      <c r="F409" s="41">
        <f t="shared" si="25"/>
        <v>79.090020166230104</v>
      </c>
      <c r="G409" s="42" t="str">
        <f t="shared" si="26"/>
        <v>2023-08</v>
      </c>
    </row>
    <row r="410" spans="1:7" x14ac:dyDescent="0.25">
      <c r="A410" s="31">
        <v>45156</v>
      </c>
      <c r="B410" s="32">
        <v>51145.67588806156</v>
      </c>
      <c r="C410" s="33">
        <f t="shared" si="27"/>
        <v>-5.4011407046509197E-3</v>
      </c>
      <c r="D410" s="32">
        <f>MAX($B$2:B410)</f>
        <v>65018.849296569817</v>
      </c>
      <c r="E410" s="34">
        <f t="shared" si="24"/>
        <v>-0.21337156161021387</v>
      </c>
      <c r="F410" s="35">
        <f t="shared" si="25"/>
        <v>78.662843838978617</v>
      </c>
      <c r="G410" s="36" t="str">
        <f t="shared" si="26"/>
        <v>2023-08</v>
      </c>
    </row>
    <row r="411" spans="1:7" x14ac:dyDescent="0.25">
      <c r="A411" s="37">
        <v>45159</v>
      </c>
      <c r="B411" s="38">
        <v>52508.879394531243</v>
      </c>
      <c r="C411" s="39">
        <f t="shared" si="27"/>
        <v>2.6653348162867463E-2</v>
      </c>
      <c r="D411" s="38">
        <f>MAX($B$2:B411)</f>
        <v>65018.849296569817</v>
      </c>
      <c r="E411" s="40">
        <f t="shared" si="24"/>
        <v>-0.19240527996699808</v>
      </c>
      <c r="F411" s="41">
        <f t="shared" si="25"/>
        <v>80.759472003300189</v>
      </c>
      <c r="G411" s="42" t="str">
        <f t="shared" si="26"/>
        <v>2023-08</v>
      </c>
    </row>
    <row r="412" spans="1:7" x14ac:dyDescent="0.25">
      <c r="A412" s="31">
        <v>45160</v>
      </c>
      <c r="B412" s="32">
        <v>52607.37846374511</v>
      </c>
      <c r="C412" s="33">
        <f t="shared" si="27"/>
        <v>1.8758554810089922E-3</v>
      </c>
      <c r="D412" s="32">
        <f>MAX($B$2:B412)</f>
        <v>65018.849296569817</v>
      </c>
      <c r="E412" s="34">
        <f t="shared" si="24"/>
        <v>-0.19089034898499035</v>
      </c>
      <c r="F412" s="35">
        <f t="shared" si="25"/>
        <v>80.910965101500963</v>
      </c>
      <c r="G412" s="36" t="str">
        <f t="shared" si="26"/>
        <v>2023-08</v>
      </c>
    </row>
    <row r="413" spans="1:7" x14ac:dyDescent="0.25">
      <c r="A413" s="37">
        <v>45161</v>
      </c>
      <c r="B413" s="38">
        <v>53589.683113098174</v>
      </c>
      <c r="C413" s="39">
        <f t="shared" si="27"/>
        <v>1.8672374066881714E-2</v>
      </c>
      <c r="D413" s="38">
        <f>MAX($B$2:B413)</f>
        <v>65018.849296569817</v>
      </c>
      <c r="E413" s="40">
        <f t="shared" si="24"/>
        <v>-0.17578235092011396</v>
      </c>
      <c r="F413" s="41">
        <f t="shared" si="25"/>
        <v>82.421764907988603</v>
      </c>
      <c r="G413" s="42" t="str">
        <f t="shared" si="26"/>
        <v>2023-08</v>
      </c>
    </row>
    <row r="414" spans="1:7" x14ac:dyDescent="0.25">
      <c r="A414" s="31">
        <v>45162</v>
      </c>
      <c r="B414" s="32">
        <v>52369.914779663093</v>
      </c>
      <c r="C414" s="33">
        <f t="shared" si="27"/>
        <v>-2.2761252960963096E-2</v>
      </c>
      <c r="D414" s="32">
        <f>MAX($B$2:B414)</f>
        <v>65018.849296569817</v>
      </c>
      <c r="E414" s="34">
        <f t="shared" si="24"/>
        <v>-0.19454257732571156</v>
      </c>
      <c r="F414" s="35">
        <f t="shared" si="25"/>
        <v>80.545742267428849</v>
      </c>
      <c r="G414" s="36" t="str">
        <f t="shared" si="26"/>
        <v>2023-08</v>
      </c>
    </row>
    <row r="415" spans="1:7" x14ac:dyDescent="0.25">
      <c r="A415" s="37">
        <v>45163</v>
      </c>
      <c r="B415" s="38">
        <v>53038.424530029319</v>
      </c>
      <c r="C415" s="39">
        <f t="shared" si="27"/>
        <v>1.2765148715228269E-2</v>
      </c>
      <c r="D415" s="38">
        <f>MAX($B$2:B415)</f>
        <v>65018.849296569817</v>
      </c>
      <c r="E415" s="40">
        <f t="shared" si="24"/>
        <v>-0.18426079354148994</v>
      </c>
      <c r="F415" s="41">
        <f t="shared" si="25"/>
        <v>81.573920645851004</v>
      </c>
      <c r="G415" s="42" t="str">
        <f t="shared" si="26"/>
        <v>2023-08</v>
      </c>
    </row>
    <row r="416" spans="1:7" x14ac:dyDescent="0.25">
      <c r="A416" s="31">
        <v>45166</v>
      </c>
      <c r="B416" s="32">
        <v>53358.105659484892</v>
      </c>
      <c r="C416" s="33">
        <f t="shared" si="27"/>
        <v>6.0273496486416001E-3</v>
      </c>
      <c r="D416" s="32">
        <f>MAX($B$2:B416)</f>
        <v>65018.849296569817</v>
      </c>
      <c r="E416" s="34">
        <f t="shared" si="24"/>
        <v>-0.17934404812205906</v>
      </c>
      <c r="F416" s="35">
        <f t="shared" si="25"/>
        <v>82.065595187794088</v>
      </c>
      <c r="G416" s="36" t="str">
        <f t="shared" si="26"/>
        <v>2023-08</v>
      </c>
    </row>
    <row r="417" spans="1:7" x14ac:dyDescent="0.25">
      <c r="A417" s="37">
        <v>45167</v>
      </c>
      <c r="B417" s="38">
        <v>55024.191246032693</v>
      </c>
      <c r="C417" s="39">
        <f t="shared" si="27"/>
        <v>3.1224601510035699E-2</v>
      </c>
      <c r="D417" s="38">
        <f>MAX($B$2:B417)</f>
        <v>65018.849296569817</v>
      </c>
      <c r="E417" s="40">
        <f t="shared" si="24"/>
        <v>-0.15371939304783133</v>
      </c>
      <c r="F417" s="41">
        <f t="shared" si="25"/>
        <v>84.628060695216874</v>
      </c>
      <c r="G417" s="42" t="str">
        <f t="shared" si="26"/>
        <v>2023-08</v>
      </c>
    </row>
    <row r="418" spans="1:7" x14ac:dyDescent="0.25">
      <c r="A418" s="31">
        <v>45168</v>
      </c>
      <c r="B418" s="32">
        <v>55352.9958343506</v>
      </c>
      <c r="C418" s="33">
        <f t="shared" si="27"/>
        <v>5.9756369130026243E-3</v>
      </c>
      <c r="D418" s="32">
        <f>MAX($B$2:B418)</f>
        <v>65018.849296569817</v>
      </c>
      <c r="E418" s="34">
        <f t="shared" si="24"/>
        <v>-0.14866232741416963</v>
      </c>
      <c r="F418" s="35">
        <f t="shared" si="25"/>
        <v>85.133767258583035</v>
      </c>
      <c r="G418" s="36" t="str">
        <f t="shared" si="26"/>
        <v>2023-08</v>
      </c>
    </row>
    <row r="419" spans="1:7" x14ac:dyDescent="0.25">
      <c r="A419" s="37">
        <v>45169</v>
      </c>
      <c r="B419" s="38">
        <v>55477.414207458569</v>
      </c>
      <c r="C419" s="39">
        <f t="shared" si="27"/>
        <v>2.2477260938198462E-3</v>
      </c>
      <c r="D419" s="38">
        <f>MAX($B$2:B419)</f>
        <v>65018.849296569817</v>
      </c>
      <c r="E419" s="40">
        <f t="shared" si="24"/>
        <v>-0.14674875351284666</v>
      </c>
      <c r="F419" s="41">
        <f t="shared" si="25"/>
        <v>85.325124648715331</v>
      </c>
      <c r="G419" s="42" t="str">
        <f t="shared" si="26"/>
        <v>2023-08</v>
      </c>
    </row>
    <row r="420" spans="1:7" x14ac:dyDescent="0.25">
      <c r="A420" s="31">
        <v>45170</v>
      </c>
      <c r="B420" s="32">
        <v>54977.475242614782</v>
      </c>
      <c r="C420" s="33">
        <f t="shared" si="27"/>
        <v>-9.0115765485078159E-3</v>
      </c>
      <c r="D420" s="32">
        <f>MAX($B$2:B420)</f>
        <v>65018.849296569817</v>
      </c>
      <c r="E420" s="34">
        <f t="shared" si="24"/>
        <v>-0.15443789243567529</v>
      </c>
      <c r="F420" s="35">
        <f t="shared" si="25"/>
        <v>84.556210756432478</v>
      </c>
      <c r="G420" s="36" t="str">
        <f t="shared" si="26"/>
        <v>2023-09</v>
      </c>
    </row>
    <row r="421" spans="1:7" x14ac:dyDescent="0.25">
      <c r="A421" s="37">
        <v>45174</v>
      </c>
      <c r="B421" s="38">
        <v>55727.209053039587</v>
      </c>
      <c r="C421" s="39">
        <f t="shared" si="27"/>
        <v>1.3637108781664464E-2</v>
      </c>
      <c r="D421" s="38">
        <f>MAX($B$2:B421)</f>
        <v>65018.849296569817</v>
      </c>
      <c r="E421" s="40">
        <f t="shared" si="24"/>
        <v>-0.14290686999316715</v>
      </c>
      <c r="F421" s="41">
        <f t="shared" si="25"/>
        <v>85.709313000683281</v>
      </c>
      <c r="G421" s="42" t="str">
        <f t="shared" si="26"/>
        <v>2023-09</v>
      </c>
    </row>
    <row r="422" spans="1:7" x14ac:dyDescent="0.25">
      <c r="A422" s="31">
        <v>45175</v>
      </c>
      <c r="B422" s="32">
        <v>54795.254478454612</v>
      </c>
      <c r="C422" s="33">
        <f t="shared" si="27"/>
        <v>-1.672351065882316E-2</v>
      </c>
      <c r="D422" s="32">
        <f>MAX($B$2:B422)</f>
        <v>65018.849296569817</v>
      </c>
      <c r="E422" s="34">
        <f t="shared" si="24"/>
        <v>-0.1572404760884405</v>
      </c>
      <c r="F422" s="35">
        <f t="shared" si="25"/>
        <v>84.275952391155954</v>
      </c>
      <c r="G422" s="36" t="str">
        <f t="shared" si="26"/>
        <v>2023-09</v>
      </c>
    </row>
    <row r="423" spans="1:7" x14ac:dyDescent="0.25">
      <c r="A423" s="37">
        <v>45176</v>
      </c>
      <c r="B423" s="38">
        <v>54262.287445068352</v>
      </c>
      <c r="C423" s="39">
        <f t="shared" si="27"/>
        <v>-9.7265180800615303E-3</v>
      </c>
      <c r="D423" s="38">
        <f>MAX($B$2:B423)</f>
        <v>65018.849296569817</v>
      </c>
      <c r="E423" s="40">
        <f t="shared" si="24"/>
        <v>-0.16543759183491036</v>
      </c>
      <c r="F423" s="41">
        <f t="shared" si="25"/>
        <v>83.456240816508966</v>
      </c>
      <c r="G423" s="42" t="str">
        <f t="shared" si="26"/>
        <v>2023-09</v>
      </c>
    </row>
    <row r="424" spans="1:7" x14ac:dyDescent="0.25">
      <c r="A424" s="31">
        <v>45177</v>
      </c>
      <c r="B424" s="32">
        <v>54342.717857360847</v>
      </c>
      <c r="C424" s="33">
        <f t="shared" si="27"/>
        <v>1.4822525197435432E-3</v>
      </c>
      <c r="D424" s="32">
        <f>MAX($B$2:B424)</f>
        <v>65018.849296569817</v>
      </c>
      <c r="E424" s="34">
        <f t="shared" si="24"/>
        <v>-0.16420055960252444</v>
      </c>
      <c r="F424" s="35">
        <f t="shared" si="25"/>
        <v>83.579944039747559</v>
      </c>
      <c r="G424" s="36" t="str">
        <f t="shared" si="26"/>
        <v>2023-09</v>
      </c>
    </row>
    <row r="425" spans="1:7" x14ac:dyDescent="0.25">
      <c r="A425" s="37">
        <v>45180</v>
      </c>
      <c r="B425" s="38">
        <v>55830.07465362551</v>
      </c>
      <c r="C425" s="39">
        <f t="shared" si="27"/>
        <v>2.7369937590694171E-2</v>
      </c>
      <c r="D425" s="38">
        <f>MAX($B$2:B425)</f>
        <v>65018.849296569817</v>
      </c>
      <c r="E425" s="40">
        <f t="shared" si="24"/>
        <v>-0.1413247810805085</v>
      </c>
      <c r="F425" s="41">
        <f t="shared" si="25"/>
        <v>85.867521891949153</v>
      </c>
      <c r="G425" s="42" t="str">
        <f t="shared" si="26"/>
        <v>2023-09</v>
      </c>
    </row>
    <row r="426" spans="1:7" x14ac:dyDescent="0.25">
      <c r="A426" s="31">
        <v>45181</v>
      </c>
      <c r="B426" s="32">
        <v>55060.642013549819</v>
      </c>
      <c r="C426" s="33">
        <f t="shared" si="27"/>
        <v>-1.3781687465927894E-2</v>
      </c>
      <c r="D426" s="32">
        <f>MAX($B$2:B426)</f>
        <v>65018.849296569817</v>
      </c>
      <c r="E426" s="34">
        <f t="shared" si="24"/>
        <v>-0.15315877458239424</v>
      </c>
      <c r="F426" s="35">
        <f t="shared" si="25"/>
        <v>84.684122541760573</v>
      </c>
      <c r="G426" s="36" t="str">
        <f t="shared" si="26"/>
        <v>2023-09</v>
      </c>
    </row>
    <row r="427" spans="1:7" x14ac:dyDescent="0.25">
      <c r="A427" s="37">
        <v>45182</v>
      </c>
      <c r="B427" s="38">
        <v>55509.488601684629</v>
      </c>
      <c r="C427" s="39">
        <f t="shared" si="27"/>
        <v>8.151858963510783E-3</v>
      </c>
      <c r="D427" s="38">
        <f>MAX($B$2:B427)</f>
        <v>65018.849296569817</v>
      </c>
      <c r="E427" s="40">
        <f t="shared" si="24"/>
        <v>-0.14625544434830329</v>
      </c>
      <c r="F427" s="41">
        <f t="shared" si="25"/>
        <v>85.374455565169669</v>
      </c>
      <c r="G427" s="42" t="str">
        <f t="shared" si="26"/>
        <v>2023-09</v>
      </c>
    </row>
    <row r="428" spans="1:7" x14ac:dyDescent="0.25">
      <c r="A428" s="31">
        <v>45183</v>
      </c>
      <c r="B428" s="32">
        <v>56037.327651977583</v>
      </c>
      <c r="C428" s="33">
        <f t="shared" si="27"/>
        <v>9.508987807121283E-3</v>
      </c>
      <c r="D428" s="32">
        <f>MAX($B$2:B428)</f>
        <v>65018.849296569817</v>
      </c>
      <c r="E428" s="34">
        <f t="shared" si="24"/>
        <v>-0.1381371977782152</v>
      </c>
      <c r="F428" s="35">
        <f t="shared" si="25"/>
        <v>86.186280222178482</v>
      </c>
      <c r="G428" s="36" t="str">
        <f t="shared" si="26"/>
        <v>2023-09</v>
      </c>
    </row>
    <row r="429" spans="1:7" x14ac:dyDescent="0.25">
      <c r="A429" s="37">
        <v>45184</v>
      </c>
      <c r="B429" s="38">
        <v>55164.487495422392</v>
      </c>
      <c r="C429" s="39">
        <f t="shared" si="27"/>
        <v>-1.5576048914680674E-2</v>
      </c>
      <c r="D429" s="38">
        <f>MAX($B$2:B429)</f>
        <v>65018.849296569817</v>
      </c>
      <c r="E429" s="40">
        <f t="shared" si="24"/>
        <v>-0.15156161494336551</v>
      </c>
      <c r="F429" s="41">
        <f t="shared" si="25"/>
        <v>84.843838505663456</v>
      </c>
      <c r="G429" s="42" t="str">
        <f t="shared" si="26"/>
        <v>2023-09</v>
      </c>
    </row>
    <row r="430" spans="1:7" x14ac:dyDescent="0.25">
      <c r="A430" s="31">
        <v>45187</v>
      </c>
      <c r="B430" s="32">
        <v>54900.267028808623</v>
      </c>
      <c r="C430" s="33">
        <f t="shared" si="27"/>
        <v>-4.7896840632425386E-3</v>
      </c>
      <c r="D430" s="32">
        <f>MAX($B$2:B430)</f>
        <v>65018.849296569817</v>
      </c>
      <c r="E430" s="34">
        <f t="shared" si="24"/>
        <v>-0.15562536675491456</v>
      </c>
      <c r="F430" s="35">
        <f t="shared" si="25"/>
        <v>84.437463324508542</v>
      </c>
      <c r="G430" s="36" t="str">
        <f t="shared" si="26"/>
        <v>2023-09</v>
      </c>
    </row>
    <row r="431" spans="1:7" x14ac:dyDescent="0.25">
      <c r="A431" s="37">
        <v>45188</v>
      </c>
      <c r="B431" s="38">
        <v>54868.56819152832</v>
      </c>
      <c r="C431" s="39">
        <f t="shared" si="27"/>
        <v>-5.7738949181551646E-4</v>
      </c>
      <c r="D431" s="38">
        <f>MAX($B$2:B431)</f>
        <v>65018.849296569817</v>
      </c>
      <c r="E431" s="40">
        <f t="shared" si="24"/>
        <v>-0.15611289979530585</v>
      </c>
      <c r="F431" s="41">
        <f t="shared" si="25"/>
        <v>84.388710020469418</v>
      </c>
      <c r="G431" s="42" t="str">
        <f t="shared" si="26"/>
        <v>2023-09</v>
      </c>
    </row>
    <row r="432" spans="1:7" x14ac:dyDescent="0.25">
      <c r="A432" s="31">
        <v>45189</v>
      </c>
      <c r="B432" s="32">
        <v>53781.243782043457</v>
      </c>
      <c r="C432" s="33">
        <f t="shared" si="27"/>
        <v>-1.9816890531740627E-2</v>
      </c>
      <c r="D432" s="32">
        <f>MAX($B$2:B432)</f>
        <v>65018.849296569817</v>
      </c>
      <c r="E432" s="34">
        <f t="shared" si="24"/>
        <v>-0.17283611808121035</v>
      </c>
      <c r="F432" s="35">
        <f t="shared" si="25"/>
        <v>82.716388191878963</v>
      </c>
      <c r="G432" s="36" t="str">
        <f t="shared" si="26"/>
        <v>2023-09</v>
      </c>
    </row>
    <row r="433" spans="1:7" x14ac:dyDescent="0.25">
      <c r="A433" s="37">
        <v>45190</v>
      </c>
      <c r="B433" s="38">
        <v>52772.048988342322</v>
      </c>
      <c r="C433" s="39">
        <f t="shared" si="27"/>
        <v>-1.8764809489922651E-2</v>
      </c>
      <c r="D433" s="38">
        <f>MAX($B$2:B433)</f>
        <v>65018.849296569817</v>
      </c>
      <c r="E433" s="40">
        <f t="shared" si="24"/>
        <v>-0.18835769074236131</v>
      </c>
      <c r="F433" s="41">
        <f t="shared" si="25"/>
        <v>81.164230925763874</v>
      </c>
      <c r="G433" s="42" t="str">
        <f t="shared" si="26"/>
        <v>2023-09</v>
      </c>
    </row>
    <row r="434" spans="1:7" x14ac:dyDescent="0.25">
      <c r="A434" s="31">
        <v>45191</v>
      </c>
      <c r="B434" s="32">
        <v>52297.341804504431</v>
      </c>
      <c r="C434" s="33">
        <f t="shared" si="27"/>
        <v>-8.9954283174177307E-3</v>
      </c>
      <c r="D434" s="32">
        <f>MAX($B$2:B434)</f>
        <v>65018.849296569817</v>
      </c>
      <c r="E434" s="34">
        <f t="shared" si="24"/>
        <v>-0.19565876095467183</v>
      </c>
      <c r="F434" s="35">
        <f t="shared" si="25"/>
        <v>80.434123904532811</v>
      </c>
      <c r="G434" s="36" t="str">
        <f t="shared" si="26"/>
        <v>2023-09</v>
      </c>
    </row>
    <row r="435" spans="1:7" x14ac:dyDescent="0.25">
      <c r="A435" s="37">
        <v>45194</v>
      </c>
      <c r="B435" s="38">
        <v>52632.681617736853</v>
      </c>
      <c r="C435" s="39">
        <f t="shared" si="27"/>
        <v>6.4121770182119509E-3</v>
      </c>
      <c r="D435" s="38">
        <f>MAX($B$2:B435)</f>
        <v>65018.849296569817</v>
      </c>
      <c r="E435" s="40">
        <f t="shared" si="24"/>
        <v>-0.19050118254686521</v>
      </c>
      <c r="F435" s="41">
        <f t="shared" si="25"/>
        <v>80.949881745313476</v>
      </c>
      <c r="G435" s="42" t="str">
        <f t="shared" si="26"/>
        <v>2023-09</v>
      </c>
    </row>
    <row r="436" spans="1:7" x14ac:dyDescent="0.25">
      <c r="A436" s="31">
        <v>45195</v>
      </c>
      <c r="B436" s="32">
        <v>51644.979362487851</v>
      </c>
      <c r="C436" s="33">
        <f t="shared" si="27"/>
        <v>-1.8765949689254491E-2</v>
      </c>
      <c r="D436" s="32">
        <f>MAX($B$2:B436)</f>
        <v>65018.849296569817</v>
      </c>
      <c r="E436" s="34">
        <f t="shared" si="24"/>
        <v>-0.20569219662870175</v>
      </c>
      <c r="F436" s="35">
        <f t="shared" si="25"/>
        <v>79.430780337129818</v>
      </c>
      <c r="G436" s="36" t="str">
        <f t="shared" si="26"/>
        <v>2023-09</v>
      </c>
    </row>
    <row r="437" spans="1:7" x14ac:dyDescent="0.25">
      <c r="A437" s="37">
        <v>45196</v>
      </c>
      <c r="B437" s="38">
        <v>51587.836608886762</v>
      </c>
      <c r="C437" s="39">
        <f t="shared" si="27"/>
        <v>-1.1064532178435282E-3</v>
      </c>
      <c r="D437" s="38">
        <f>MAX($B$2:B437)</f>
        <v>65018.849296569817</v>
      </c>
      <c r="E437" s="40">
        <f t="shared" si="24"/>
        <v>-0.20657106105370016</v>
      </c>
      <c r="F437" s="41">
        <f t="shared" si="25"/>
        <v>79.342893894629981</v>
      </c>
      <c r="G437" s="42" t="str">
        <f t="shared" si="26"/>
        <v>2023-09</v>
      </c>
    </row>
    <row r="438" spans="1:7" x14ac:dyDescent="0.25">
      <c r="A438" s="31">
        <v>45197</v>
      </c>
      <c r="B438" s="32">
        <v>51934.635696411133</v>
      </c>
      <c r="C438" s="33">
        <f t="shared" si="27"/>
        <v>6.7224972071153744E-3</v>
      </c>
      <c r="D438" s="32">
        <f>MAX($B$2:B438)</f>
        <v>65018.849296569817</v>
      </c>
      <c r="E438" s="34">
        <f t="shared" si="24"/>
        <v>-0.20123723722758913</v>
      </c>
      <c r="F438" s="35">
        <f t="shared" si="25"/>
        <v>79.876276277241089</v>
      </c>
      <c r="G438" s="36" t="str">
        <f t="shared" si="26"/>
        <v>2023-09</v>
      </c>
    </row>
    <row r="439" spans="1:7" x14ac:dyDescent="0.25">
      <c r="A439" s="37">
        <v>45198</v>
      </c>
      <c r="B439" s="38">
        <v>52373.554420471213</v>
      </c>
      <c r="C439" s="39">
        <f t="shared" si="27"/>
        <v>8.4513681125217843E-3</v>
      </c>
      <c r="D439" s="38">
        <f>MAX($B$2:B439)</f>
        <v>65018.849296569817</v>
      </c>
      <c r="E439" s="40">
        <f t="shared" si="24"/>
        <v>-0.19448659908482457</v>
      </c>
      <c r="F439" s="41">
        <f t="shared" si="25"/>
        <v>80.551340091517545</v>
      </c>
      <c r="G439" s="42" t="str">
        <f t="shared" si="26"/>
        <v>2023-09</v>
      </c>
    </row>
    <row r="440" spans="1:7" x14ac:dyDescent="0.25">
      <c r="A440" s="31">
        <v>45201</v>
      </c>
      <c r="B440" s="32">
        <v>53102.692108154341</v>
      </c>
      <c r="C440" s="33">
        <f t="shared" si="27"/>
        <v>1.3921867548446043E-2</v>
      </c>
      <c r="D440" s="32">
        <f>MAX($B$2:B440)</f>
        <v>65018.849296569817</v>
      </c>
      <c r="E440" s="34">
        <f t="shared" si="24"/>
        <v>-0.18327234820878524</v>
      </c>
      <c r="F440" s="35">
        <f t="shared" si="25"/>
        <v>81.67276517912147</v>
      </c>
      <c r="G440" s="36" t="str">
        <f t="shared" si="26"/>
        <v>2023-10</v>
      </c>
    </row>
    <row r="441" spans="1:7" x14ac:dyDescent="0.25">
      <c r="A441" s="37">
        <v>45202</v>
      </c>
      <c r="B441" s="38">
        <v>52059.70485687258</v>
      </c>
      <c r="C441" s="39">
        <f t="shared" si="27"/>
        <v>-1.9640948695360039E-2</v>
      </c>
      <c r="D441" s="38">
        <f>MAX($B$2:B441)</f>
        <v>65018.849296569817</v>
      </c>
      <c r="E441" s="40">
        <f t="shared" si="24"/>
        <v>-0.19931365411569835</v>
      </c>
      <c r="F441" s="41">
        <f t="shared" si="25"/>
        <v>80.068634588430172</v>
      </c>
      <c r="G441" s="42" t="str">
        <f t="shared" si="26"/>
        <v>2023-10</v>
      </c>
    </row>
    <row r="442" spans="1:7" x14ac:dyDescent="0.25">
      <c r="A442" s="31">
        <v>45203</v>
      </c>
      <c r="B442" s="32">
        <v>53292.695655822703</v>
      </c>
      <c r="C442" s="33">
        <f t="shared" si="27"/>
        <v>2.3684168059346034E-2</v>
      </c>
      <c r="D442" s="32">
        <f>MAX($B$2:B442)</f>
        <v>65018.849296569817</v>
      </c>
      <c r="E442" s="34">
        <f t="shared" si="24"/>
        <v>-0.18035006413695098</v>
      </c>
      <c r="F442" s="35">
        <f t="shared" si="25"/>
        <v>81.9649935863049</v>
      </c>
      <c r="G442" s="36" t="str">
        <f t="shared" si="26"/>
        <v>2023-10</v>
      </c>
    </row>
    <row r="443" spans="1:7" x14ac:dyDescent="0.25">
      <c r="A443" s="37">
        <v>45204</v>
      </c>
      <c r="B443" s="38">
        <v>53387.931556701697</v>
      </c>
      <c r="C443" s="39">
        <f t="shared" si="27"/>
        <v>1.7870347841673073E-3</v>
      </c>
      <c r="D443" s="38">
        <f>MAX($B$2:B443)</f>
        <v>65018.849296569817</v>
      </c>
      <c r="E443" s="40">
        <f t="shared" si="24"/>
        <v>-0.1788853211907232</v>
      </c>
      <c r="F443" s="41">
        <f t="shared" si="25"/>
        <v>82.111467880927677</v>
      </c>
      <c r="G443" s="42" t="str">
        <f t="shared" si="26"/>
        <v>2023-10</v>
      </c>
    </row>
    <row r="444" spans="1:7" x14ac:dyDescent="0.25">
      <c r="A444" s="31">
        <v>45205</v>
      </c>
      <c r="B444" s="32">
        <v>54248.797416687034</v>
      </c>
      <c r="C444" s="33">
        <f t="shared" si="27"/>
        <v>1.6124727721864129E-2</v>
      </c>
      <c r="D444" s="32">
        <f>MAX($B$2:B444)</f>
        <v>65018.849296569817</v>
      </c>
      <c r="E444" s="34">
        <f t="shared" si="24"/>
        <v>-0.16564507056649769</v>
      </c>
      <c r="F444" s="35">
        <f t="shared" si="25"/>
        <v>83.435492943350226</v>
      </c>
      <c r="G444" s="36" t="str">
        <f t="shared" si="26"/>
        <v>2023-10</v>
      </c>
    </row>
    <row r="445" spans="1:7" x14ac:dyDescent="0.25">
      <c r="A445" s="37">
        <v>45208</v>
      </c>
      <c r="B445" s="38">
        <v>54373.235054016077</v>
      </c>
      <c r="C445" s="39">
        <f t="shared" si="27"/>
        <v>2.2938321816285967E-3</v>
      </c>
      <c r="D445" s="38">
        <f>MAX($B$2:B445)</f>
        <v>65018.849296569817</v>
      </c>
      <c r="E445" s="40">
        <f t="shared" si="24"/>
        <v>-0.16373120037846267</v>
      </c>
      <c r="F445" s="41">
        <f t="shared" si="25"/>
        <v>83.626879962153737</v>
      </c>
      <c r="G445" s="42" t="str">
        <f t="shared" si="26"/>
        <v>2023-10</v>
      </c>
    </row>
    <row r="446" spans="1:7" x14ac:dyDescent="0.25">
      <c r="A446" s="31">
        <v>45209</v>
      </c>
      <c r="B446" s="32">
        <v>54592.941246032788</v>
      </c>
      <c r="C446" s="33">
        <f t="shared" si="27"/>
        <v>4.0407048026191994E-3</v>
      </c>
      <c r="D446" s="32">
        <f>MAX($B$2:B446)</f>
        <v>65018.849296569817</v>
      </c>
      <c r="E446" s="34">
        <f t="shared" si="24"/>
        <v>-0.16035208502355125</v>
      </c>
      <c r="F446" s="35">
        <f t="shared" si="25"/>
        <v>83.964791497644882</v>
      </c>
      <c r="G446" s="36" t="str">
        <f t="shared" si="26"/>
        <v>2023-10</v>
      </c>
    </row>
    <row r="447" spans="1:7" x14ac:dyDescent="0.25">
      <c r="A447" s="37">
        <v>45210</v>
      </c>
      <c r="B447" s="38">
        <v>55106.356277465857</v>
      </c>
      <c r="C447" s="39">
        <f t="shared" si="27"/>
        <v>9.4044215188786584E-3</v>
      </c>
      <c r="D447" s="38">
        <f>MAX($B$2:B447)</f>
        <v>65018.849296569817</v>
      </c>
      <c r="E447" s="40">
        <f t="shared" si="24"/>
        <v>-0.15245568210366511</v>
      </c>
      <c r="F447" s="41">
        <f t="shared" si="25"/>
        <v>84.754431789633486</v>
      </c>
      <c r="G447" s="42" t="str">
        <f t="shared" si="26"/>
        <v>2023-10</v>
      </c>
    </row>
    <row r="448" spans="1:7" x14ac:dyDescent="0.25">
      <c r="A448" s="31">
        <v>45211</v>
      </c>
      <c r="B448" s="32">
        <v>54862.287139892644</v>
      </c>
      <c r="C448" s="33">
        <f t="shared" si="27"/>
        <v>-4.4290559939093033E-3</v>
      </c>
      <c r="D448" s="32">
        <f>MAX($B$2:B448)</f>
        <v>65018.849296569817</v>
      </c>
      <c r="E448" s="34">
        <f t="shared" si="24"/>
        <v>-0.15620950334494765</v>
      </c>
      <c r="F448" s="35">
        <f t="shared" si="25"/>
        <v>84.379049665505235</v>
      </c>
      <c r="G448" s="36" t="str">
        <f t="shared" si="26"/>
        <v>2023-10</v>
      </c>
    </row>
    <row r="449" spans="1:7" x14ac:dyDescent="0.25">
      <c r="A449" s="37">
        <v>45212</v>
      </c>
      <c r="B449" s="38">
        <v>53925.64659118656</v>
      </c>
      <c r="C449" s="39">
        <f t="shared" si="27"/>
        <v>-1.7072575671476353E-2</v>
      </c>
      <c r="D449" s="38">
        <f>MAX($B$2:B449)</f>
        <v>65018.849296569817</v>
      </c>
      <c r="E449" s="40">
        <f t="shared" si="24"/>
        <v>-0.17061518044996371</v>
      </c>
      <c r="F449" s="41">
        <f t="shared" si="25"/>
        <v>82.938481955003624</v>
      </c>
      <c r="G449" s="42" t="str">
        <f t="shared" si="26"/>
        <v>2023-10</v>
      </c>
    </row>
    <row r="450" spans="1:7" x14ac:dyDescent="0.25">
      <c r="A450" s="31">
        <v>45215</v>
      </c>
      <c r="B450" s="32">
        <v>54460.53272247313</v>
      </c>
      <c r="C450" s="33">
        <f t="shared" si="27"/>
        <v>9.918956287007008E-3</v>
      </c>
      <c r="D450" s="32">
        <f>MAX($B$2:B450)</f>
        <v>65018.849296569817</v>
      </c>
      <c r="E450" s="34">
        <f t="shared" ref="E450:E513" si="28">B450/D450-1</f>
        <v>-0.16238854867973973</v>
      </c>
      <c r="F450" s="35">
        <f t="shared" ref="F450:F513" si="29">B450/$B$2*100</f>
        <v>83.76114513202603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54275.682144165083</v>
      </c>
      <c r="C451" s="39">
        <f t="shared" ref="C451:C514" si="31">B451/B450-1</f>
        <v>-3.3942117175025377E-3</v>
      </c>
      <c r="D451" s="38">
        <f>MAX($B$2:B451)</f>
        <v>65018.849296569817</v>
      </c>
      <c r="E451" s="40">
        <f t="shared" si="28"/>
        <v>-0.16523157928252519</v>
      </c>
      <c r="F451" s="41">
        <f t="shared" si="29"/>
        <v>83.476842071747484</v>
      </c>
      <c r="G451" s="42" t="str">
        <f t="shared" si="30"/>
        <v>2023-10</v>
      </c>
    </row>
    <row r="452" spans="1:7" x14ac:dyDescent="0.25">
      <c r="A452" s="31">
        <v>45217</v>
      </c>
      <c r="B452" s="32">
        <v>53226.025314331047</v>
      </c>
      <c r="C452" s="33">
        <f t="shared" si="31"/>
        <v>-1.9339357671193769E-2</v>
      </c>
      <c r="D452" s="32">
        <f>MAX($B$2:B452)</f>
        <v>65018.849296569817</v>
      </c>
      <c r="E452" s="34">
        <f t="shared" si="28"/>
        <v>-0.18137546434339802</v>
      </c>
      <c r="F452" s="35">
        <f t="shared" si="29"/>
        <v>81.862453565660203</v>
      </c>
      <c r="G452" s="36" t="str">
        <f t="shared" si="30"/>
        <v>2023-10</v>
      </c>
    </row>
    <row r="453" spans="1:7" x14ac:dyDescent="0.25">
      <c r="A453" s="37">
        <v>45218</v>
      </c>
      <c r="B453" s="38">
        <v>52323.698997497537</v>
      </c>
      <c r="C453" s="39">
        <f t="shared" si="31"/>
        <v>-1.695272775873724E-2</v>
      </c>
      <c r="D453" s="38">
        <f>MAX($B$2:B453)</f>
        <v>65018.849296569817</v>
      </c>
      <c r="E453" s="40">
        <f t="shared" si="28"/>
        <v>-0.19525338323300712</v>
      </c>
      <c r="F453" s="41">
        <f t="shared" si="29"/>
        <v>80.474661676699284</v>
      </c>
      <c r="G453" s="42" t="str">
        <f t="shared" si="30"/>
        <v>2023-10</v>
      </c>
    </row>
    <row r="454" spans="1:7" x14ac:dyDescent="0.25">
      <c r="A454" s="31">
        <v>45219</v>
      </c>
      <c r="B454" s="32">
        <v>51331.96189880374</v>
      </c>
      <c r="C454" s="33">
        <f t="shared" si="31"/>
        <v>-1.8953879746560487E-2</v>
      </c>
      <c r="D454" s="32">
        <f>MAX($B$2:B454)</f>
        <v>65018.849296569817</v>
      </c>
      <c r="E454" s="34">
        <f t="shared" si="28"/>
        <v>-0.21050645383366007</v>
      </c>
      <c r="F454" s="35">
        <f t="shared" si="29"/>
        <v>78.949354616633997</v>
      </c>
      <c r="G454" s="36" t="str">
        <f t="shared" si="30"/>
        <v>2023-10</v>
      </c>
    </row>
    <row r="455" spans="1:7" x14ac:dyDescent="0.25">
      <c r="A455" s="37">
        <v>45222</v>
      </c>
      <c r="B455" s="38">
        <v>51578.192672729543</v>
      </c>
      <c r="C455" s="39">
        <f t="shared" si="31"/>
        <v>4.7968315415496399E-3</v>
      </c>
      <c r="D455" s="38">
        <f>MAX($B$2:B455)</f>
        <v>65018.849296569817</v>
      </c>
      <c r="E455" s="40">
        <f t="shared" si="28"/>
        <v>-0.20671938628955955</v>
      </c>
      <c r="F455" s="41">
        <f t="shared" si="29"/>
        <v>79.328061371044043</v>
      </c>
      <c r="G455" s="42" t="str">
        <f t="shared" si="30"/>
        <v>2023-10</v>
      </c>
    </row>
    <row r="456" spans="1:7" x14ac:dyDescent="0.25">
      <c r="A456" s="31">
        <v>45223</v>
      </c>
      <c r="B456" s="32">
        <v>52113.164482116757</v>
      </c>
      <c r="C456" s="33">
        <f t="shared" si="31"/>
        <v>1.0372054189290436E-2</v>
      </c>
      <c r="D456" s="32">
        <f>MAX($B$2:B456)</f>
        <v>65018.849296569817</v>
      </c>
      <c r="E456" s="34">
        <f t="shared" si="28"/>
        <v>-0.19849143677684133</v>
      </c>
      <c r="F456" s="35">
        <f t="shared" si="29"/>
        <v>80.15085632231586</v>
      </c>
      <c r="G456" s="36" t="str">
        <f t="shared" si="30"/>
        <v>2023-10</v>
      </c>
    </row>
    <row r="457" spans="1:7" x14ac:dyDescent="0.25">
      <c r="A457" s="37">
        <v>45224</v>
      </c>
      <c r="B457" s="38">
        <v>51122.652740478501</v>
      </c>
      <c r="C457" s="39">
        <f t="shared" si="31"/>
        <v>-1.9006939061974704E-2</v>
      </c>
      <c r="D457" s="38">
        <f>MAX($B$2:B457)</f>
        <v>65018.849296569817</v>
      </c>
      <c r="E457" s="40">
        <f t="shared" si="28"/>
        <v>-0.21372566119567471</v>
      </c>
      <c r="F457" s="41">
        <f t="shared" si="29"/>
        <v>78.627433880432534</v>
      </c>
      <c r="G457" s="42" t="str">
        <f t="shared" si="30"/>
        <v>2023-10</v>
      </c>
    </row>
    <row r="458" spans="1:7" x14ac:dyDescent="0.25">
      <c r="A458" s="31">
        <v>45225</v>
      </c>
      <c r="B458" s="32">
        <v>49747.888832092278</v>
      </c>
      <c r="C458" s="33">
        <f t="shared" si="31"/>
        <v>-2.6891482243011522E-2</v>
      </c>
      <c r="D458" s="32">
        <f>MAX($B$2:B458)</f>
        <v>65018.849296569817</v>
      </c>
      <c r="E458" s="34">
        <f t="shared" si="28"/>
        <v>-0.23486974361576685</v>
      </c>
      <c r="F458" s="35">
        <f t="shared" si="29"/>
        <v>76.513025638423315</v>
      </c>
      <c r="G458" s="36" t="str">
        <f t="shared" si="30"/>
        <v>2023-10</v>
      </c>
    </row>
    <row r="459" spans="1:7" x14ac:dyDescent="0.25">
      <c r="A459" s="37">
        <v>45226</v>
      </c>
      <c r="B459" s="38">
        <v>50172.169876098698</v>
      </c>
      <c r="C459" s="39">
        <f t="shared" si="31"/>
        <v>8.5286241078177394E-3</v>
      </c>
      <c r="D459" s="38">
        <f>MAX($B$2:B459)</f>
        <v>65018.849296569817</v>
      </c>
      <c r="E459" s="40">
        <f t="shared" si="28"/>
        <v>-0.22834423526554759</v>
      </c>
      <c r="F459" s="41">
        <f t="shared" si="29"/>
        <v>77.165576473445242</v>
      </c>
      <c r="G459" s="42" t="str">
        <f t="shared" si="30"/>
        <v>2023-10</v>
      </c>
    </row>
    <row r="460" spans="1:7" x14ac:dyDescent="0.25">
      <c r="A460" s="31">
        <v>45229</v>
      </c>
      <c r="B460" s="32">
        <v>50437.487487792961</v>
      </c>
      <c r="C460" s="33">
        <f t="shared" si="31"/>
        <v>5.2881430551932063E-3</v>
      </c>
      <c r="D460" s="32">
        <f>MAX($B$2:B460)</f>
        <v>65018.849296569817</v>
      </c>
      <c r="E460" s="34">
        <f t="shared" si="28"/>
        <v>-0.22426360919226729</v>
      </c>
      <c r="F460" s="35">
        <f t="shared" si="29"/>
        <v>77.573639080773276</v>
      </c>
      <c r="G460" s="36" t="str">
        <f t="shared" si="30"/>
        <v>2023-10</v>
      </c>
    </row>
    <row r="461" spans="1:7" x14ac:dyDescent="0.25">
      <c r="A461" s="37">
        <v>45230</v>
      </c>
      <c r="B461" s="38">
        <v>50682.809295654341</v>
      </c>
      <c r="C461" s="39">
        <f t="shared" si="31"/>
        <v>4.8638784380516942E-3</v>
      </c>
      <c r="D461" s="38">
        <f>MAX($B$2:B461)</f>
        <v>65018.849296569817</v>
      </c>
      <c r="E461" s="40">
        <f t="shared" si="28"/>
        <v>-0.22049052168740546</v>
      </c>
      <c r="F461" s="41">
        <f t="shared" si="29"/>
        <v>77.950947831259455</v>
      </c>
      <c r="G461" s="42" t="str">
        <f t="shared" si="30"/>
        <v>2023-10</v>
      </c>
    </row>
    <row r="462" spans="1:7" x14ac:dyDescent="0.25">
      <c r="A462" s="31">
        <v>45231</v>
      </c>
      <c r="B462" s="32">
        <v>51852.047271728487</v>
      </c>
      <c r="C462" s="33">
        <f t="shared" si="31"/>
        <v>2.3069715201726293E-2</v>
      </c>
      <c r="D462" s="32">
        <f>MAX($B$2:B462)</f>
        <v>65018.849296569817</v>
      </c>
      <c r="E462" s="34">
        <f t="shared" si="28"/>
        <v>-0.20250746002568776</v>
      </c>
      <c r="F462" s="35">
        <f t="shared" si="29"/>
        <v>79.749253997431225</v>
      </c>
      <c r="G462" s="36" t="str">
        <f t="shared" si="30"/>
        <v>2023-11</v>
      </c>
    </row>
    <row r="463" spans="1:7" x14ac:dyDescent="0.25">
      <c r="A463" s="37">
        <v>45232</v>
      </c>
      <c r="B463" s="38">
        <v>53074.044837951697</v>
      </c>
      <c r="C463" s="39">
        <f t="shared" si="31"/>
        <v>2.356700710040216E-2</v>
      </c>
      <c r="D463" s="38">
        <f>MAX($B$2:B463)</f>
        <v>65018.849296569817</v>
      </c>
      <c r="E463" s="40">
        <f t="shared" si="28"/>
        <v>-0.18371294767359547</v>
      </c>
      <c r="F463" s="41">
        <f t="shared" si="29"/>
        <v>81.628705232640456</v>
      </c>
      <c r="G463" s="42" t="str">
        <f t="shared" si="30"/>
        <v>2023-11</v>
      </c>
    </row>
    <row r="464" spans="1:7" x14ac:dyDescent="0.25">
      <c r="A464" s="31">
        <v>45233</v>
      </c>
      <c r="B464" s="32">
        <v>53577.80296325685</v>
      </c>
      <c r="C464" s="33">
        <f t="shared" si="31"/>
        <v>9.4916098225272805E-3</v>
      </c>
      <c r="D464" s="32">
        <f>MAX($B$2:B464)</f>
        <v>65018.849296569817</v>
      </c>
      <c r="E464" s="34">
        <f t="shared" si="28"/>
        <v>-0.17596506946973234</v>
      </c>
      <c r="F464" s="35">
        <f t="shared" si="29"/>
        <v>82.403493053026764</v>
      </c>
      <c r="G464" s="36" t="str">
        <f t="shared" si="30"/>
        <v>2023-11</v>
      </c>
    </row>
    <row r="465" spans="1:7" x14ac:dyDescent="0.25">
      <c r="A465" s="37">
        <v>45236</v>
      </c>
      <c r="B465" s="38">
        <v>54005.395507812493</v>
      </c>
      <c r="C465" s="39">
        <f t="shared" si="31"/>
        <v>7.9807778764067194E-3</v>
      </c>
      <c r="D465" s="38">
        <f>MAX($B$2:B465)</f>
        <v>65018.849296569817</v>
      </c>
      <c r="E465" s="40">
        <f t="shared" si="28"/>
        <v>-0.16938862972677005</v>
      </c>
      <c r="F465" s="41">
        <f t="shared" si="29"/>
        <v>83.061137027322999</v>
      </c>
      <c r="G465" s="42" t="str">
        <f t="shared" si="30"/>
        <v>2023-11</v>
      </c>
    </row>
    <row r="466" spans="1:7" x14ac:dyDescent="0.25">
      <c r="A466" s="31">
        <v>45237</v>
      </c>
      <c r="B466" s="32">
        <v>54569.472999572703</v>
      </c>
      <c r="C466" s="33">
        <f t="shared" si="31"/>
        <v>1.0444835862346569E-2</v>
      </c>
      <c r="D466" s="32">
        <f>MAX($B$2:B466)</f>
        <v>65018.849296569817</v>
      </c>
      <c r="E466" s="34">
        <f t="shared" si="28"/>
        <v>-0.1607130302988673</v>
      </c>
      <c r="F466" s="35">
        <f t="shared" si="29"/>
        <v>83.928696970113265</v>
      </c>
      <c r="G466" s="36" t="str">
        <f t="shared" si="30"/>
        <v>2023-11</v>
      </c>
    </row>
    <row r="467" spans="1:7" x14ac:dyDescent="0.25">
      <c r="A467" s="37">
        <v>45238</v>
      </c>
      <c r="B467" s="38">
        <v>54622.515754699729</v>
      </c>
      <c r="C467" s="39">
        <f t="shared" si="31"/>
        <v>9.7202249190564416E-4</v>
      </c>
      <c r="D467" s="38">
        <f>MAX($B$2:B467)</f>
        <v>65018.849296569817</v>
      </c>
      <c r="E467" s="40">
        <f t="shared" si="28"/>
        <v>-0.15989722448715449</v>
      </c>
      <c r="F467" s="41">
        <f t="shared" si="29"/>
        <v>84.010277551284545</v>
      </c>
      <c r="G467" s="42" t="str">
        <f t="shared" si="30"/>
        <v>2023-11</v>
      </c>
    </row>
    <row r="468" spans="1:7" x14ac:dyDescent="0.25">
      <c r="A468" s="31">
        <v>45239</v>
      </c>
      <c r="B468" s="32">
        <v>53864.985771179206</v>
      </c>
      <c r="C468" s="33">
        <f t="shared" si="31"/>
        <v>-1.3868456497362014E-2</v>
      </c>
      <c r="D468" s="32">
        <f>MAX($B$2:B468)</f>
        <v>65018.849296569817</v>
      </c>
      <c r="E468" s="34">
        <f t="shared" si="28"/>
        <v>-0.17154815328266737</v>
      </c>
      <c r="F468" s="35">
        <f t="shared" si="29"/>
        <v>82.845184671733264</v>
      </c>
      <c r="G468" s="36" t="str">
        <f t="shared" si="30"/>
        <v>2023-11</v>
      </c>
    </row>
    <row r="469" spans="1:7" x14ac:dyDescent="0.25">
      <c r="A469" s="37">
        <v>45240</v>
      </c>
      <c r="B469" s="38">
        <v>55320.49861907959</v>
      </c>
      <c r="C469" s="39">
        <f t="shared" si="31"/>
        <v>2.7021502504121386E-2</v>
      </c>
      <c r="D469" s="38">
        <f>MAX($B$2:B469)</f>
        <v>65018.849296569817</v>
      </c>
      <c r="E469" s="40">
        <f t="shared" si="28"/>
        <v>-0.14916213963205094</v>
      </c>
      <c r="F469" s="41">
        <f t="shared" si="29"/>
        <v>85.083786036794905</v>
      </c>
      <c r="G469" s="42" t="str">
        <f t="shared" si="30"/>
        <v>2023-11</v>
      </c>
    </row>
    <row r="470" spans="1:7" x14ac:dyDescent="0.25">
      <c r="A470" s="31">
        <v>45243</v>
      </c>
      <c r="B470" s="32">
        <v>55413.337554931677</v>
      </c>
      <c r="C470" s="33">
        <f t="shared" si="31"/>
        <v>1.6782013569933696E-3</v>
      </c>
      <c r="D470" s="32">
        <f>MAX($B$2:B470)</f>
        <v>65018.849296569817</v>
      </c>
      <c r="E470" s="34">
        <f t="shared" si="28"/>
        <v>-0.14773426238020015</v>
      </c>
      <c r="F470" s="35">
        <f t="shared" si="29"/>
        <v>85.226573761979978</v>
      </c>
      <c r="G470" s="36" t="str">
        <f t="shared" si="30"/>
        <v>2023-11</v>
      </c>
    </row>
    <row r="471" spans="1:7" x14ac:dyDescent="0.25">
      <c r="A471" s="37">
        <v>45244</v>
      </c>
      <c r="B471" s="38">
        <v>56769.975318908699</v>
      </c>
      <c r="C471" s="39">
        <f t="shared" si="31"/>
        <v>2.4482152200852036E-2</v>
      </c>
      <c r="D471" s="38">
        <f>MAX($B$2:B471)</f>
        <v>65018.849296569817</v>
      </c>
      <c r="E471" s="40">
        <f t="shared" si="28"/>
        <v>-0.12686896287622096</v>
      </c>
      <c r="F471" s="41">
        <f t="shared" si="29"/>
        <v>87.313103712377909</v>
      </c>
      <c r="G471" s="42" t="str">
        <f t="shared" si="30"/>
        <v>2023-11</v>
      </c>
    </row>
    <row r="472" spans="1:7" x14ac:dyDescent="0.25">
      <c r="A472" s="31">
        <v>45245</v>
      </c>
      <c r="B472" s="32">
        <v>56951.776924133308</v>
      </c>
      <c r="C472" s="33">
        <f t="shared" si="31"/>
        <v>3.2024252996998293E-3</v>
      </c>
      <c r="D472" s="32">
        <f>MAX($B$2:B472)</f>
        <v>65018.849296569817</v>
      </c>
      <c r="E472" s="34">
        <f t="shared" si="28"/>
        <v>-0.12407282595298252</v>
      </c>
      <c r="F472" s="35">
        <f t="shared" si="29"/>
        <v>87.592717404701744</v>
      </c>
      <c r="G472" s="36" t="str">
        <f t="shared" si="30"/>
        <v>2023-11</v>
      </c>
    </row>
    <row r="473" spans="1:7" x14ac:dyDescent="0.25">
      <c r="A473" s="37">
        <v>45246</v>
      </c>
      <c r="B473" s="38">
        <v>56926.412048339887</v>
      </c>
      <c r="C473" s="39">
        <f t="shared" si="31"/>
        <v>-4.4537461626892316E-4</v>
      </c>
      <c r="D473" s="38">
        <f>MAX($B$2:B473)</f>
        <v>65018.849296569817</v>
      </c>
      <c r="E473" s="40">
        <f t="shared" si="28"/>
        <v>-0.12446294168200334</v>
      </c>
      <c r="F473" s="41">
        <f t="shared" si="29"/>
        <v>87.553705831799661</v>
      </c>
      <c r="G473" s="42" t="str">
        <f t="shared" si="30"/>
        <v>2023-11</v>
      </c>
    </row>
    <row r="474" spans="1:7" x14ac:dyDescent="0.25">
      <c r="A474" s="31">
        <v>45247</v>
      </c>
      <c r="B474" s="32">
        <v>56817.58747100833</v>
      </c>
      <c r="C474" s="33">
        <f t="shared" si="31"/>
        <v>-1.9116711104003592E-3</v>
      </c>
      <c r="D474" s="32">
        <f>MAX($B$2:B474)</f>
        <v>65018.849296569817</v>
      </c>
      <c r="E474" s="34">
        <f t="shared" si="28"/>
        <v>-0.12613668058247474</v>
      </c>
      <c r="F474" s="35">
        <f t="shared" si="29"/>
        <v>87.38633194175253</v>
      </c>
      <c r="G474" s="36" t="str">
        <f t="shared" si="30"/>
        <v>2023-11</v>
      </c>
    </row>
    <row r="475" spans="1:7" x14ac:dyDescent="0.25">
      <c r="A475" s="37">
        <v>45250</v>
      </c>
      <c r="B475" s="38">
        <v>57459.418106079131</v>
      </c>
      <c r="C475" s="39">
        <f t="shared" si="31"/>
        <v>1.1296337342698637E-2</v>
      </c>
      <c r="D475" s="38">
        <f>MAX($B$2:B475)</f>
        <v>65018.849296569817</v>
      </c>
      <c r="E475" s="40">
        <f t="shared" si="28"/>
        <v>-0.11626522573492393</v>
      </c>
      <c r="F475" s="41">
        <f t="shared" si="29"/>
        <v>88.373477426507606</v>
      </c>
      <c r="G475" s="42" t="str">
        <f t="shared" si="30"/>
        <v>2023-11</v>
      </c>
    </row>
    <row r="476" spans="1:7" x14ac:dyDescent="0.25">
      <c r="A476" s="31">
        <v>45251</v>
      </c>
      <c r="B476" s="32">
        <v>57256.939964294412</v>
      </c>
      <c r="C476" s="33">
        <f t="shared" si="31"/>
        <v>-3.5238460196536092E-3</v>
      </c>
      <c r="D476" s="32">
        <f>MAX($B$2:B476)</f>
        <v>65018.849296569817</v>
      </c>
      <c r="E476" s="34">
        <f t="shared" si="28"/>
        <v>-0.11937937100164731</v>
      </c>
      <c r="F476" s="35">
        <f t="shared" si="29"/>
        <v>88.062062899835269</v>
      </c>
      <c r="G476" s="36" t="str">
        <f t="shared" si="30"/>
        <v>2023-11</v>
      </c>
    </row>
    <row r="477" spans="1:7" x14ac:dyDescent="0.25">
      <c r="A477" s="37">
        <v>45252</v>
      </c>
      <c r="B477" s="38">
        <v>57292.818031310999</v>
      </c>
      <c r="C477" s="39">
        <f t="shared" si="31"/>
        <v>6.2661516733109046E-4</v>
      </c>
      <c r="D477" s="38">
        <f>MAX($B$2:B477)</f>
        <v>65018.849296569817</v>
      </c>
      <c r="E477" s="40">
        <f t="shared" si="28"/>
        <v>-0.11882756075885237</v>
      </c>
      <c r="F477" s="41">
        <f t="shared" si="29"/>
        <v>88.11724392411476</v>
      </c>
      <c r="G477" s="42" t="str">
        <f t="shared" si="30"/>
        <v>2023-11</v>
      </c>
    </row>
    <row r="478" spans="1:7" x14ac:dyDescent="0.25">
      <c r="A478" s="31">
        <v>45254</v>
      </c>
      <c r="B478" s="32">
        <v>57097.21309661866</v>
      </c>
      <c r="C478" s="33">
        <f t="shared" si="31"/>
        <v>-3.4141266115665925E-3</v>
      </c>
      <c r="D478" s="32">
        <f>MAX($B$2:B478)</f>
        <v>65018.849296569817</v>
      </c>
      <c r="E478" s="34">
        <f t="shared" si="28"/>
        <v>-0.12183599503304465</v>
      </c>
      <c r="F478" s="35">
        <f t="shared" si="29"/>
        <v>87.816400496695536</v>
      </c>
      <c r="G478" s="36" t="str">
        <f t="shared" si="30"/>
        <v>2023-11</v>
      </c>
    </row>
    <row r="479" spans="1:7" x14ac:dyDescent="0.25">
      <c r="A479" s="37">
        <v>45257</v>
      </c>
      <c r="B479" s="38">
        <v>57204.936408996648</v>
      </c>
      <c r="C479" s="39">
        <f t="shared" si="31"/>
        <v>1.8866649795270529E-3</v>
      </c>
      <c r="D479" s="38">
        <f>MAX($B$2:B479)</f>
        <v>65018.849296569817</v>
      </c>
      <c r="E479" s="40">
        <f t="shared" si="28"/>
        <v>-0.12017919375859221</v>
      </c>
      <c r="F479" s="41">
        <f t="shared" si="29"/>
        <v>87.982080624140778</v>
      </c>
      <c r="G479" s="42" t="str">
        <f t="shared" si="30"/>
        <v>2023-11</v>
      </c>
    </row>
    <row r="480" spans="1:7" x14ac:dyDescent="0.25">
      <c r="A480" s="31">
        <v>45258</v>
      </c>
      <c r="B480" s="32">
        <v>57871.521186828577</v>
      </c>
      <c r="C480" s="33">
        <f t="shared" si="31"/>
        <v>1.1652574404874105E-2</v>
      </c>
      <c r="D480" s="32">
        <f>MAX($B$2:B480)</f>
        <v>65018.849296569817</v>
      </c>
      <c r="E480" s="34">
        <f t="shared" si="28"/>
        <v>-0.10992701635090785</v>
      </c>
      <c r="F480" s="35">
        <f t="shared" si="29"/>
        <v>89.007298364909218</v>
      </c>
      <c r="G480" s="36" t="str">
        <f t="shared" si="30"/>
        <v>2023-11</v>
      </c>
    </row>
    <row r="481" spans="1:7" x14ac:dyDescent="0.25">
      <c r="A481" s="37">
        <v>45259</v>
      </c>
      <c r="B481" s="38">
        <v>57553.87504577636</v>
      </c>
      <c r="C481" s="39">
        <f t="shared" si="31"/>
        <v>-5.4888161661890145E-3</v>
      </c>
      <c r="D481" s="38">
        <f>MAX($B$2:B481)</f>
        <v>65018.849296569817</v>
      </c>
      <c r="E481" s="40">
        <f t="shared" si="28"/>
        <v>-0.11481246333264905</v>
      </c>
      <c r="F481" s="41">
        <f t="shared" si="29"/>
        <v>88.518753666735094</v>
      </c>
      <c r="G481" s="42" t="str">
        <f t="shared" si="30"/>
        <v>2023-11</v>
      </c>
    </row>
    <row r="482" spans="1:7" x14ac:dyDescent="0.25">
      <c r="A482" s="31">
        <v>45260</v>
      </c>
      <c r="B482" s="32">
        <v>57131.950836181699</v>
      </c>
      <c r="C482" s="33">
        <f t="shared" si="31"/>
        <v>-7.3309435595618755E-3</v>
      </c>
      <c r="D482" s="32">
        <f>MAX($B$2:B482)</f>
        <v>65018.849296569817</v>
      </c>
      <c r="E482" s="34">
        <f t="shared" si="28"/>
        <v>-0.12130172320358501</v>
      </c>
      <c r="F482" s="35">
        <f t="shared" si="29"/>
        <v>87.869827679641503</v>
      </c>
      <c r="G482" s="36" t="str">
        <f t="shared" si="30"/>
        <v>2023-11</v>
      </c>
    </row>
    <row r="483" spans="1:7" x14ac:dyDescent="0.25">
      <c r="A483" s="37">
        <v>45261</v>
      </c>
      <c r="B483" s="38">
        <v>57084.063491821318</v>
      </c>
      <c r="C483" s="39">
        <f t="shared" si="31"/>
        <v>-8.381885032718861E-4</v>
      </c>
      <c r="D483" s="38">
        <f>MAX($B$2:B483)</f>
        <v>65018.849296569817</v>
      </c>
      <c r="E483" s="40">
        <f t="shared" si="28"/>
        <v>-0.1220382379970405</v>
      </c>
      <c r="F483" s="41">
        <f t="shared" si="29"/>
        <v>87.796176200295946</v>
      </c>
      <c r="G483" s="42" t="str">
        <f t="shared" si="30"/>
        <v>2023-12</v>
      </c>
    </row>
    <row r="484" spans="1:7" x14ac:dyDescent="0.25">
      <c r="A484" s="31">
        <v>45264</v>
      </c>
      <c r="B484" s="32">
        <v>56273.344306945837</v>
      </c>
      <c r="C484" s="33">
        <f t="shared" si="31"/>
        <v>-1.4202198219326778E-2</v>
      </c>
      <c r="D484" s="32">
        <f>MAX($B$2:B484)</f>
        <v>65018.849296569817</v>
      </c>
      <c r="E484" s="34">
        <f t="shared" si="28"/>
        <v>-0.13450722496999601</v>
      </c>
      <c r="F484" s="35">
        <f t="shared" si="29"/>
        <v>86.549277503000397</v>
      </c>
      <c r="G484" s="36" t="str">
        <f t="shared" si="30"/>
        <v>2023-12</v>
      </c>
    </row>
    <row r="485" spans="1:7" x14ac:dyDescent="0.25">
      <c r="A485" s="37">
        <v>45265</v>
      </c>
      <c r="B485" s="38">
        <v>56995.43350219728</v>
      </c>
      <c r="C485" s="39">
        <f t="shared" si="31"/>
        <v>1.2831815918257439E-2</v>
      </c>
      <c r="D485" s="38">
        <f>MAX($B$2:B485)</f>
        <v>65018.849296569817</v>
      </c>
      <c r="E485" s="40">
        <f t="shared" si="28"/>
        <v>-0.12340138100222919</v>
      </c>
      <c r="F485" s="41">
        <f t="shared" si="29"/>
        <v>87.659861899777084</v>
      </c>
      <c r="G485" s="42" t="str">
        <f t="shared" si="30"/>
        <v>2023-12</v>
      </c>
    </row>
    <row r="486" spans="1:7" x14ac:dyDescent="0.25">
      <c r="A486" s="31">
        <v>45266</v>
      </c>
      <c r="B486" s="32">
        <v>56754.419174194387</v>
      </c>
      <c r="C486" s="33">
        <f t="shared" si="31"/>
        <v>-4.2286603187885463E-3</v>
      </c>
      <c r="D486" s="32">
        <f>MAX($B$2:B486)</f>
        <v>65018.849296569817</v>
      </c>
      <c r="E486" s="34">
        <f t="shared" si="28"/>
        <v>-0.12710821879788992</v>
      </c>
      <c r="F486" s="35">
        <f t="shared" si="29"/>
        <v>87.289178120211005</v>
      </c>
      <c r="G486" s="36" t="str">
        <f t="shared" si="30"/>
        <v>2023-12</v>
      </c>
    </row>
    <row r="487" spans="1:7" x14ac:dyDescent="0.25">
      <c r="A487" s="37">
        <v>45267</v>
      </c>
      <c r="B487" s="38">
        <v>57580.407981872573</v>
      </c>
      <c r="C487" s="39">
        <f t="shared" si="31"/>
        <v>1.4553735545121294E-2</v>
      </c>
      <c r="D487" s="38">
        <f>MAX($B$2:B487)</f>
        <v>65018.849296569817</v>
      </c>
      <c r="E487" s="40">
        <f t="shared" si="28"/>
        <v>-0.1144043826547646</v>
      </c>
      <c r="F487" s="41">
        <f t="shared" si="29"/>
        <v>88.559561734523541</v>
      </c>
      <c r="G487" s="42" t="str">
        <f t="shared" si="30"/>
        <v>2023-12</v>
      </c>
    </row>
    <row r="488" spans="1:7" x14ac:dyDescent="0.25">
      <c r="A488" s="31">
        <v>45268</v>
      </c>
      <c r="B488" s="32">
        <v>57970.939636230469</v>
      </c>
      <c r="C488" s="33">
        <f t="shared" si="31"/>
        <v>6.7823703937777147E-3</v>
      </c>
      <c r="D488" s="32">
        <f>MAX($B$2:B488)</f>
        <v>65018.849296569817</v>
      </c>
      <c r="E488" s="34">
        <f t="shared" si="28"/>
        <v>-0.10839794515882295</v>
      </c>
      <c r="F488" s="35">
        <f t="shared" si="29"/>
        <v>89.160205484117711</v>
      </c>
      <c r="G488" s="36" t="str">
        <f t="shared" si="30"/>
        <v>2023-12</v>
      </c>
    </row>
    <row r="489" spans="1:7" x14ac:dyDescent="0.25">
      <c r="A489" s="37">
        <v>45271</v>
      </c>
      <c r="B489" s="38">
        <v>57514.964485168457</v>
      </c>
      <c r="C489" s="39">
        <f t="shared" si="31"/>
        <v>-7.8655815124486494E-3</v>
      </c>
      <c r="D489" s="38">
        <f>MAX($B$2:B489)</f>
        <v>65018.849296569817</v>
      </c>
      <c r="E489" s="40">
        <f t="shared" si="28"/>
        <v>-0.11541091379784296</v>
      </c>
      <c r="F489" s="41">
        <f t="shared" si="29"/>
        <v>88.458908620215709</v>
      </c>
      <c r="G489" s="42" t="str">
        <f t="shared" si="30"/>
        <v>2023-12</v>
      </c>
    </row>
    <row r="490" spans="1:7" x14ac:dyDescent="0.25">
      <c r="A490" s="31">
        <v>45272</v>
      </c>
      <c r="B490" s="32">
        <v>57718.84044647219</v>
      </c>
      <c r="C490" s="33">
        <f t="shared" si="31"/>
        <v>3.544746365205631E-3</v>
      </c>
      <c r="D490" s="32">
        <f>MAX($B$2:B490)</f>
        <v>65018.849296569817</v>
      </c>
      <c r="E490" s="34">
        <f t="shared" si="28"/>
        <v>-0.11227526984982727</v>
      </c>
      <c r="F490" s="35">
        <f t="shared" si="29"/>
        <v>88.772473015017269</v>
      </c>
      <c r="G490" s="36" t="str">
        <f t="shared" si="30"/>
        <v>2023-12</v>
      </c>
    </row>
    <row r="491" spans="1:7" x14ac:dyDescent="0.25">
      <c r="A491" s="37">
        <v>45273</v>
      </c>
      <c r="B491" s="38">
        <v>58198.85864257819</v>
      </c>
      <c r="C491" s="39">
        <f t="shared" si="31"/>
        <v>8.3164906362103164E-3</v>
      </c>
      <c r="D491" s="38">
        <f>MAX($B$2:B491)</f>
        <v>65018.849296569817</v>
      </c>
      <c r="E491" s="40">
        <f t="shared" si="28"/>
        <v>-0.10489251544400102</v>
      </c>
      <c r="F491" s="41">
        <f t="shared" si="29"/>
        <v>89.510748455599895</v>
      </c>
      <c r="G491" s="42" t="str">
        <f t="shared" si="30"/>
        <v>2023-12</v>
      </c>
    </row>
    <row r="492" spans="1:7" x14ac:dyDescent="0.25">
      <c r="A492" s="31">
        <v>45274</v>
      </c>
      <c r="B492" s="32">
        <v>58553.832321166978</v>
      </c>
      <c r="C492" s="33">
        <f t="shared" si="31"/>
        <v>6.0993237130098077E-3</v>
      </c>
      <c r="D492" s="32">
        <f>MAX($B$2:B492)</f>
        <v>65018.849296569817</v>
      </c>
      <c r="E492" s="34">
        <f t="shared" si="28"/>
        <v>-9.9432965137756013E-2</v>
      </c>
      <c r="F492" s="35">
        <f t="shared" si="29"/>
        <v>90.056703486224393</v>
      </c>
      <c r="G492" s="36" t="str">
        <f t="shared" si="30"/>
        <v>2023-12</v>
      </c>
    </row>
    <row r="493" spans="1:7" x14ac:dyDescent="0.25">
      <c r="A493" s="37">
        <v>45275</v>
      </c>
      <c r="B493" s="38">
        <v>58835.381355285652</v>
      </c>
      <c r="C493" s="39">
        <f t="shared" si="31"/>
        <v>4.8083792803583769E-3</v>
      </c>
      <c r="D493" s="38">
        <f>MAX($B$2:B493)</f>
        <v>65018.849296569817</v>
      </c>
      <c r="E493" s="40">
        <f t="shared" si="28"/>
        <v>-9.5102697266750691E-2</v>
      </c>
      <c r="F493" s="41">
        <f t="shared" si="29"/>
        <v>90.489730273324938</v>
      </c>
      <c r="G493" s="42" t="str">
        <f t="shared" si="30"/>
        <v>2023-12</v>
      </c>
    </row>
    <row r="494" spans="1:7" x14ac:dyDescent="0.25">
      <c r="A494" s="31">
        <v>45278</v>
      </c>
      <c r="B494" s="32">
        <v>59086.311264038122</v>
      </c>
      <c r="C494" s="33">
        <f t="shared" si="31"/>
        <v>4.2649491338757617E-3</v>
      </c>
      <c r="D494" s="32">
        <f>MAX($B$2:B494)</f>
        <v>65018.849296569817</v>
      </c>
      <c r="E494" s="34">
        <f t="shared" si="28"/>
        <v>-9.1243356299212097E-2</v>
      </c>
      <c r="F494" s="35">
        <f t="shared" si="29"/>
        <v>90.875664370078795</v>
      </c>
      <c r="G494" s="36" t="str">
        <f t="shared" si="30"/>
        <v>2023-12</v>
      </c>
    </row>
    <row r="495" spans="1:7" x14ac:dyDescent="0.25">
      <c r="A495" s="37">
        <v>45279</v>
      </c>
      <c r="B495" s="38">
        <v>59574.738006591841</v>
      </c>
      <c r="C495" s="39">
        <f t="shared" si="31"/>
        <v>8.266326533248769E-3</v>
      </c>
      <c r="D495" s="38">
        <f>MAX($B$2:B495)</f>
        <v>65018.849296569817</v>
      </c>
      <c r="E495" s="40">
        <f t="shared" si="28"/>
        <v>-8.3731277143122118E-2</v>
      </c>
      <c r="F495" s="41">
        <f t="shared" si="29"/>
        <v>91.626872285687782</v>
      </c>
      <c r="G495" s="42" t="str">
        <f t="shared" si="30"/>
        <v>2023-12</v>
      </c>
    </row>
    <row r="496" spans="1:7" x14ac:dyDescent="0.25">
      <c r="A496" s="31">
        <v>45280</v>
      </c>
      <c r="B496" s="32">
        <v>58440.57106018065</v>
      </c>
      <c r="C496" s="33">
        <f t="shared" si="31"/>
        <v>-1.9037716058200704E-2</v>
      </c>
      <c r="D496" s="32">
        <f>MAX($B$2:B496)</f>
        <v>65018.849296569817</v>
      </c>
      <c r="E496" s="34">
        <f t="shared" si="28"/>
        <v>-0.10117494092188151</v>
      </c>
      <c r="F496" s="35">
        <f t="shared" si="29"/>
        <v>89.882505907811847</v>
      </c>
      <c r="G496" s="36" t="str">
        <f t="shared" si="30"/>
        <v>2023-12</v>
      </c>
    </row>
    <row r="497" spans="1:7" x14ac:dyDescent="0.25">
      <c r="A497" s="37">
        <v>45281</v>
      </c>
      <c r="B497" s="38">
        <v>59469.391975402832</v>
      </c>
      <c r="C497" s="39">
        <f t="shared" si="31"/>
        <v>1.7604566426339785E-2</v>
      </c>
      <c r="D497" s="38">
        <f>MAX($B$2:B497)</f>
        <v>65018.849296569817</v>
      </c>
      <c r="E497" s="40">
        <f t="shared" si="28"/>
        <v>-8.5351515463681915E-2</v>
      </c>
      <c r="F497" s="41">
        <f t="shared" si="29"/>
        <v>91.464848453631802</v>
      </c>
      <c r="G497" s="42" t="str">
        <f t="shared" si="30"/>
        <v>2023-12</v>
      </c>
    </row>
    <row r="498" spans="1:7" x14ac:dyDescent="0.25">
      <c r="A498" s="31">
        <v>45282</v>
      </c>
      <c r="B498" s="32">
        <v>59451.226768493652</v>
      </c>
      <c r="C498" s="33">
        <f t="shared" si="31"/>
        <v>-3.0545472731069445E-4</v>
      </c>
      <c r="D498" s="32">
        <f>MAX($B$2:B498)</f>
        <v>65018.849296569817</v>
      </c>
      <c r="E498" s="34">
        <f t="shared" si="28"/>
        <v>-8.5630899167111085E-2</v>
      </c>
      <c r="F498" s="35">
        <f t="shared" si="29"/>
        <v>91.436910083288893</v>
      </c>
      <c r="G498" s="36" t="str">
        <f t="shared" si="30"/>
        <v>2023-12</v>
      </c>
    </row>
    <row r="499" spans="1:7" x14ac:dyDescent="0.25">
      <c r="A499" s="37">
        <v>45286</v>
      </c>
      <c r="B499" s="38">
        <v>59719.028892517068</v>
      </c>
      <c r="C499" s="39">
        <f t="shared" si="31"/>
        <v>4.5045685106928079E-3</v>
      </c>
      <c r="D499" s="38">
        <f>MAX($B$2:B499)</f>
        <v>65018.849296569817</v>
      </c>
      <c r="E499" s="40">
        <f t="shared" si="28"/>
        <v>-8.1512060908348727E-2</v>
      </c>
      <c r="F499" s="41">
        <f t="shared" si="29"/>
        <v>91.848793909165124</v>
      </c>
      <c r="G499" s="42" t="str">
        <f t="shared" si="30"/>
        <v>2023-12</v>
      </c>
    </row>
    <row r="500" spans="1:7" x14ac:dyDescent="0.25">
      <c r="A500" s="31">
        <v>45287</v>
      </c>
      <c r="B500" s="32">
        <v>59904.450225830064</v>
      </c>
      <c r="C500" s="33">
        <f t="shared" si="31"/>
        <v>3.1048953198271612E-3</v>
      </c>
      <c r="D500" s="32">
        <f>MAX($B$2:B500)</f>
        <v>65018.849296569817</v>
      </c>
      <c r="E500" s="34">
        <f t="shared" si="28"/>
        <v>-7.8660252004945419E-2</v>
      </c>
      <c r="F500" s="35">
        <f t="shared" si="29"/>
        <v>92.133974799505452</v>
      </c>
      <c r="G500" s="36" t="str">
        <f t="shared" si="30"/>
        <v>2023-12</v>
      </c>
    </row>
    <row r="501" spans="1:7" x14ac:dyDescent="0.25">
      <c r="A501" s="37">
        <v>45288</v>
      </c>
      <c r="B501" s="38">
        <v>59577.425804138213</v>
      </c>
      <c r="C501" s="39">
        <f t="shared" si="31"/>
        <v>-5.4591006253963403E-3</v>
      </c>
      <c r="D501" s="38">
        <f>MAX($B$2:B501)</f>
        <v>65018.849296569817</v>
      </c>
      <c r="E501" s="40">
        <f t="shared" si="28"/>
        <v>-8.3689938399427732E-2</v>
      </c>
      <c r="F501" s="41">
        <f t="shared" si="29"/>
        <v>91.631006160057225</v>
      </c>
      <c r="G501" s="42" t="str">
        <f t="shared" si="30"/>
        <v>2023-12</v>
      </c>
    </row>
    <row r="502" spans="1:7" x14ac:dyDescent="0.25">
      <c r="A502" s="31">
        <v>45289</v>
      </c>
      <c r="B502" s="32">
        <v>59177.425193786621</v>
      </c>
      <c r="C502" s="33">
        <f t="shared" si="31"/>
        <v>-6.7139626285063203E-3</v>
      </c>
      <c r="D502" s="32">
        <f>MAX($B$2:B502)</f>
        <v>65018.849296569817</v>
      </c>
      <c r="E502" s="34">
        <f t="shared" si="28"/>
        <v>-8.9842009909138265E-2</v>
      </c>
      <c r="F502" s="35">
        <f t="shared" si="29"/>
        <v>91.01579900908618</v>
      </c>
      <c r="G502" s="36" t="str">
        <f t="shared" si="30"/>
        <v>2023-12</v>
      </c>
    </row>
    <row r="503" spans="1:7" x14ac:dyDescent="0.25">
      <c r="A503" s="37">
        <v>45293</v>
      </c>
      <c r="B503" s="38">
        <v>58102.338981628418</v>
      </c>
      <c r="C503" s="39">
        <f t="shared" si="31"/>
        <v>-1.8167167777875637E-2</v>
      </c>
      <c r="D503" s="38">
        <f>MAX($B$2:B503)</f>
        <v>65018.849296569817</v>
      </c>
      <c r="E503" s="40">
        <f t="shared" si="28"/>
        <v>-0.10637700281949303</v>
      </c>
      <c r="F503" s="41">
        <f t="shared" si="29"/>
        <v>89.362299718050693</v>
      </c>
      <c r="G503" s="42" t="str">
        <f t="shared" si="30"/>
        <v>2024-01</v>
      </c>
    </row>
    <row r="504" spans="1:7" x14ac:dyDescent="0.25">
      <c r="A504" s="31">
        <v>45294</v>
      </c>
      <c r="B504" s="32">
        <v>57390.978584289522</v>
      </c>
      <c r="C504" s="33">
        <f t="shared" si="31"/>
        <v>-1.2243231680635458E-2</v>
      </c>
      <c r="D504" s="32">
        <f>MAX($B$2:B504)</f>
        <v>65018.849296569817</v>
      </c>
      <c r="E504" s="34">
        <f t="shared" si="28"/>
        <v>-0.11731783620911784</v>
      </c>
      <c r="F504" s="35">
        <f t="shared" si="29"/>
        <v>88.268216379088216</v>
      </c>
      <c r="G504" s="36" t="str">
        <f t="shared" si="30"/>
        <v>2024-01</v>
      </c>
    </row>
    <row r="505" spans="1:7" x14ac:dyDescent="0.25">
      <c r="A505" s="37">
        <v>45295</v>
      </c>
      <c r="B505" s="38">
        <v>56918.706207275391</v>
      </c>
      <c r="C505" s="39">
        <f t="shared" si="31"/>
        <v>-8.2290350968752257E-3</v>
      </c>
      <c r="D505" s="38">
        <f>MAX($B$2:B505)</f>
        <v>65018.849296569817</v>
      </c>
      <c r="E505" s="40">
        <f t="shared" si="28"/>
        <v>-0.12458145871433879</v>
      </c>
      <c r="F505" s="41">
        <f t="shared" si="29"/>
        <v>87.541854128566115</v>
      </c>
      <c r="G505" s="42" t="str">
        <f t="shared" si="30"/>
        <v>2024-01</v>
      </c>
    </row>
    <row r="506" spans="1:7" x14ac:dyDescent="0.25">
      <c r="A506" s="31">
        <v>45296</v>
      </c>
      <c r="B506" s="32">
        <v>56947.914733886733</v>
      </c>
      <c r="C506" s="33">
        <f t="shared" si="31"/>
        <v>5.1316216684504923E-4</v>
      </c>
      <c r="D506" s="32">
        <f>MAX($B$2:B506)</f>
        <v>65018.849296569817</v>
      </c>
      <c r="E506" s="34">
        <f t="shared" si="28"/>
        <v>-0.12413222703879623</v>
      </c>
      <c r="F506" s="35">
        <f t="shared" si="29"/>
        <v>87.586777296120374</v>
      </c>
      <c r="G506" s="36" t="str">
        <f t="shared" si="30"/>
        <v>2024-01</v>
      </c>
    </row>
    <row r="507" spans="1:7" x14ac:dyDescent="0.25">
      <c r="A507" s="37">
        <v>45299</v>
      </c>
      <c r="B507" s="38">
        <v>58236.432304382361</v>
      </c>
      <c r="C507" s="39">
        <f t="shared" si="31"/>
        <v>2.2626246746992873E-2</v>
      </c>
      <c r="D507" s="38">
        <f>MAX($B$2:B507)</f>
        <v>65018.849296569817</v>
      </c>
      <c r="E507" s="40">
        <f t="shared" si="28"/>
        <v>-0.10431462669003699</v>
      </c>
      <c r="F507" s="41">
        <f t="shared" si="29"/>
        <v>89.568537330996307</v>
      </c>
      <c r="G507" s="42" t="str">
        <f t="shared" si="30"/>
        <v>2024-01</v>
      </c>
    </row>
    <row r="508" spans="1:7" x14ac:dyDescent="0.25">
      <c r="A508" s="31">
        <v>45300</v>
      </c>
      <c r="B508" s="32">
        <v>58092.683601379409</v>
      </c>
      <c r="C508" s="33">
        <f t="shared" si="31"/>
        <v>-2.4683638285331044E-3</v>
      </c>
      <c r="D508" s="32">
        <f>MAX($B$2:B508)</f>
        <v>65018.849296569817</v>
      </c>
      <c r="E508" s="34">
        <f t="shared" si="28"/>
        <v>-0.10652550406726147</v>
      </c>
      <c r="F508" s="35">
        <f t="shared" si="29"/>
        <v>89.347449593273851</v>
      </c>
      <c r="G508" s="36" t="str">
        <f t="shared" si="30"/>
        <v>2024-01</v>
      </c>
    </row>
    <row r="509" spans="1:7" x14ac:dyDescent="0.25">
      <c r="A509" s="37">
        <v>45301</v>
      </c>
      <c r="B509" s="38">
        <v>58459.75994110106</v>
      </c>
      <c r="C509" s="39">
        <f t="shared" si="31"/>
        <v>6.3188050020284159E-3</v>
      </c>
      <c r="D509" s="38">
        <f>MAX($B$2:B509)</f>
        <v>65018.849296569817</v>
      </c>
      <c r="E509" s="40">
        <f t="shared" si="28"/>
        <v>-0.10087981295317683</v>
      </c>
      <c r="F509" s="41">
        <f t="shared" si="29"/>
        <v>89.91201870468231</v>
      </c>
      <c r="G509" s="42" t="str">
        <f t="shared" si="30"/>
        <v>2024-01</v>
      </c>
    </row>
    <row r="510" spans="1:7" x14ac:dyDescent="0.25">
      <c r="A510" s="31">
        <v>45302</v>
      </c>
      <c r="B510" s="32">
        <v>58282.9052734375</v>
      </c>
      <c r="C510" s="33">
        <f t="shared" si="31"/>
        <v>-3.0252376650493629E-3</v>
      </c>
      <c r="D510" s="32">
        <f>MAX($B$2:B510)</f>
        <v>65018.849296569817</v>
      </c>
      <c r="E510" s="34">
        <f t="shared" si="28"/>
        <v>-0.10359986520843711</v>
      </c>
      <c r="F510" s="35">
        <f t="shared" si="29"/>
        <v>89.640013479156295</v>
      </c>
      <c r="G510" s="36" t="str">
        <f t="shared" si="30"/>
        <v>2024-01</v>
      </c>
    </row>
    <row r="511" spans="1:7" x14ac:dyDescent="0.25">
      <c r="A511" s="37">
        <v>45303</v>
      </c>
      <c r="B511" s="38">
        <v>57981.871986389197</v>
      </c>
      <c r="C511" s="39">
        <f t="shared" si="31"/>
        <v>-5.1650357104882083E-3</v>
      </c>
      <c r="D511" s="38">
        <f>MAX($B$2:B511)</f>
        <v>65018.849296569817</v>
      </c>
      <c r="E511" s="40">
        <f t="shared" si="28"/>
        <v>-0.10822980391552195</v>
      </c>
      <c r="F511" s="41">
        <f t="shared" si="29"/>
        <v>89.177019608447807</v>
      </c>
      <c r="G511" s="42" t="str">
        <f t="shared" si="30"/>
        <v>2024-01</v>
      </c>
    </row>
    <row r="512" spans="1:7" x14ac:dyDescent="0.25">
      <c r="A512" s="31">
        <v>45307</v>
      </c>
      <c r="B512" s="32">
        <v>58100.425567626931</v>
      </c>
      <c r="C512" s="33">
        <f t="shared" si="31"/>
        <v>2.0446663271851406E-3</v>
      </c>
      <c r="D512" s="32">
        <f>MAX($B$2:B512)</f>
        <v>65018.849296569817</v>
      </c>
      <c r="E512" s="34">
        <f t="shared" si="28"/>
        <v>-0.10640643142400064</v>
      </c>
      <c r="F512" s="35">
        <f t="shared" si="29"/>
        <v>89.359356857599934</v>
      </c>
      <c r="G512" s="36" t="str">
        <f t="shared" si="30"/>
        <v>2024-01</v>
      </c>
    </row>
    <row r="513" spans="1:7" x14ac:dyDescent="0.25">
      <c r="A513" s="37">
        <v>45308</v>
      </c>
      <c r="B513" s="38">
        <v>57714.131851196253</v>
      </c>
      <c r="C513" s="39">
        <f t="shared" si="31"/>
        <v>-6.6487243881035996E-3</v>
      </c>
      <c r="D513" s="38">
        <f>MAX($B$2:B513)</f>
        <v>65018.849296569817</v>
      </c>
      <c r="E513" s="40">
        <f t="shared" si="28"/>
        <v>-0.11234768877644441</v>
      </c>
      <c r="F513" s="41">
        <f t="shared" si="29"/>
        <v>88.765231122355559</v>
      </c>
      <c r="G513" s="42" t="str">
        <f t="shared" si="30"/>
        <v>2024-01</v>
      </c>
    </row>
    <row r="514" spans="1:7" x14ac:dyDescent="0.25">
      <c r="A514" s="31">
        <v>45309</v>
      </c>
      <c r="B514" s="32">
        <v>58850.003166198803</v>
      </c>
      <c r="C514" s="33">
        <f t="shared" si="31"/>
        <v>1.9680991094714217E-2</v>
      </c>
      <c r="D514" s="32">
        <f>MAX($B$2:B514)</f>
        <v>65018.849296569817</v>
      </c>
      <c r="E514" s="34">
        <f t="shared" ref="E514:E577" si="32">B514/D514-1</f>
        <v>-9.4877811544051172E-2</v>
      </c>
      <c r="F514" s="35">
        <f t="shared" ref="F514:F577" si="33">B514/$B$2*100</f>
        <v>90.512218845594887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59673.154487609921</v>
      </c>
      <c r="C515" s="39">
        <f t="shared" ref="C515:C578" si="35">B515/B514-1</f>
        <v>1.398727743627215E-2</v>
      </c>
      <c r="D515" s="38">
        <f>MAX($B$2:B515)</f>
        <v>65018.849296569817</v>
      </c>
      <c r="E515" s="40">
        <f t="shared" si="32"/>
        <v>-8.2217616380391934E-2</v>
      </c>
      <c r="F515" s="41">
        <f t="shared" si="33"/>
        <v>91.778238361960803</v>
      </c>
      <c r="G515" s="42" t="str">
        <f t="shared" si="34"/>
        <v>2024-01</v>
      </c>
    </row>
    <row r="516" spans="1:7" x14ac:dyDescent="0.25">
      <c r="A516" s="31">
        <v>45313</v>
      </c>
      <c r="B516" s="32">
        <v>59580.661277771032</v>
      </c>
      <c r="C516" s="33">
        <f t="shared" si="35"/>
        <v>-1.5499969899880339E-3</v>
      </c>
      <c r="D516" s="32">
        <f>MAX($B$2:B516)</f>
        <v>65018.849296569817</v>
      </c>
      <c r="E516" s="34">
        <f t="shared" si="32"/>
        <v>-8.3640176312466452E-2</v>
      </c>
      <c r="F516" s="35">
        <f t="shared" si="33"/>
        <v>91.635982368753361</v>
      </c>
      <c r="G516" s="36" t="str">
        <f t="shared" si="34"/>
        <v>2024-01</v>
      </c>
    </row>
    <row r="517" spans="1:7" x14ac:dyDescent="0.25">
      <c r="A517" s="37">
        <v>45314</v>
      </c>
      <c r="B517" s="38">
        <v>59838.329315185518</v>
      </c>
      <c r="C517" s="39">
        <f t="shared" si="35"/>
        <v>4.3246924738415959E-3</v>
      </c>
      <c r="D517" s="38">
        <f>MAX($B$2:B517)</f>
        <v>65018.849296569817</v>
      </c>
      <c r="E517" s="40">
        <f t="shared" si="32"/>
        <v>-7.9677201879634119E-2</v>
      </c>
      <c r="F517" s="41">
        <f t="shared" si="33"/>
        <v>92.032279812036592</v>
      </c>
      <c r="G517" s="42" t="str">
        <f t="shared" si="34"/>
        <v>2024-01</v>
      </c>
    </row>
    <row r="518" spans="1:7" x14ac:dyDescent="0.25">
      <c r="A518" s="31">
        <v>45315</v>
      </c>
      <c r="B518" s="32">
        <v>60177.915840148962</v>
      </c>
      <c r="C518" s="33">
        <f t="shared" si="35"/>
        <v>5.6750669487235506E-3</v>
      </c>
      <c r="D518" s="32">
        <f>MAX($B$2:B518)</f>
        <v>65018.849296569817</v>
      </c>
      <c r="E518" s="34">
        <f t="shared" si="32"/>
        <v>-7.4454308385864421E-2</v>
      </c>
      <c r="F518" s="35">
        <f t="shared" si="33"/>
        <v>92.554569161413554</v>
      </c>
      <c r="G518" s="36" t="str">
        <f t="shared" si="34"/>
        <v>2024-01</v>
      </c>
    </row>
    <row r="519" spans="1:7" x14ac:dyDescent="0.25">
      <c r="A519" s="37">
        <v>45316</v>
      </c>
      <c r="B519" s="38">
        <v>59301.848487854069</v>
      </c>
      <c r="C519" s="39">
        <f t="shared" si="35"/>
        <v>-1.4557954360233993E-2</v>
      </c>
      <c r="D519" s="38">
        <f>MAX($B$2:B519)</f>
        <v>65018.849296569817</v>
      </c>
      <c r="E519" s="40">
        <f t="shared" si="32"/>
        <v>-8.7928360322694243E-2</v>
      </c>
      <c r="F519" s="41">
        <f t="shared" si="33"/>
        <v>91.20716396773058</v>
      </c>
      <c r="G519" s="42" t="str">
        <f t="shared" si="34"/>
        <v>2024-01</v>
      </c>
    </row>
    <row r="520" spans="1:7" x14ac:dyDescent="0.25">
      <c r="A520" s="31">
        <v>45317</v>
      </c>
      <c r="B520" s="32">
        <v>59210.826530456572</v>
      </c>
      <c r="C520" s="33">
        <f t="shared" si="35"/>
        <v>-1.534892414291944E-3</v>
      </c>
      <c r="D520" s="32">
        <f>MAX($B$2:B520)</f>
        <v>65018.849296569817</v>
      </c>
      <c r="E520" s="34">
        <f t="shared" si="32"/>
        <v>-8.9328292163725731E-2</v>
      </c>
      <c r="F520" s="35">
        <f t="shared" si="33"/>
        <v>91.067170783627432</v>
      </c>
      <c r="G520" s="36" t="str">
        <f t="shared" si="34"/>
        <v>2024-01</v>
      </c>
    </row>
    <row r="521" spans="1:7" x14ac:dyDescent="0.25">
      <c r="A521" s="37">
        <v>45320</v>
      </c>
      <c r="B521" s="38">
        <v>59991.411666870081</v>
      </c>
      <c r="C521" s="39">
        <f t="shared" si="35"/>
        <v>1.3183148794789989E-2</v>
      </c>
      <c r="D521" s="38">
        <f>MAX($B$2:B521)</f>
        <v>65018.849296569817</v>
      </c>
      <c r="E521" s="40">
        <f t="shared" si="32"/>
        <v>-7.7322771536114665E-2</v>
      </c>
      <c r="F521" s="41">
        <f t="shared" si="33"/>
        <v>92.267722846388537</v>
      </c>
      <c r="G521" s="42" t="str">
        <f t="shared" si="34"/>
        <v>2024-01</v>
      </c>
    </row>
    <row r="522" spans="1:7" x14ac:dyDescent="0.25">
      <c r="A522" s="31">
        <v>45321</v>
      </c>
      <c r="B522" s="32">
        <v>59445.899734497063</v>
      </c>
      <c r="C522" s="33">
        <f t="shared" si="35"/>
        <v>-9.0931671253582369E-3</v>
      </c>
      <c r="D522" s="32">
        <f>MAX($B$2:B522)</f>
        <v>65018.849296569817</v>
      </c>
      <c r="E522" s="34">
        <f t="shared" si="32"/>
        <v>-8.5712829777299104E-2</v>
      </c>
      <c r="F522" s="35">
        <f t="shared" si="33"/>
        <v>91.428717022270092</v>
      </c>
      <c r="G522" s="36" t="str">
        <f t="shared" si="34"/>
        <v>2024-01</v>
      </c>
    </row>
    <row r="523" spans="1:7" x14ac:dyDescent="0.25">
      <c r="A523" s="37">
        <v>45322</v>
      </c>
      <c r="B523" s="38">
        <v>57831.189155578599</v>
      </c>
      <c r="C523" s="39">
        <f t="shared" si="35"/>
        <v>-2.7162690549394242E-2</v>
      </c>
      <c r="D523" s="38">
        <f>MAX($B$2:B523)</f>
        <v>65018.849296569817</v>
      </c>
      <c r="E523" s="40">
        <f t="shared" si="32"/>
        <v>-0.11054732925533972</v>
      </c>
      <c r="F523" s="41">
        <f t="shared" si="33"/>
        <v>88.945267074466031</v>
      </c>
      <c r="G523" s="42" t="str">
        <f t="shared" si="34"/>
        <v>2024-01</v>
      </c>
    </row>
    <row r="524" spans="1:7" x14ac:dyDescent="0.25">
      <c r="A524" s="31">
        <v>45323</v>
      </c>
      <c r="B524" s="32">
        <v>58556.03961944583</v>
      </c>
      <c r="C524" s="33">
        <f t="shared" si="35"/>
        <v>1.2533902111492523E-2</v>
      </c>
      <c r="D524" s="32">
        <f>MAX($B$2:B524)</f>
        <v>65018.849296569817</v>
      </c>
      <c r="E524" s="34">
        <f t="shared" si="32"/>
        <v>-9.939901654742056E-2</v>
      </c>
      <c r="F524" s="35">
        <f t="shared" si="33"/>
        <v>90.060098345257941</v>
      </c>
      <c r="G524" s="36" t="str">
        <f t="shared" si="34"/>
        <v>2024-02</v>
      </c>
    </row>
    <row r="525" spans="1:7" x14ac:dyDescent="0.25">
      <c r="A525" s="37">
        <v>45324</v>
      </c>
      <c r="B525" s="38">
        <v>59480.859260559053</v>
      </c>
      <c r="C525" s="39">
        <f t="shared" si="35"/>
        <v>1.579375325113519E-2</v>
      </c>
      <c r="D525" s="38">
        <f>MAX($B$2:B525)</f>
        <v>65018.849296569817</v>
      </c>
      <c r="E525" s="40">
        <f t="shared" si="32"/>
        <v>-8.517514683704086E-2</v>
      </c>
      <c r="F525" s="41">
        <f t="shared" si="33"/>
        <v>91.482485316295907</v>
      </c>
      <c r="G525" s="42" t="str">
        <f t="shared" si="34"/>
        <v>2024-02</v>
      </c>
    </row>
    <row r="526" spans="1:7" x14ac:dyDescent="0.25">
      <c r="A526" s="31">
        <v>45327</v>
      </c>
      <c r="B526" s="32">
        <v>59373.921928405813</v>
      </c>
      <c r="C526" s="33">
        <f t="shared" si="35"/>
        <v>-1.7978444407602545E-3</v>
      </c>
      <c r="D526" s="32">
        <f>MAX($B$2:B526)</f>
        <v>65018.849296569817</v>
      </c>
      <c r="E526" s="34">
        <f t="shared" si="32"/>
        <v>-8.6819859613569195E-2</v>
      </c>
      <c r="F526" s="35">
        <f t="shared" si="33"/>
        <v>91.318014038643085</v>
      </c>
      <c r="G526" s="36" t="str">
        <f t="shared" si="34"/>
        <v>2024-02</v>
      </c>
    </row>
    <row r="527" spans="1:7" x14ac:dyDescent="0.25">
      <c r="A527" s="37">
        <v>45328</v>
      </c>
      <c r="B527" s="38">
        <v>59524.53784942627</v>
      </c>
      <c r="C527" s="39">
        <f t="shared" si="35"/>
        <v>2.5367352556240341E-3</v>
      </c>
      <c r="D527" s="38">
        <f>MAX($B$2:B527)</f>
        <v>65018.849296569817</v>
      </c>
      <c r="E527" s="40">
        <f t="shared" si="32"/>
        <v>-8.4503363356715266E-2</v>
      </c>
      <c r="F527" s="41">
        <f t="shared" si="33"/>
        <v>91.549663664328477</v>
      </c>
      <c r="G527" s="42" t="str">
        <f t="shared" si="34"/>
        <v>2024-02</v>
      </c>
    </row>
    <row r="528" spans="1:7" x14ac:dyDescent="0.25">
      <c r="A528" s="31">
        <v>45329</v>
      </c>
      <c r="B528" s="32">
        <v>60501.870994567871</v>
      </c>
      <c r="C528" s="33">
        <f t="shared" si="35"/>
        <v>1.6418995937673042E-2</v>
      </c>
      <c r="D528" s="32">
        <f>MAX($B$2:B528)</f>
        <v>65018.849296569817</v>
      </c>
      <c r="E528" s="34">
        <f t="shared" si="32"/>
        <v>-6.9471827798715746E-2</v>
      </c>
      <c r="F528" s="35">
        <f t="shared" si="33"/>
        <v>93.052817220128432</v>
      </c>
      <c r="G528" s="36" t="str">
        <f t="shared" si="34"/>
        <v>2024-02</v>
      </c>
    </row>
    <row r="529" spans="1:7" x14ac:dyDescent="0.25">
      <c r="A529" s="37">
        <v>45330</v>
      </c>
      <c r="B529" s="38">
        <v>60969.8435211182</v>
      </c>
      <c r="C529" s="39">
        <f t="shared" si="35"/>
        <v>7.7348438793296559E-3</v>
      </c>
      <c r="D529" s="38">
        <f>MAX($B$2:B529)</f>
        <v>65018.849296569817</v>
      </c>
      <c r="E529" s="40">
        <f t="shared" si="32"/>
        <v>-6.2274337661420764E-2</v>
      </c>
      <c r="F529" s="41">
        <f t="shared" si="33"/>
        <v>93.77256623385793</v>
      </c>
      <c r="G529" s="42" t="str">
        <f t="shared" si="34"/>
        <v>2024-02</v>
      </c>
    </row>
    <row r="530" spans="1:7" x14ac:dyDescent="0.25">
      <c r="A530" s="31">
        <v>45331</v>
      </c>
      <c r="B530" s="32">
        <v>61838.981094360381</v>
      </c>
      <c r="C530" s="33">
        <f t="shared" si="35"/>
        <v>1.4255204262433985E-2</v>
      </c>
      <c r="D530" s="32">
        <f>MAX($B$2:B530)</f>
        <v>65018.849296569817</v>
      </c>
      <c r="E530" s="34">
        <f t="shared" si="32"/>
        <v>-4.8906866802657989E-2</v>
      </c>
      <c r="F530" s="35">
        <f t="shared" si="33"/>
        <v>95.109313319734198</v>
      </c>
      <c r="G530" s="36" t="str">
        <f t="shared" si="34"/>
        <v>2024-02</v>
      </c>
    </row>
    <row r="531" spans="1:7" x14ac:dyDescent="0.25">
      <c r="A531" s="37">
        <v>45334</v>
      </c>
      <c r="B531" s="38">
        <v>61078.345222473203</v>
      </c>
      <c r="C531" s="39">
        <f t="shared" si="35"/>
        <v>-1.230026527646888E-2</v>
      </c>
      <c r="D531" s="38">
        <f>MAX($B$2:B531)</f>
        <v>65018.849296569817</v>
      </c>
      <c r="E531" s="40">
        <f t="shared" si="32"/>
        <v>-6.060556464361333E-2</v>
      </c>
      <c r="F531" s="41">
        <f t="shared" si="33"/>
        <v>93.939443535638674</v>
      </c>
      <c r="G531" s="42" t="str">
        <f t="shared" si="34"/>
        <v>2024-02</v>
      </c>
    </row>
    <row r="532" spans="1:7" x14ac:dyDescent="0.25">
      <c r="A532" s="31">
        <v>45335</v>
      </c>
      <c r="B532" s="32">
        <v>59883.370819091811</v>
      </c>
      <c r="C532" s="33">
        <f t="shared" si="35"/>
        <v>-1.9564616543372049E-2</v>
      </c>
      <c r="D532" s="32">
        <f>MAX($B$2:B532)</f>
        <v>65018.849296569817</v>
      </c>
      <c r="E532" s="34">
        <f t="shared" si="32"/>
        <v>-7.8984456554338611E-2</v>
      </c>
      <c r="F532" s="35">
        <f t="shared" si="33"/>
        <v>92.101554344566139</v>
      </c>
      <c r="G532" s="36" t="str">
        <f t="shared" si="34"/>
        <v>2024-02</v>
      </c>
    </row>
    <row r="533" spans="1:7" x14ac:dyDescent="0.25">
      <c r="A533" s="37">
        <v>45336</v>
      </c>
      <c r="B533" s="38">
        <v>60608.715209960938</v>
      </c>
      <c r="C533" s="39">
        <f t="shared" si="35"/>
        <v>1.2112617926275382E-2</v>
      </c>
      <c r="D533" s="38">
        <f>MAX($B$2:B533)</f>
        <v>65018.849296569817</v>
      </c>
      <c r="E533" s="40">
        <f t="shared" si="32"/>
        <v>-6.7828547172420373E-2</v>
      </c>
      <c r="F533" s="41">
        <f t="shared" si="33"/>
        <v>93.217145282757969</v>
      </c>
      <c r="G533" s="42" t="str">
        <f t="shared" si="34"/>
        <v>2024-02</v>
      </c>
    </row>
    <row r="534" spans="1:7" x14ac:dyDescent="0.25">
      <c r="A534" s="31">
        <v>45337</v>
      </c>
      <c r="B534" s="32">
        <v>60779.729194641142</v>
      </c>
      <c r="C534" s="33">
        <f t="shared" si="35"/>
        <v>2.8216071581088631E-3</v>
      </c>
      <c r="D534" s="32">
        <f>MAX($B$2:B534)</f>
        <v>65018.849296569817</v>
      </c>
      <c r="E534" s="34">
        <f t="shared" si="32"/>
        <v>-6.5198325528537437E-2</v>
      </c>
      <c r="F534" s="35">
        <f t="shared" si="33"/>
        <v>93.480167447146258</v>
      </c>
      <c r="G534" s="36" t="str">
        <f t="shared" si="34"/>
        <v>2024-02</v>
      </c>
    </row>
    <row r="535" spans="1:7" x14ac:dyDescent="0.25">
      <c r="A535" s="37">
        <v>45338</v>
      </c>
      <c r="B535" s="38">
        <v>60315.176811218247</v>
      </c>
      <c r="C535" s="39">
        <f t="shared" si="35"/>
        <v>-7.6432124587987316E-3</v>
      </c>
      <c r="D535" s="38">
        <f>MAX($B$2:B535)</f>
        <v>65018.849296569817</v>
      </c>
      <c r="E535" s="40">
        <f t="shared" si="32"/>
        <v>-7.2343213333363576E-2</v>
      </c>
      <c r="F535" s="41">
        <f t="shared" si="33"/>
        <v>92.765678666663646</v>
      </c>
      <c r="G535" s="42" t="str">
        <f t="shared" si="34"/>
        <v>2024-02</v>
      </c>
    </row>
    <row r="536" spans="1:7" x14ac:dyDescent="0.25">
      <c r="A536" s="31">
        <v>45342</v>
      </c>
      <c r="B536" s="32">
        <v>59715.111083984353</v>
      </c>
      <c r="C536" s="33">
        <f t="shared" si="35"/>
        <v>-9.9488347536814681E-3</v>
      </c>
      <c r="D536" s="32">
        <f>MAX($B$2:B536)</f>
        <v>65018.849296569817</v>
      </c>
      <c r="E536" s="34">
        <f t="shared" si="32"/>
        <v>-8.1572317412041184E-2</v>
      </c>
      <c r="F536" s="35">
        <f t="shared" si="33"/>
        <v>91.842768258795886</v>
      </c>
      <c r="G536" s="36" t="str">
        <f t="shared" si="34"/>
        <v>2024-02</v>
      </c>
    </row>
    <row r="537" spans="1:7" x14ac:dyDescent="0.25">
      <c r="A537" s="37">
        <v>45343</v>
      </c>
      <c r="B537" s="38">
        <v>59769.298973083547</v>
      </c>
      <c r="C537" s="39">
        <f t="shared" si="35"/>
        <v>9.0744014564392295E-4</v>
      </c>
      <c r="D537" s="38">
        <f>MAX($B$2:B537)</f>
        <v>65018.849296569817</v>
      </c>
      <c r="E537" s="40">
        <f t="shared" si="32"/>
        <v>-8.0738899261990182E-2</v>
      </c>
      <c r="F537" s="41">
        <f t="shared" si="33"/>
        <v>91.926110073800984</v>
      </c>
      <c r="G537" s="42" t="str">
        <f t="shared" si="34"/>
        <v>2024-02</v>
      </c>
    </row>
    <row r="538" spans="1:7" x14ac:dyDescent="0.25">
      <c r="A538" s="31">
        <v>45344</v>
      </c>
      <c r="B538" s="32">
        <v>61571.962471008257</v>
      </c>
      <c r="C538" s="33">
        <f t="shared" si="35"/>
        <v>3.0160358727588932E-2</v>
      </c>
      <c r="D538" s="32">
        <f>MAX($B$2:B538)</f>
        <v>65018.849296569817</v>
      </c>
      <c r="E538" s="34">
        <f t="shared" si="32"/>
        <v>-5.3013654699413548E-2</v>
      </c>
      <c r="F538" s="35">
        <f t="shared" si="33"/>
        <v>94.698634530058641</v>
      </c>
      <c r="G538" s="36" t="str">
        <f t="shared" si="34"/>
        <v>2024-02</v>
      </c>
    </row>
    <row r="539" spans="1:7" x14ac:dyDescent="0.25">
      <c r="A539" s="37">
        <v>45345</v>
      </c>
      <c r="B539" s="38">
        <v>61256.341056823781</v>
      </c>
      <c r="C539" s="39">
        <f t="shared" si="35"/>
        <v>-5.1260574053180186E-3</v>
      </c>
      <c r="D539" s="38">
        <f>MAX($B$2:B539)</f>
        <v>65018.849296569817</v>
      </c>
      <c r="E539" s="40">
        <f t="shared" si="32"/>
        <v>-5.7867961067476714E-2</v>
      </c>
      <c r="F539" s="41">
        <f t="shared" si="33"/>
        <v>94.213203893252327</v>
      </c>
      <c r="G539" s="42" t="str">
        <f t="shared" si="34"/>
        <v>2024-02</v>
      </c>
    </row>
    <row r="540" spans="1:7" x14ac:dyDescent="0.25">
      <c r="A540" s="31">
        <v>45348</v>
      </c>
      <c r="B540" s="32">
        <v>61469.273757934512</v>
      </c>
      <c r="C540" s="33">
        <f t="shared" si="35"/>
        <v>3.4760923920220677E-3</v>
      </c>
      <c r="D540" s="32">
        <f>MAX($B$2:B540)</f>
        <v>65018.849296569817</v>
      </c>
      <c r="E540" s="34">
        <f t="shared" si="32"/>
        <v>-5.4593023054663181E-2</v>
      </c>
      <c r="F540" s="35">
        <f t="shared" si="33"/>
        <v>94.540697694533677</v>
      </c>
      <c r="G540" s="36" t="str">
        <f t="shared" si="34"/>
        <v>2024-02</v>
      </c>
    </row>
    <row r="541" spans="1:7" x14ac:dyDescent="0.25">
      <c r="A541" s="37">
        <v>45349</v>
      </c>
      <c r="B541" s="38">
        <v>61597.826309204138</v>
      </c>
      <c r="C541" s="39">
        <f t="shared" si="35"/>
        <v>2.0913302437224335E-3</v>
      </c>
      <c r="D541" s="38">
        <f>MAX($B$2:B541)</f>
        <v>65018.849296569817</v>
      </c>
      <c r="E541" s="40">
        <f t="shared" si="32"/>
        <v>-5.2615864851151106E-2</v>
      </c>
      <c r="F541" s="41">
        <f t="shared" si="33"/>
        <v>94.738413514884883</v>
      </c>
      <c r="G541" s="42" t="str">
        <f t="shared" si="34"/>
        <v>2024-02</v>
      </c>
    </row>
    <row r="542" spans="1:7" x14ac:dyDescent="0.25">
      <c r="A542" s="31">
        <v>45350</v>
      </c>
      <c r="B542" s="32">
        <v>61330.454902648933</v>
      </c>
      <c r="C542" s="33">
        <f t="shared" si="35"/>
        <v>-4.3405980791120236E-3</v>
      </c>
      <c r="D542" s="32">
        <f>MAX($B$2:B542)</f>
        <v>65018.849296569817</v>
      </c>
      <c r="E542" s="34">
        <f t="shared" si="32"/>
        <v>-5.6728078608359378E-2</v>
      </c>
      <c r="F542" s="35">
        <f t="shared" si="33"/>
        <v>94.327192139164069</v>
      </c>
      <c r="G542" s="36" t="str">
        <f t="shared" si="34"/>
        <v>2024-02</v>
      </c>
    </row>
    <row r="543" spans="1:7" x14ac:dyDescent="0.25">
      <c r="A543" s="37">
        <v>45351</v>
      </c>
      <c r="B543" s="38">
        <v>61887.443084716877</v>
      </c>
      <c r="C543" s="39">
        <f t="shared" si="35"/>
        <v>9.0817552707225246E-3</v>
      </c>
      <c r="D543" s="38">
        <f>MAX($B$2:B543)</f>
        <v>65018.849296569817</v>
      </c>
      <c r="E543" s="40">
        <f t="shared" si="32"/>
        <v>-4.8161513864536265E-2</v>
      </c>
      <c r="F543" s="41">
        <f t="shared" si="33"/>
        <v>95.183848613546374</v>
      </c>
      <c r="G543" s="42" t="str">
        <f t="shared" si="34"/>
        <v>2024-02</v>
      </c>
    </row>
    <row r="544" spans="1:7" x14ac:dyDescent="0.25">
      <c r="A544" s="31">
        <v>45352</v>
      </c>
      <c r="B544" s="32">
        <v>62566.272888183543</v>
      </c>
      <c r="C544" s="33">
        <f t="shared" si="35"/>
        <v>1.0968780896916774E-2</v>
      </c>
      <c r="D544" s="32">
        <f>MAX($B$2:B544)</f>
        <v>65018.849296569817</v>
      </c>
      <c r="E544" s="34">
        <f t="shared" si="32"/>
        <v>-3.7721006060863371E-2</v>
      </c>
      <c r="F544" s="35">
        <f t="shared" si="33"/>
        <v>96.22789939391366</v>
      </c>
      <c r="G544" s="36" t="str">
        <f t="shared" si="34"/>
        <v>2024-03</v>
      </c>
    </row>
    <row r="545" spans="1:7" x14ac:dyDescent="0.25">
      <c r="A545" s="37">
        <v>45355</v>
      </c>
      <c r="B545" s="38">
        <v>61877.754211425767</v>
      </c>
      <c r="C545" s="39">
        <f t="shared" si="35"/>
        <v>-1.1004629890424722E-2</v>
      </c>
      <c r="D545" s="38">
        <f>MAX($B$2:B545)</f>
        <v>65018.849296569817</v>
      </c>
      <c r="E545" s="40">
        <f t="shared" si="32"/>
        <v>-4.8310530240493921E-2</v>
      </c>
      <c r="F545" s="41">
        <f t="shared" si="33"/>
        <v>95.168946975950604</v>
      </c>
      <c r="G545" s="42" t="str">
        <f t="shared" si="34"/>
        <v>2024-03</v>
      </c>
    </row>
    <row r="546" spans="1:7" x14ac:dyDescent="0.25">
      <c r="A546" s="31">
        <v>45356</v>
      </c>
      <c r="B546" s="32">
        <v>60392.946166992217</v>
      </c>
      <c r="C546" s="33">
        <f t="shared" si="35"/>
        <v>-2.399582957326174E-2</v>
      </c>
      <c r="D546" s="32">
        <f>MAX($B$2:B546)</f>
        <v>65018.849296569817</v>
      </c>
      <c r="E546" s="34">
        <f t="shared" si="32"/>
        <v>-7.1147108563510808E-2</v>
      </c>
      <c r="F546" s="35">
        <f t="shared" si="33"/>
        <v>92.885289143648919</v>
      </c>
      <c r="G546" s="36" t="str">
        <f t="shared" si="34"/>
        <v>2024-03</v>
      </c>
    </row>
    <row r="547" spans="1:7" x14ac:dyDescent="0.25">
      <c r="A547" s="37">
        <v>45357</v>
      </c>
      <c r="B547" s="38">
        <v>60628.943634033203</v>
      </c>
      <c r="C547" s="39">
        <f t="shared" si="35"/>
        <v>3.9076991936843886E-3</v>
      </c>
      <c r="D547" s="38">
        <f>MAX($B$2:B547)</f>
        <v>65018.849296569817</v>
      </c>
      <c r="E547" s="40">
        <f t="shared" si="32"/>
        <v>-6.7517430868592965E-2</v>
      </c>
      <c r="F547" s="41">
        <f t="shared" si="33"/>
        <v>93.248256913140708</v>
      </c>
      <c r="G547" s="42" t="str">
        <f t="shared" si="34"/>
        <v>2024-03</v>
      </c>
    </row>
    <row r="548" spans="1:7" x14ac:dyDescent="0.25">
      <c r="A548" s="31">
        <v>45358</v>
      </c>
      <c r="B548" s="32">
        <v>61933.403472900398</v>
      </c>
      <c r="C548" s="33">
        <f t="shared" si="35"/>
        <v>2.151546374848845E-2</v>
      </c>
      <c r="D548" s="32">
        <f>MAX($B$2:B548)</f>
        <v>65018.849296569817</v>
      </c>
      <c r="E548" s="34">
        <f t="shared" si="32"/>
        <v>-4.745463595634869E-2</v>
      </c>
      <c r="F548" s="35">
        <f t="shared" si="33"/>
        <v>95.254536404365126</v>
      </c>
      <c r="G548" s="36" t="str">
        <f t="shared" si="34"/>
        <v>2024-03</v>
      </c>
    </row>
    <row r="549" spans="1:7" x14ac:dyDescent="0.25">
      <c r="A549" s="37">
        <v>45359</v>
      </c>
      <c r="B549" s="38">
        <v>61354.03327941896</v>
      </c>
      <c r="C549" s="39">
        <f t="shared" si="35"/>
        <v>-9.3547288053521527E-3</v>
      </c>
      <c r="D549" s="38">
        <f>MAX($B$2:B549)</f>
        <v>65018.849296569817</v>
      </c>
      <c r="E549" s="40">
        <f t="shared" si="32"/>
        <v>-5.636543951177253E-2</v>
      </c>
      <c r="F549" s="41">
        <f t="shared" si="33"/>
        <v>94.363456048822741</v>
      </c>
      <c r="G549" s="42" t="str">
        <f t="shared" si="34"/>
        <v>2024-03</v>
      </c>
    </row>
    <row r="550" spans="1:7" x14ac:dyDescent="0.25">
      <c r="A550" s="31">
        <v>45362</v>
      </c>
      <c r="B550" s="32">
        <v>60879.813461303689</v>
      </c>
      <c r="C550" s="33">
        <f t="shared" si="35"/>
        <v>-7.7292362501349965E-3</v>
      </c>
      <c r="D550" s="32">
        <f>MAX($B$2:B550)</f>
        <v>65018.849296569817</v>
      </c>
      <c r="E550" s="34">
        <f t="shared" si="32"/>
        <v>-6.3659013963578204E-2</v>
      </c>
      <c r="F550" s="35">
        <f t="shared" si="33"/>
        <v>93.634098603642173</v>
      </c>
      <c r="G550" s="36" t="str">
        <f t="shared" si="34"/>
        <v>2024-03</v>
      </c>
    </row>
    <row r="551" spans="1:7" x14ac:dyDescent="0.25">
      <c r="A551" s="37">
        <v>45363</v>
      </c>
      <c r="B551" s="38">
        <v>62123.355865478537</v>
      </c>
      <c r="C551" s="39">
        <f t="shared" si="35"/>
        <v>2.042618617688885E-2</v>
      </c>
      <c r="D551" s="38">
        <f>MAX($B$2:B551)</f>
        <v>65018.849296569817</v>
      </c>
      <c r="E551" s="40">
        <f t="shared" si="32"/>
        <v>-4.4533138657746663E-2</v>
      </c>
      <c r="F551" s="41">
        <f t="shared" si="33"/>
        <v>95.54668613422534</v>
      </c>
      <c r="G551" s="42" t="str">
        <f t="shared" si="34"/>
        <v>2024-03</v>
      </c>
    </row>
    <row r="552" spans="1:7" x14ac:dyDescent="0.25">
      <c r="A552" s="31">
        <v>45364</v>
      </c>
      <c r="B552" s="32">
        <v>61469.443054199219</v>
      </c>
      <c r="C552" s="33">
        <f t="shared" si="35"/>
        <v>-1.0526038108683244E-2</v>
      </c>
      <c r="D552" s="32">
        <f>MAX($B$2:B552)</f>
        <v>65018.849296569817</v>
      </c>
      <c r="E552" s="34">
        <f t="shared" si="32"/>
        <v>-5.4590419251819178E-2</v>
      </c>
      <c r="F552" s="35">
        <f t="shared" si="33"/>
        <v>94.540958074818079</v>
      </c>
      <c r="G552" s="36" t="str">
        <f t="shared" si="34"/>
        <v>2024-03</v>
      </c>
    </row>
    <row r="553" spans="1:7" x14ac:dyDescent="0.25">
      <c r="A553" s="37">
        <v>45365</v>
      </c>
      <c r="B553" s="38">
        <v>61526.541976928733</v>
      </c>
      <c r="C553" s="39">
        <f t="shared" si="35"/>
        <v>9.2889930170936275E-4</v>
      </c>
      <c r="D553" s="38">
        <f>MAX($B$2:B553)</f>
        <v>65018.849296569817</v>
      </c>
      <c r="E553" s="40">
        <f t="shared" si="32"/>
        <v>-5.3712228952432883E-2</v>
      </c>
      <c r="F553" s="41">
        <f t="shared" si="33"/>
        <v>94.628777104756708</v>
      </c>
      <c r="G553" s="42" t="str">
        <f t="shared" si="34"/>
        <v>2024-03</v>
      </c>
    </row>
    <row r="554" spans="1:7" x14ac:dyDescent="0.25">
      <c r="A554" s="31">
        <v>45366</v>
      </c>
      <c r="B554" s="32">
        <v>60944.020690917991</v>
      </c>
      <c r="C554" s="33">
        <f t="shared" si="35"/>
        <v>-9.4678047439944457E-3</v>
      </c>
      <c r="D554" s="32">
        <f>MAX($B$2:B554)</f>
        <v>65018.849296569817</v>
      </c>
      <c r="E554" s="34">
        <f t="shared" si="32"/>
        <v>-6.2671496800341009E-2</v>
      </c>
      <c r="F554" s="35">
        <f t="shared" si="33"/>
        <v>93.732850319965905</v>
      </c>
      <c r="G554" s="36" t="str">
        <f t="shared" si="34"/>
        <v>2024-03</v>
      </c>
    </row>
    <row r="555" spans="1:7" x14ac:dyDescent="0.25">
      <c r="A555" s="37">
        <v>45369</v>
      </c>
      <c r="B555" s="38">
        <v>61800.510482788137</v>
      </c>
      <c r="C555" s="39">
        <f t="shared" si="35"/>
        <v>1.40537132627645E-2</v>
      </c>
      <c r="D555" s="38">
        <f>MAX($B$2:B555)</f>
        <v>65018.849296569817</v>
      </c>
      <c r="E555" s="40">
        <f t="shared" si="32"/>
        <v>-4.9498550783356743E-2</v>
      </c>
      <c r="F555" s="41">
        <f t="shared" si="33"/>
        <v>95.050144921664327</v>
      </c>
      <c r="G555" s="42" t="str">
        <f t="shared" si="34"/>
        <v>2024-03</v>
      </c>
    </row>
    <row r="556" spans="1:7" x14ac:dyDescent="0.25">
      <c r="A556" s="31">
        <v>45370</v>
      </c>
      <c r="B556" s="32">
        <v>61893.521499633804</v>
      </c>
      <c r="C556" s="33">
        <f t="shared" si="35"/>
        <v>1.5050202032160787E-3</v>
      </c>
      <c r="D556" s="32">
        <f>MAX($B$2:B556)</f>
        <v>65018.849296569817</v>
      </c>
      <c r="E556" s="34">
        <f t="shared" si="32"/>
        <v>-4.8068026899099503E-2</v>
      </c>
      <c r="F556" s="35">
        <f t="shared" si="33"/>
        <v>95.193197310090056</v>
      </c>
      <c r="G556" s="36" t="str">
        <f t="shared" si="34"/>
        <v>2024-03</v>
      </c>
    </row>
    <row r="557" spans="1:7" x14ac:dyDescent="0.25">
      <c r="A557" s="37">
        <v>45371</v>
      </c>
      <c r="B557" s="38">
        <v>62863.661193847678</v>
      </c>
      <c r="C557" s="39">
        <f t="shared" si="35"/>
        <v>1.5674333447315947E-2</v>
      </c>
      <c r="D557" s="38">
        <f>MAX($B$2:B557)</f>
        <v>65018.849296569817</v>
      </c>
      <c r="E557" s="40">
        <f t="shared" si="32"/>
        <v>-3.314712773355466E-2</v>
      </c>
      <c r="F557" s="41">
        <f t="shared" si="33"/>
        <v>96.685287226644533</v>
      </c>
      <c r="G557" s="42" t="str">
        <f t="shared" si="34"/>
        <v>2024-03</v>
      </c>
    </row>
    <row r="558" spans="1:7" x14ac:dyDescent="0.25">
      <c r="A558" s="31">
        <v>45372</v>
      </c>
      <c r="B558" s="32">
        <v>63204.871902465842</v>
      </c>
      <c r="C558" s="33">
        <f t="shared" si="35"/>
        <v>5.4277893164065283E-3</v>
      </c>
      <c r="D558" s="32">
        <f>MAX($B$2:B558)</f>
        <v>65018.849296569817</v>
      </c>
      <c r="E558" s="34">
        <f t="shared" si="32"/>
        <v>-2.7899254042929922E-2</v>
      </c>
      <c r="F558" s="35">
        <f t="shared" si="33"/>
        <v>97.210074595707013</v>
      </c>
      <c r="G558" s="36" t="str">
        <f t="shared" si="34"/>
        <v>2024-03</v>
      </c>
    </row>
    <row r="559" spans="1:7" x14ac:dyDescent="0.25">
      <c r="A559" s="37">
        <v>45373</v>
      </c>
      <c r="B559" s="38">
        <v>63427.994079589873</v>
      </c>
      <c r="C559" s="39">
        <f t="shared" si="35"/>
        <v>3.5301420667119832E-3</v>
      </c>
      <c r="D559" s="38">
        <f>MAX($B$2:B559)</f>
        <v>65018.849296569817</v>
      </c>
      <c r="E559" s="40">
        <f t="shared" si="32"/>
        <v>-2.4467600306544823E-2</v>
      </c>
      <c r="F559" s="41">
        <f t="shared" si="33"/>
        <v>97.553239969345512</v>
      </c>
      <c r="G559" s="42" t="str">
        <f t="shared" si="34"/>
        <v>2024-03</v>
      </c>
    </row>
    <row r="560" spans="1:7" x14ac:dyDescent="0.25">
      <c r="A560" s="31">
        <v>45376</v>
      </c>
      <c r="B560" s="32">
        <v>63549.845581054688</v>
      </c>
      <c r="C560" s="33">
        <f t="shared" si="35"/>
        <v>1.9210997168208621E-3</v>
      </c>
      <c r="D560" s="32">
        <f>MAX($B$2:B560)</f>
        <v>65018.849296569817</v>
      </c>
      <c r="E560" s="34">
        <f t="shared" si="32"/>
        <v>-2.2593505289744131E-2</v>
      </c>
      <c r="F560" s="35">
        <f t="shared" si="33"/>
        <v>97.740649471025591</v>
      </c>
      <c r="G560" s="36" t="str">
        <f t="shared" si="34"/>
        <v>2024-03</v>
      </c>
    </row>
    <row r="561" spans="1:7" x14ac:dyDescent="0.25">
      <c r="A561" s="37">
        <v>45377</v>
      </c>
      <c r="B561" s="38">
        <v>63526.006698608428</v>
      </c>
      <c r="C561" s="39">
        <f t="shared" si="35"/>
        <v>-3.7512101293546429E-4</v>
      </c>
      <c r="D561" s="38">
        <f>MAX($B$2:B561)</f>
        <v>65018.849296569817</v>
      </c>
      <c r="E561" s="40">
        <f t="shared" si="32"/>
        <v>-2.2960151004089657E-2</v>
      </c>
      <c r="F561" s="41">
        <f t="shared" si="33"/>
        <v>97.703984899591035</v>
      </c>
      <c r="G561" s="42" t="str">
        <f t="shared" si="34"/>
        <v>2024-03</v>
      </c>
    </row>
    <row r="562" spans="1:7" x14ac:dyDescent="0.25">
      <c r="A562" s="31">
        <v>45378</v>
      </c>
      <c r="B562" s="32">
        <v>63727.236175537088</v>
      </c>
      <c r="C562" s="33">
        <f t="shared" si="35"/>
        <v>3.1676708073808957E-3</v>
      </c>
      <c r="D562" s="32">
        <f>MAX($B$2:B562)</f>
        <v>65018.849296569817</v>
      </c>
      <c r="E562" s="34">
        <f t="shared" si="32"/>
        <v>-1.9865210396777466E-2</v>
      </c>
      <c r="F562" s="35">
        <f t="shared" si="33"/>
        <v>98.01347896032226</v>
      </c>
      <c r="G562" s="36" t="str">
        <f t="shared" si="34"/>
        <v>2024-03</v>
      </c>
    </row>
    <row r="563" spans="1:7" x14ac:dyDescent="0.25">
      <c r="A563" s="37">
        <v>45379</v>
      </c>
      <c r="B563" s="38">
        <v>63358.621826171962</v>
      </c>
      <c r="C563" s="39">
        <f t="shared" si="35"/>
        <v>-5.7842513105350601E-3</v>
      </c>
      <c r="D563" s="38">
        <f>MAX($B$2:B563)</f>
        <v>65018.849296569817</v>
      </c>
      <c r="E563" s="40">
        <f t="shared" si="32"/>
        <v>-2.5534556338040915E-2</v>
      </c>
      <c r="F563" s="41">
        <f t="shared" si="33"/>
        <v>97.446544366195909</v>
      </c>
      <c r="G563" s="42" t="str">
        <f t="shared" si="34"/>
        <v>2024-03</v>
      </c>
    </row>
    <row r="564" spans="1:7" x14ac:dyDescent="0.25">
      <c r="A564" s="31">
        <v>45383</v>
      </c>
      <c r="B564" s="32">
        <v>64062.225799560561</v>
      </c>
      <c r="C564" s="33">
        <f t="shared" si="35"/>
        <v>1.1105102243526899E-2</v>
      </c>
      <c r="D564" s="32">
        <f>MAX($B$2:B564)</f>
        <v>65018.849296569817</v>
      </c>
      <c r="E564" s="34">
        <f t="shared" si="32"/>
        <v>-1.4713017953390972E-2</v>
      </c>
      <c r="F564" s="35">
        <f t="shared" si="33"/>
        <v>98.528698204660898</v>
      </c>
      <c r="G564" s="36" t="str">
        <f t="shared" si="34"/>
        <v>2024-04</v>
      </c>
    </row>
    <row r="565" spans="1:7" x14ac:dyDescent="0.25">
      <c r="A565" s="37">
        <v>45384</v>
      </c>
      <c r="B565" s="38">
        <v>63249.553527832053</v>
      </c>
      <c r="C565" s="39">
        <f t="shared" si="35"/>
        <v>-1.2685670246163738E-2</v>
      </c>
      <c r="D565" s="38">
        <f>MAX($B$2:B565)</f>
        <v>65018.849296569817</v>
      </c>
      <c r="E565" s="40">
        <f t="shared" si="32"/>
        <v>-2.7212043705472144E-2</v>
      </c>
      <c r="F565" s="41">
        <f t="shared" si="33"/>
        <v>97.278795629452787</v>
      </c>
      <c r="G565" s="42" t="str">
        <f t="shared" si="34"/>
        <v>2024-04</v>
      </c>
    </row>
    <row r="566" spans="1:7" x14ac:dyDescent="0.25">
      <c r="A566" s="31">
        <v>45385</v>
      </c>
      <c r="B566" s="32">
        <v>63682.116470336907</v>
      </c>
      <c r="C566" s="33">
        <f t="shared" si="35"/>
        <v>6.8389880778290113E-3</v>
      </c>
      <c r="D566" s="32">
        <f>MAX($B$2:B566)</f>
        <v>65018.849296569817</v>
      </c>
      <c r="E566" s="34">
        <f t="shared" si="32"/>
        <v>-2.0559158470118133E-2</v>
      </c>
      <c r="F566" s="35">
        <f t="shared" si="33"/>
        <v>97.944084152988182</v>
      </c>
      <c r="G566" s="36" t="str">
        <f t="shared" si="34"/>
        <v>2024-04</v>
      </c>
    </row>
    <row r="567" spans="1:7" x14ac:dyDescent="0.25">
      <c r="A567" s="37">
        <v>45386</v>
      </c>
      <c r="B567" s="38">
        <v>62935.761566162168</v>
      </c>
      <c r="C567" s="39">
        <f t="shared" si="35"/>
        <v>-1.1720007838030844E-2</v>
      </c>
      <c r="D567" s="38">
        <f>MAX($B$2:B567)</f>
        <v>65018.849296569817</v>
      </c>
      <c r="E567" s="40">
        <f t="shared" si="32"/>
        <v>-3.2038212809735844E-2</v>
      </c>
      <c r="F567" s="41">
        <f t="shared" si="33"/>
        <v>96.796178719026415</v>
      </c>
      <c r="G567" s="42" t="str">
        <f t="shared" si="34"/>
        <v>2024-04</v>
      </c>
    </row>
    <row r="568" spans="1:7" x14ac:dyDescent="0.25">
      <c r="A568" s="31">
        <v>45387</v>
      </c>
      <c r="B568" s="32">
        <v>63393.812561035178</v>
      </c>
      <c r="C568" s="33">
        <f t="shared" si="35"/>
        <v>7.2780718541314293E-3</v>
      </c>
      <c r="D568" s="32">
        <f>MAX($B$2:B568)</f>
        <v>65018.849296569817</v>
      </c>
      <c r="E568" s="34">
        <f t="shared" si="32"/>
        <v>-2.4993317370511692E-2</v>
      </c>
      <c r="F568" s="35">
        <f t="shared" si="33"/>
        <v>97.500668262948835</v>
      </c>
      <c r="G568" s="36" t="str">
        <f t="shared" si="34"/>
        <v>2024-04</v>
      </c>
    </row>
    <row r="569" spans="1:7" x14ac:dyDescent="0.25">
      <c r="A569" s="37">
        <v>45390</v>
      </c>
      <c r="B569" s="38">
        <v>63759.391860961907</v>
      </c>
      <c r="C569" s="39">
        <f t="shared" si="35"/>
        <v>5.7667978176063617E-3</v>
      </c>
      <c r="D569" s="38">
        <f>MAX($B$2:B569)</f>
        <v>65018.849296569817</v>
      </c>
      <c r="E569" s="40">
        <f t="shared" si="32"/>
        <v>-1.9370650960972235E-2</v>
      </c>
      <c r="F569" s="41">
        <f t="shared" si="33"/>
        <v>98.062934903902772</v>
      </c>
      <c r="G569" s="42" t="str">
        <f t="shared" si="34"/>
        <v>2024-04</v>
      </c>
    </row>
    <row r="570" spans="1:7" x14ac:dyDescent="0.25">
      <c r="A570" s="31">
        <v>45391</v>
      </c>
      <c r="B570" s="32">
        <v>64166.114196777373</v>
      </c>
      <c r="C570" s="33">
        <f t="shared" si="35"/>
        <v>6.3790184307652709E-3</v>
      </c>
      <c r="D570" s="32">
        <f>MAX($B$2:B570)</f>
        <v>65018.849296569817</v>
      </c>
      <c r="E570" s="34">
        <f t="shared" si="32"/>
        <v>-1.3115198269702866E-2</v>
      </c>
      <c r="F570" s="35">
        <f t="shared" si="33"/>
        <v>98.688480173029717</v>
      </c>
      <c r="G570" s="36" t="str">
        <f t="shared" si="34"/>
        <v>2024-04</v>
      </c>
    </row>
    <row r="571" spans="1:7" x14ac:dyDescent="0.25">
      <c r="A571" s="37">
        <v>45392</v>
      </c>
      <c r="B571" s="38">
        <v>63811.222457885749</v>
      </c>
      <c r="C571" s="39">
        <f t="shared" si="35"/>
        <v>-5.5308279663511817E-3</v>
      </c>
      <c r="D571" s="38">
        <f>MAX($B$2:B571)</f>
        <v>65018.849296569817</v>
      </c>
      <c r="E571" s="40">
        <f t="shared" si="32"/>
        <v>-1.8573488330679844E-2</v>
      </c>
      <c r="F571" s="41">
        <f t="shared" si="33"/>
        <v>98.142651166932012</v>
      </c>
      <c r="G571" s="42" t="str">
        <f t="shared" si="34"/>
        <v>2024-04</v>
      </c>
    </row>
    <row r="572" spans="1:7" x14ac:dyDescent="0.25">
      <c r="A572" s="31">
        <v>45393</v>
      </c>
      <c r="B572" s="32">
        <v>65254.961700439511</v>
      </c>
      <c r="C572" s="33">
        <f t="shared" si="35"/>
        <v>2.262516195339459E-2</v>
      </c>
      <c r="D572" s="32">
        <f>MAX($B$2:B572)</f>
        <v>65254.961700439511</v>
      </c>
      <c r="E572" s="34">
        <f t="shared" si="32"/>
        <v>0</v>
      </c>
      <c r="F572" s="35">
        <f t="shared" si="33"/>
        <v>100.36314454411939</v>
      </c>
      <c r="G572" s="36" t="str">
        <f t="shared" si="34"/>
        <v>2024-04</v>
      </c>
    </row>
    <row r="573" spans="1:7" x14ac:dyDescent="0.25">
      <c r="A573" s="37">
        <v>45394</v>
      </c>
      <c r="B573" s="38">
        <v>64149.928970336958</v>
      </c>
      <c r="C573" s="39">
        <f t="shared" si="35"/>
        <v>-1.6934079820249304E-2</v>
      </c>
      <c r="D573" s="38">
        <f>MAX($B$2:B573)</f>
        <v>65254.961700439511</v>
      </c>
      <c r="E573" s="40">
        <f t="shared" si="32"/>
        <v>-1.6934079820249304E-2</v>
      </c>
      <c r="F573" s="41">
        <f t="shared" si="33"/>
        <v>98.663587043398039</v>
      </c>
      <c r="G573" s="42" t="str">
        <f t="shared" si="34"/>
        <v>2024-04</v>
      </c>
    </row>
    <row r="574" spans="1:7" x14ac:dyDescent="0.25">
      <c r="A574" s="31">
        <v>45397</v>
      </c>
      <c r="B574" s="32">
        <v>62646.053695678747</v>
      </c>
      <c r="C574" s="33">
        <f t="shared" si="35"/>
        <v>-2.3443132343195616E-2</v>
      </c>
      <c r="D574" s="32">
        <f>MAX($B$2:B574)</f>
        <v>65254.961700439511</v>
      </c>
      <c r="E574" s="34">
        <f t="shared" si="32"/>
        <v>-3.9980224289108635E-2</v>
      </c>
      <c r="F574" s="35">
        <f t="shared" si="33"/>
        <v>96.350603514885265</v>
      </c>
      <c r="G574" s="36" t="str">
        <f t="shared" si="34"/>
        <v>2024-04</v>
      </c>
    </row>
    <row r="575" spans="1:7" x14ac:dyDescent="0.25">
      <c r="A575" s="37">
        <v>45398</v>
      </c>
      <c r="B575" s="38">
        <v>62342.663421630881</v>
      </c>
      <c r="C575" s="39">
        <f t="shared" si="35"/>
        <v>-4.8429271462440138E-3</v>
      </c>
      <c r="D575" s="38">
        <f>MAX($B$2:B575)</f>
        <v>65254.961700439511</v>
      </c>
      <c r="E575" s="40">
        <f t="shared" si="32"/>
        <v>-4.4629530121830019E-2</v>
      </c>
      <c r="F575" s="41">
        <f t="shared" si="33"/>
        <v>95.883984561566024</v>
      </c>
      <c r="G575" s="42" t="str">
        <f t="shared" si="34"/>
        <v>2024-04</v>
      </c>
    </row>
    <row r="576" spans="1:7" x14ac:dyDescent="0.25">
      <c r="A576" s="31">
        <v>45399</v>
      </c>
      <c r="B576" s="32">
        <v>61609.846420288057</v>
      </c>
      <c r="C576" s="33">
        <f t="shared" si="35"/>
        <v>-1.1754663036878887E-2</v>
      </c>
      <c r="D576" s="32">
        <f>MAX($B$2:B576)</f>
        <v>65254.961700439511</v>
      </c>
      <c r="E576" s="34">
        <f t="shared" si="32"/>
        <v>-5.5859588070632515E-2</v>
      </c>
      <c r="F576" s="35">
        <f t="shared" si="33"/>
        <v>94.756900632411529</v>
      </c>
      <c r="G576" s="36" t="str">
        <f t="shared" si="34"/>
        <v>2024-04</v>
      </c>
    </row>
    <row r="577" spans="1:7" x14ac:dyDescent="0.25">
      <c r="A577" s="37">
        <v>45400</v>
      </c>
      <c r="B577" s="38">
        <v>60459.405059814402</v>
      </c>
      <c r="C577" s="39">
        <f t="shared" si="35"/>
        <v>-1.8673011333701584E-2</v>
      </c>
      <c r="D577" s="38">
        <f>MAX($B$2:B577)</f>
        <v>65254.961700439511</v>
      </c>
      <c r="E577" s="40">
        <f t="shared" si="32"/>
        <v>-7.3489532683195358E-2</v>
      </c>
      <c r="F577" s="41">
        <f t="shared" si="33"/>
        <v>92.987503952956061</v>
      </c>
      <c r="G577" s="42" t="str">
        <f t="shared" si="34"/>
        <v>2024-04</v>
      </c>
    </row>
    <row r="578" spans="1:7" x14ac:dyDescent="0.25">
      <c r="A578" s="31">
        <v>45401</v>
      </c>
      <c r="B578" s="32">
        <v>58893.805770874023</v>
      </c>
      <c r="C578" s="33">
        <f t="shared" si="35"/>
        <v>-2.5895049535989978E-2</v>
      </c>
      <c r="D578" s="32">
        <f>MAX($B$2:B578)</f>
        <v>65254.961700439511</v>
      </c>
      <c r="E578" s="34">
        <f t="shared" ref="E578:E641" si="36">B578/D578-1</f>
        <v>-9.7481567129977242E-2</v>
      </c>
      <c r="F578" s="35">
        <f t="shared" ref="F578:F641" si="37">B578/$B$2*100</f>
        <v>90.5795879318662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59358.348884582527</v>
      </c>
      <c r="C579" s="39">
        <f t="shared" ref="C579:C642" si="39">B579/B578-1</f>
        <v>7.887809382124189E-3</v>
      </c>
      <c r="D579" s="38">
        <f>MAX($B$2:B579)</f>
        <v>65254.961700439511</v>
      </c>
      <c r="E579" s="40">
        <f t="shared" si="36"/>
        <v>-9.0362673767644952E-2</v>
      </c>
      <c r="F579" s="41">
        <f t="shared" si="37"/>
        <v>91.294062455384122</v>
      </c>
      <c r="G579" s="42" t="str">
        <f t="shared" si="38"/>
        <v>2024-04</v>
      </c>
    </row>
    <row r="580" spans="1:7" x14ac:dyDescent="0.25">
      <c r="A580" s="31">
        <v>45405</v>
      </c>
      <c r="B580" s="32">
        <v>60446.270675659143</v>
      </c>
      <c r="C580" s="33">
        <f t="shared" si="39"/>
        <v>1.8328033234077834E-2</v>
      </c>
      <c r="D580" s="32">
        <f>MAX($B$2:B580)</f>
        <v>65254.961700439511</v>
      </c>
      <c r="E580" s="34">
        <f t="shared" si="36"/>
        <v>-7.3690810621500735E-2</v>
      </c>
      <c r="F580" s="35">
        <f t="shared" si="37"/>
        <v>92.967303066140389</v>
      </c>
      <c r="G580" s="36" t="str">
        <f t="shared" si="38"/>
        <v>2024-04</v>
      </c>
    </row>
    <row r="581" spans="1:7" x14ac:dyDescent="0.25">
      <c r="A581" s="37">
        <v>45406</v>
      </c>
      <c r="B581" s="38">
        <v>61144.254379272526</v>
      </c>
      <c r="C581" s="39">
        <f t="shared" si="39"/>
        <v>1.1547175629057493E-2</v>
      </c>
      <c r="D581" s="38">
        <f>MAX($B$2:B581)</f>
        <v>65254.961700439511</v>
      </c>
      <c r="E581" s="40">
        <f t="shared" si="36"/>
        <v>-6.2994555724937285E-2</v>
      </c>
      <c r="F581" s="41">
        <f t="shared" si="37"/>
        <v>94.040812842404918</v>
      </c>
      <c r="G581" s="42" t="str">
        <f t="shared" si="38"/>
        <v>2024-04</v>
      </c>
    </row>
    <row r="582" spans="1:7" x14ac:dyDescent="0.25">
      <c r="A582" s="31">
        <v>45407</v>
      </c>
      <c r="B582" s="32">
        <v>61285.42388916012</v>
      </c>
      <c r="C582" s="33">
        <f t="shared" si="39"/>
        <v>2.3087943637669639E-3</v>
      </c>
      <c r="D582" s="32">
        <f>MAX($B$2:B582)</f>
        <v>65254.961700439511</v>
      </c>
      <c r="E582" s="34">
        <f t="shared" si="36"/>
        <v>-6.0831202836376108E-2</v>
      </c>
      <c r="F582" s="35">
        <f t="shared" si="37"/>
        <v>94.257933741059517</v>
      </c>
      <c r="G582" s="36" t="str">
        <f t="shared" si="38"/>
        <v>2024-04</v>
      </c>
    </row>
    <row r="583" spans="1:7" x14ac:dyDescent="0.25">
      <c r="A583" s="37">
        <v>45408</v>
      </c>
      <c r="B583" s="38">
        <v>62720.285873413093</v>
      </c>
      <c r="C583" s="39">
        <f t="shared" si="39"/>
        <v>2.3412777348950753E-2</v>
      </c>
      <c r="D583" s="38">
        <f>MAX($B$2:B583)</f>
        <v>65254.961700439511</v>
      </c>
      <c r="E583" s="40">
        <f t="shared" si="36"/>
        <v>-3.884265289530231E-2</v>
      </c>
      <c r="F583" s="41">
        <f t="shared" si="37"/>
        <v>96.464773757111104</v>
      </c>
      <c r="G583" s="42" t="str">
        <f t="shared" si="38"/>
        <v>2024-04</v>
      </c>
    </row>
    <row r="584" spans="1:7" x14ac:dyDescent="0.25">
      <c r="A584" s="31">
        <v>45411</v>
      </c>
      <c r="B584" s="32">
        <v>63757.49679565429</v>
      </c>
      <c r="C584" s="33">
        <f t="shared" si="39"/>
        <v>1.6537088563891134E-2</v>
      </c>
      <c r="D584" s="32">
        <f>MAX($B$2:B584)</f>
        <v>65254.961700439511</v>
      </c>
      <c r="E584" s="34">
        <f t="shared" si="36"/>
        <v>-2.2947908722397381E-2</v>
      </c>
      <c r="F584" s="35">
        <f t="shared" si="37"/>
        <v>98.060020264028154</v>
      </c>
      <c r="G584" s="36" t="str">
        <f t="shared" si="38"/>
        <v>2024-04</v>
      </c>
    </row>
    <row r="585" spans="1:7" x14ac:dyDescent="0.25">
      <c r="A585" s="37">
        <v>45412</v>
      </c>
      <c r="B585" s="38">
        <v>62027.684707641652</v>
      </c>
      <c r="C585" s="39">
        <f t="shared" si="39"/>
        <v>-2.713111673058255E-2</v>
      </c>
      <c r="D585" s="38">
        <f>MAX($B$2:B585)</f>
        <v>65254.961700439511</v>
      </c>
      <c r="E585" s="40">
        <f t="shared" si="36"/>
        <v>-4.9456423062709809E-2</v>
      </c>
      <c r="F585" s="41">
        <f t="shared" si="37"/>
        <v>95.399542407641519</v>
      </c>
      <c r="G585" s="42" t="str">
        <f t="shared" si="38"/>
        <v>2024-04</v>
      </c>
    </row>
    <row r="586" spans="1:7" x14ac:dyDescent="0.25">
      <c r="A586" s="31">
        <v>45413</v>
      </c>
      <c r="B586" s="32">
        <v>61783.710937499964</v>
      </c>
      <c r="C586" s="33">
        <f t="shared" si="39"/>
        <v>-3.9333044799531036E-3</v>
      </c>
      <c r="D586" s="32">
        <f>MAX($B$2:B586)</f>
        <v>65254.961700439511</v>
      </c>
      <c r="E586" s="34">
        <f t="shared" si="36"/>
        <v>-5.3195200372267881E-2</v>
      </c>
      <c r="F586" s="35">
        <f t="shared" si="37"/>
        <v>95.02430696010407</v>
      </c>
      <c r="G586" s="36" t="str">
        <f t="shared" si="38"/>
        <v>2024-05</v>
      </c>
    </row>
    <row r="587" spans="1:7" x14ac:dyDescent="0.25">
      <c r="A587" s="37">
        <v>45414</v>
      </c>
      <c r="B587" s="38">
        <v>62776.317291259817</v>
      </c>
      <c r="C587" s="39">
        <f t="shared" si="39"/>
        <v>1.6065826068038636E-2</v>
      </c>
      <c r="D587" s="38">
        <f>MAX($B$2:B587)</f>
        <v>65254.961700439511</v>
      </c>
      <c r="E587" s="40">
        <f t="shared" si="36"/>
        <v>-3.7983999141064539E-2</v>
      </c>
      <c r="F587" s="41">
        <f t="shared" si="37"/>
        <v>96.550950947961013</v>
      </c>
      <c r="G587" s="42" t="str">
        <f t="shared" si="38"/>
        <v>2024-05</v>
      </c>
    </row>
    <row r="588" spans="1:7" x14ac:dyDescent="0.25">
      <c r="A588" s="31">
        <v>45415</v>
      </c>
      <c r="B588" s="32">
        <v>64411.763763427698</v>
      </c>
      <c r="C588" s="33">
        <f t="shared" si="39"/>
        <v>2.6051965816662914E-2</v>
      </c>
      <c r="D588" s="32">
        <f>MAX($B$2:B588)</f>
        <v>65254.961700439511</v>
      </c>
      <c r="E588" s="34">
        <f t="shared" si="36"/>
        <v>-1.2921591171604851E-2</v>
      </c>
      <c r="F588" s="35">
        <f t="shared" si="37"/>
        <v>99.066293021623579</v>
      </c>
      <c r="G588" s="36" t="str">
        <f t="shared" si="38"/>
        <v>2024-05</v>
      </c>
    </row>
    <row r="589" spans="1:7" x14ac:dyDescent="0.25">
      <c r="A589" s="37">
        <v>45418</v>
      </c>
      <c r="B589" s="38">
        <v>65285.42816162113</v>
      </c>
      <c r="C589" s="39">
        <f t="shared" si="39"/>
        <v>1.3563739713792655E-2</v>
      </c>
      <c r="D589" s="38">
        <f>MAX($B$2:B589)</f>
        <v>65285.42816162113</v>
      </c>
      <c r="E589" s="40">
        <f t="shared" si="36"/>
        <v>0</v>
      </c>
      <c r="F589" s="41">
        <f t="shared" si="37"/>
        <v>100.4100024345792</v>
      </c>
      <c r="G589" s="42" t="str">
        <f t="shared" si="38"/>
        <v>2024-05</v>
      </c>
    </row>
    <row r="590" spans="1:7" x14ac:dyDescent="0.25">
      <c r="A590" s="31">
        <v>45419</v>
      </c>
      <c r="B590" s="32">
        <v>64768.799896240249</v>
      </c>
      <c r="C590" s="33">
        <f t="shared" si="39"/>
        <v>-7.9133779149294092E-3</v>
      </c>
      <c r="D590" s="32">
        <f>MAX($B$2:B590)</f>
        <v>65285.42816162113</v>
      </c>
      <c r="E590" s="34">
        <f t="shared" si="36"/>
        <v>-7.9133779149294092E-3</v>
      </c>
      <c r="F590" s="35">
        <f t="shared" si="37"/>
        <v>99.615420138875393</v>
      </c>
      <c r="G590" s="36" t="str">
        <f t="shared" si="38"/>
        <v>2024-05</v>
      </c>
    </row>
    <row r="591" spans="1:7" x14ac:dyDescent="0.25">
      <c r="A591" s="37">
        <v>45420</v>
      </c>
      <c r="B591" s="38">
        <v>64728.62495422364</v>
      </c>
      <c r="C591" s="39">
        <f t="shared" si="39"/>
        <v>-6.2028232854349774E-4</v>
      </c>
      <c r="D591" s="38">
        <f>MAX($B$2:B591)</f>
        <v>65285.42816162113</v>
      </c>
      <c r="E591" s="40">
        <f t="shared" si="36"/>
        <v>-8.5287517149931213E-3</v>
      </c>
      <c r="F591" s="41">
        <f t="shared" si="37"/>
        <v>99.553630454112806</v>
      </c>
      <c r="G591" s="42" t="str">
        <f t="shared" si="38"/>
        <v>2024-05</v>
      </c>
    </row>
    <row r="592" spans="1:7" x14ac:dyDescent="0.25">
      <c r="A592" s="31">
        <v>45421</v>
      </c>
      <c r="B592" s="32">
        <v>64618.295288085988</v>
      </c>
      <c r="C592" s="33">
        <f t="shared" si="39"/>
        <v>-1.7044957499974256E-3</v>
      </c>
      <c r="D592" s="32">
        <f>MAX($B$2:B592)</f>
        <v>65285.42816162113</v>
      </c>
      <c r="E592" s="34">
        <f t="shared" si="36"/>
        <v>-1.021871024393961E-2</v>
      </c>
      <c r="F592" s="35">
        <f t="shared" si="37"/>
        <v>99.383941714106953</v>
      </c>
      <c r="G592" s="36" t="str">
        <f t="shared" si="38"/>
        <v>2024-05</v>
      </c>
    </row>
    <row r="593" spans="1:7" x14ac:dyDescent="0.25">
      <c r="A593" s="37">
        <v>45422</v>
      </c>
      <c r="B593" s="38">
        <v>64827.268371582002</v>
      </c>
      <c r="C593" s="39">
        <f t="shared" si="39"/>
        <v>3.2339615671437283E-3</v>
      </c>
      <c r="D593" s="38">
        <f>MAX($B$2:B593)</f>
        <v>65285.42816162113</v>
      </c>
      <c r="E593" s="40">
        <f t="shared" si="36"/>
        <v>-7.0177955929905389E-3</v>
      </c>
      <c r="F593" s="41">
        <f t="shared" si="37"/>
        <v>99.705345562001639</v>
      </c>
      <c r="G593" s="42" t="str">
        <f t="shared" si="38"/>
        <v>2024-05</v>
      </c>
    </row>
    <row r="594" spans="1:7" x14ac:dyDescent="0.25">
      <c r="A594" s="31">
        <v>45425</v>
      </c>
      <c r="B594" s="32">
        <v>65119.280471801721</v>
      </c>
      <c r="C594" s="33">
        <f t="shared" si="39"/>
        <v>4.5044640558651317E-3</v>
      </c>
      <c r="D594" s="32">
        <f>MAX($B$2:B594)</f>
        <v>65285.42816162113</v>
      </c>
      <c r="E594" s="34">
        <f t="shared" si="36"/>
        <v>-2.5449429451254169E-3</v>
      </c>
      <c r="F594" s="35">
        <f t="shared" si="37"/>
        <v>100.15446470726329</v>
      </c>
      <c r="G594" s="36" t="str">
        <f t="shared" si="38"/>
        <v>2024-05</v>
      </c>
    </row>
    <row r="595" spans="1:7" x14ac:dyDescent="0.25">
      <c r="A595" s="37">
        <v>45426</v>
      </c>
      <c r="B595" s="38">
        <v>66116.849441528335</v>
      </c>
      <c r="C595" s="39">
        <f t="shared" si="39"/>
        <v>1.531910307514206E-2</v>
      </c>
      <c r="D595" s="38">
        <f>MAX($B$2:B595)</f>
        <v>66116.849441528335</v>
      </c>
      <c r="E595" s="40">
        <f t="shared" si="36"/>
        <v>0</v>
      </c>
      <c r="F595" s="41">
        <f t="shared" si="37"/>
        <v>101.68874127554952</v>
      </c>
      <c r="G595" s="42" t="str">
        <f t="shared" si="38"/>
        <v>2024-05</v>
      </c>
    </row>
    <row r="596" spans="1:7" x14ac:dyDescent="0.25">
      <c r="A596" s="31">
        <v>45427</v>
      </c>
      <c r="B596" s="32">
        <v>66938.667831420913</v>
      </c>
      <c r="C596" s="33">
        <f t="shared" si="39"/>
        <v>1.2429787517618696E-2</v>
      </c>
      <c r="D596" s="32">
        <f>MAX($B$2:B596)</f>
        <v>66938.667831420913</v>
      </c>
      <c r="E596" s="34">
        <f t="shared" si="36"/>
        <v>0</v>
      </c>
      <c r="F596" s="35">
        <f t="shared" si="37"/>
        <v>102.95271072253871</v>
      </c>
      <c r="G596" s="36" t="str">
        <f t="shared" si="38"/>
        <v>2024-05</v>
      </c>
    </row>
    <row r="597" spans="1:7" x14ac:dyDescent="0.25">
      <c r="A597" s="37">
        <v>45428</v>
      </c>
      <c r="B597" s="38">
        <v>66649.865264892665</v>
      </c>
      <c r="C597" s="39">
        <f t="shared" si="39"/>
        <v>-4.3144355256004019E-3</v>
      </c>
      <c r="D597" s="38">
        <f>MAX($B$2:B597)</f>
        <v>66938.667831420913</v>
      </c>
      <c r="E597" s="40">
        <f t="shared" si="36"/>
        <v>-4.3144355256004019E-3</v>
      </c>
      <c r="F597" s="41">
        <f t="shared" si="37"/>
        <v>102.50852788994051</v>
      </c>
      <c r="G597" s="42" t="str">
        <f t="shared" si="38"/>
        <v>2024-05</v>
      </c>
    </row>
    <row r="598" spans="1:7" x14ac:dyDescent="0.25">
      <c r="A598" s="31">
        <v>45429</v>
      </c>
      <c r="B598" s="32">
        <v>66784.846038818374</v>
      </c>
      <c r="C598" s="33">
        <f t="shared" si="39"/>
        <v>2.0252220074150618E-3</v>
      </c>
      <c r="D598" s="32">
        <f>MAX($B$2:B598)</f>
        <v>66938.667831420913</v>
      </c>
      <c r="E598" s="34">
        <f t="shared" si="36"/>
        <v>-2.2979512079613906E-3</v>
      </c>
      <c r="F598" s="35">
        <f t="shared" si="37"/>
        <v>102.71613041657095</v>
      </c>
      <c r="G598" s="36" t="str">
        <f t="shared" si="38"/>
        <v>2024-05</v>
      </c>
    </row>
    <row r="599" spans="1:7" x14ac:dyDescent="0.25">
      <c r="A599" s="37">
        <v>45432</v>
      </c>
      <c r="B599" s="38">
        <v>67360.728225708008</v>
      </c>
      <c r="C599" s="39">
        <f t="shared" si="39"/>
        <v>8.622946986430291E-3</v>
      </c>
      <c r="D599" s="38">
        <f>MAX($B$2:B599)</f>
        <v>67360.728225708008</v>
      </c>
      <c r="E599" s="40">
        <f t="shared" si="36"/>
        <v>0</v>
      </c>
      <c r="F599" s="41">
        <f t="shared" si="37"/>
        <v>103.60184616380428</v>
      </c>
      <c r="G599" s="42" t="str">
        <f t="shared" si="38"/>
        <v>2024-05</v>
      </c>
    </row>
    <row r="600" spans="1:7" x14ac:dyDescent="0.25">
      <c r="A600" s="31">
        <v>45433</v>
      </c>
      <c r="B600" s="32">
        <v>68115.856018066392</v>
      </c>
      <c r="C600" s="33">
        <f t="shared" si="39"/>
        <v>1.1210208265981736E-2</v>
      </c>
      <c r="D600" s="32">
        <f>MAX($B$2:B600)</f>
        <v>68115.856018066392</v>
      </c>
      <c r="E600" s="34">
        <f t="shared" si="36"/>
        <v>0</v>
      </c>
      <c r="F600" s="35">
        <f t="shared" si="37"/>
        <v>104.76324443604075</v>
      </c>
      <c r="G600" s="36" t="str">
        <f t="shared" si="38"/>
        <v>2024-05</v>
      </c>
    </row>
    <row r="601" spans="1:7" x14ac:dyDescent="0.25">
      <c r="A601" s="37">
        <v>45434</v>
      </c>
      <c r="B601" s="38">
        <v>67702.577590942397</v>
      </c>
      <c r="C601" s="39">
        <f t="shared" si="39"/>
        <v>-6.0672866977459217E-3</v>
      </c>
      <c r="D601" s="38">
        <f>MAX($B$2:B601)</f>
        <v>68115.856018066392</v>
      </c>
      <c r="E601" s="40">
        <f t="shared" si="36"/>
        <v>-6.0672866977459217E-3</v>
      </c>
      <c r="F601" s="41">
        <f t="shared" si="37"/>
        <v>104.12761579666123</v>
      </c>
      <c r="G601" s="42" t="str">
        <f t="shared" si="38"/>
        <v>2024-05</v>
      </c>
    </row>
    <row r="602" spans="1:7" x14ac:dyDescent="0.25">
      <c r="A602" s="31">
        <v>45435</v>
      </c>
      <c r="B602" s="32">
        <v>67335.533905029326</v>
      </c>
      <c r="C602" s="33">
        <f t="shared" si="39"/>
        <v>-5.4214137625711034E-3</v>
      </c>
      <c r="D602" s="32">
        <f>MAX($B$2:B602)</f>
        <v>68115.856018066392</v>
      </c>
      <c r="E602" s="34">
        <f t="shared" si="36"/>
        <v>-1.1455807188712419E-2</v>
      </c>
      <c r="F602" s="35">
        <f t="shared" si="37"/>
        <v>103.56309690731752</v>
      </c>
      <c r="G602" s="36" t="str">
        <f t="shared" si="38"/>
        <v>2024-05</v>
      </c>
    </row>
    <row r="603" spans="1:7" x14ac:dyDescent="0.25">
      <c r="A603" s="37">
        <v>45436</v>
      </c>
      <c r="B603" s="38">
        <v>68451.156387329072</v>
      </c>
      <c r="C603" s="39">
        <f t="shared" si="39"/>
        <v>1.6568109252289132E-2</v>
      </c>
      <c r="D603" s="38">
        <f>MAX($B$2:B603)</f>
        <v>68451.156387329072</v>
      </c>
      <c r="E603" s="40">
        <f t="shared" si="36"/>
        <v>0</v>
      </c>
      <c r="F603" s="41">
        <f t="shared" si="37"/>
        <v>105.27894161138336</v>
      </c>
      <c r="G603" s="42" t="str">
        <f t="shared" si="38"/>
        <v>2024-05</v>
      </c>
    </row>
    <row r="604" spans="1:7" x14ac:dyDescent="0.25">
      <c r="A604" s="31">
        <v>45440</v>
      </c>
      <c r="B604" s="32">
        <v>68899.455642700224</v>
      </c>
      <c r="C604" s="33">
        <f t="shared" si="39"/>
        <v>6.5491845431282503E-3</v>
      </c>
      <c r="D604" s="32">
        <f>MAX($B$2:B604)</f>
        <v>68899.455642700224</v>
      </c>
      <c r="E604" s="34">
        <f t="shared" si="36"/>
        <v>0</v>
      </c>
      <c r="F604" s="35">
        <f t="shared" si="37"/>
        <v>105.96843282850152</v>
      </c>
      <c r="G604" s="36" t="str">
        <f t="shared" si="38"/>
        <v>2024-05</v>
      </c>
    </row>
    <row r="605" spans="1:7" x14ac:dyDescent="0.25">
      <c r="A605" s="37">
        <v>45441</v>
      </c>
      <c r="B605" s="38">
        <v>68606.585464477568</v>
      </c>
      <c r="C605" s="39">
        <f t="shared" si="39"/>
        <v>-4.2506892905137539E-3</v>
      </c>
      <c r="D605" s="38">
        <f>MAX($B$2:B605)</f>
        <v>68899.455642700224</v>
      </c>
      <c r="E605" s="40">
        <f t="shared" si="36"/>
        <v>-4.2506892905137539E-3</v>
      </c>
      <c r="F605" s="41">
        <f t="shared" si="37"/>
        <v>105.51799394594488</v>
      </c>
      <c r="G605" s="42" t="str">
        <f t="shared" si="38"/>
        <v>2024-05</v>
      </c>
    </row>
    <row r="606" spans="1:7" x14ac:dyDescent="0.25">
      <c r="A606" s="31">
        <v>45442</v>
      </c>
      <c r="B606" s="32">
        <v>67560.193405151396</v>
      </c>
      <c r="C606" s="33">
        <f t="shared" si="39"/>
        <v>-1.525206439355542E-2</v>
      </c>
      <c r="D606" s="32">
        <f>MAX($B$2:B606)</f>
        <v>68899.455642700224</v>
      </c>
      <c r="E606" s="34">
        <f t="shared" si="36"/>
        <v>-1.9437921897293209E-2</v>
      </c>
      <c r="F606" s="35">
        <f t="shared" si="37"/>
        <v>103.90862670760255</v>
      </c>
      <c r="G606" s="36" t="str">
        <f t="shared" si="38"/>
        <v>2024-05</v>
      </c>
    </row>
    <row r="607" spans="1:7" x14ac:dyDescent="0.25">
      <c r="A607" s="37">
        <v>45443</v>
      </c>
      <c r="B607" s="38">
        <v>67258.248596191392</v>
      </c>
      <c r="C607" s="39">
        <f t="shared" si="39"/>
        <v>-4.4692709381287665E-3</v>
      </c>
      <c r="D607" s="38">
        <f>MAX($B$2:B607)</f>
        <v>68899.455642700224</v>
      </c>
      <c r="E607" s="40">
        <f t="shared" si="36"/>
        <v>-2.382031949598884E-2</v>
      </c>
      <c r="F607" s="41">
        <f t="shared" si="37"/>
        <v>103.44423090203738</v>
      </c>
      <c r="G607" s="42" t="str">
        <f t="shared" si="38"/>
        <v>2024-05</v>
      </c>
    </row>
    <row r="608" spans="1:7" x14ac:dyDescent="0.25">
      <c r="A608" s="31">
        <v>45446</v>
      </c>
      <c r="B608" s="32">
        <v>67933.623123169033</v>
      </c>
      <c r="C608" s="33">
        <f t="shared" si="39"/>
        <v>1.0041512246809825E-2</v>
      </c>
      <c r="D608" s="32">
        <f>MAX($B$2:B608)</f>
        <v>68899.455642700224</v>
      </c>
      <c r="E608" s="34">
        <f t="shared" si="36"/>
        <v>-1.4017999279120841E-2</v>
      </c>
      <c r="F608" s="35">
        <f t="shared" si="37"/>
        <v>104.48296741350202</v>
      </c>
      <c r="G608" s="36" t="str">
        <f t="shared" si="38"/>
        <v>2024-06</v>
      </c>
    </row>
    <row r="609" spans="1:7" x14ac:dyDescent="0.25">
      <c r="A609" s="37">
        <v>45447</v>
      </c>
      <c r="B609" s="38">
        <v>67874.57893371582</v>
      </c>
      <c r="C609" s="39">
        <f t="shared" si="39"/>
        <v>-8.6914530299908588E-4</v>
      </c>
      <c r="D609" s="38">
        <f>MAX($B$2:B609)</f>
        <v>68899.455642700224</v>
      </c>
      <c r="E609" s="40">
        <f t="shared" si="36"/>
        <v>-1.4874960903889067E-2</v>
      </c>
      <c r="F609" s="41">
        <f t="shared" si="37"/>
        <v>104.39215653313116</v>
      </c>
      <c r="G609" s="42" t="str">
        <f t="shared" si="38"/>
        <v>2024-06</v>
      </c>
    </row>
    <row r="610" spans="1:7" x14ac:dyDescent="0.25">
      <c r="A610" s="31">
        <v>45448</v>
      </c>
      <c r="B610" s="32">
        <v>69604.674530029239</v>
      </c>
      <c r="C610" s="33">
        <f t="shared" si="39"/>
        <v>2.5489596009176996E-2</v>
      </c>
      <c r="D610" s="32">
        <f>MAX($B$2:B610)</f>
        <v>69604.674530029239</v>
      </c>
      <c r="E610" s="34">
        <f t="shared" si="36"/>
        <v>0</v>
      </c>
      <c r="F610" s="35">
        <f t="shared" si="37"/>
        <v>107.05307042968745</v>
      </c>
      <c r="G610" s="36" t="str">
        <f t="shared" si="38"/>
        <v>2024-06</v>
      </c>
    </row>
    <row r="611" spans="1:7" x14ac:dyDescent="0.25">
      <c r="A611" s="37">
        <v>45449</v>
      </c>
      <c r="B611" s="38">
        <v>69681.77078247079</v>
      </c>
      <c r="C611" s="39">
        <f t="shared" si="39"/>
        <v>1.1076303849146818E-3</v>
      </c>
      <c r="D611" s="38">
        <f>MAX($B$2:B611)</f>
        <v>69681.77078247079</v>
      </c>
      <c r="E611" s="40">
        <f t="shared" si="36"/>
        <v>0</v>
      </c>
      <c r="F611" s="41">
        <f t="shared" si="37"/>
        <v>107.17164566329377</v>
      </c>
      <c r="G611" s="42" t="str">
        <f t="shared" si="38"/>
        <v>2024-06</v>
      </c>
    </row>
    <row r="612" spans="1:7" x14ac:dyDescent="0.25">
      <c r="A612" s="31">
        <v>45450</v>
      </c>
      <c r="B612" s="32">
        <v>69768.17283630374</v>
      </c>
      <c r="C612" s="33">
        <f t="shared" si="39"/>
        <v>1.2399520400059316E-3</v>
      </c>
      <c r="D612" s="32">
        <f>MAX($B$2:B612)</f>
        <v>69768.17283630374</v>
      </c>
      <c r="E612" s="34">
        <f t="shared" si="36"/>
        <v>0</v>
      </c>
      <c r="F612" s="35">
        <f t="shared" si="37"/>
        <v>107.30453336396477</v>
      </c>
      <c r="G612" s="36" t="str">
        <f t="shared" si="38"/>
        <v>2024-06</v>
      </c>
    </row>
    <row r="613" spans="1:7" x14ac:dyDescent="0.25">
      <c r="A613" s="37">
        <v>45453</v>
      </c>
      <c r="B613" s="38">
        <v>70144.883270263672</v>
      </c>
      <c r="C613" s="39">
        <f t="shared" si="39"/>
        <v>5.3994596482238588E-3</v>
      </c>
      <c r="D613" s="38">
        <f>MAX($B$2:B613)</f>
        <v>70144.883270263672</v>
      </c>
      <c r="E613" s="40">
        <f t="shared" si="36"/>
        <v>0</v>
      </c>
      <c r="F613" s="41">
        <f t="shared" si="37"/>
        <v>107.883919861935</v>
      </c>
      <c r="G613" s="42" t="str">
        <f t="shared" si="38"/>
        <v>2024-06</v>
      </c>
    </row>
    <row r="614" spans="1:7" x14ac:dyDescent="0.25">
      <c r="A614" s="31">
        <v>45454</v>
      </c>
      <c r="B614" s="32">
        <v>70908.586959838882</v>
      </c>
      <c r="C614" s="33">
        <f t="shared" si="39"/>
        <v>1.088751814772726E-2</v>
      </c>
      <c r="D614" s="32">
        <f>MAX($B$2:B614)</f>
        <v>70908.586959838882</v>
      </c>
      <c r="E614" s="34">
        <f t="shared" si="36"/>
        <v>0</v>
      </c>
      <c r="F614" s="35">
        <f t="shared" si="37"/>
        <v>109.05850799727979</v>
      </c>
      <c r="G614" s="36" t="str">
        <f t="shared" si="38"/>
        <v>2024-06</v>
      </c>
    </row>
    <row r="615" spans="1:7" x14ac:dyDescent="0.25">
      <c r="A615" s="37">
        <v>45455</v>
      </c>
      <c r="B615" s="38">
        <v>72786.30012512207</v>
      </c>
      <c r="C615" s="39">
        <f t="shared" si="39"/>
        <v>2.6480758477766431E-2</v>
      </c>
      <c r="D615" s="38">
        <f>MAX($B$2:B615)</f>
        <v>72786.30012512207</v>
      </c>
      <c r="E615" s="40">
        <f t="shared" si="36"/>
        <v>0</v>
      </c>
      <c r="F615" s="41">
        <f t="shared" si="37"/>
        <v>111.9464600075013</v>
      </c>
      <c r="G615" s="42" t="str">
        <f t="shared" si="38"/>
        <v>2024-06</v>
      </c>
    </row>
    <row r="616" spans="1:7" x14ac:dyDescent="0.25">
      <c r="A616" s="31">
        <v>45456</v>
      </c>
      <c r="B616" s="32">
        <v>73235.619430542021</v>
      </c>
      <c r="C616" s="33">
        <f t="shared" si="39"/>
        <v>6.1731301721279497E-3</v>
      </c>
      <c r="D616" s="32">
        <f>MAX($B$2:B616)</f>
        <v>73235.619430542021</v>
      </c>
      <c r="E616" s="34">
        <f t="shared" si="36"/>
        <v>0</v>
      </c>
      <c r="F616" s="35">
        <f t="shared" si="37"/>
        <v>112.63752007743652</v>
      </c>
      <c r="G616" s="36" t="str">
        <f t="shared" si="38"/>
        <v>2024-06</v>
      </c>
    </row>
    <row r="617" spans="1:7" x14ac:dyDescent="0.25">
      <c r="A617" s="37">
        <v>45457</v>
      </c>
      <c r="B617" s="38">
        <v>72971.282730102525</v>
      </c>
      <c r="C617" s="39">
        <f t="shared" si="39"/>
        <v>-3.6094007601068512E-3</v>
      </c>
      <c r="D617" s="38">
        <f>MAX($B$2:B617)</f>
        <v>73235.619430542021</v>
      </c>
      <c r="E617" s="40">
        <f t="shared" si="36"/>
        <v>-3.6094007601068512E-3</v>
      </c>
      <c r="F617" s="41">
        <f t="shared" si="37"/>
        <v>112.23096612685246</v>
      </c>
      <c r="G617" s="42" t="str">
        <f t="shared" si="38"/>
        <v>2024-06</v>
      </c>
    </row>
    <row r="618" spans="1:7" x14ac:dyDescent="0.25">
      <c r="A618" s="31">
        <v>45460</v>
      </c>
      <c r="B618" s="32">
        <v>74352.418518066392</v>
      </c>
      <c r="C618" s="33">
        <f t="shared" si="39"/>
        <v>1.8927114013772339E-2</v>
      </c>
      <c r="D618" s="32">
        <f>MAX($B$2:B618)</f>
        <v>74352.418518066392</v>
      </c>
      <c r="E618" s="34">
        <f t="shared" si="36"/>
        <v>0</v>
      </c>
      <c r="F618" s="35">
        <f t="shared" si="37"/>
        <v>114.35517441861123</v>
      </c>
      <c r="G618" s="36" t="str">
        <f t="shared" si="38"/>
        <v>2024-06</v>
      </c>
    </row>
    <row r="619" spans="1:7" x14ac:dyDescent="0.25">
      <c r="A619" s="37">
        <v>45461</v>
      </c>
      <c r="B619" s="38">
        <v>74455.647735595747</v>
      </c>
      <c r="C619" s="39">
        <f t="shared" si="39"/>
        <v>1.3883774003164984E-3</v>
      </c>
      <c r="D619" s="38">
        <f>MAX($B$2:B619)</f>
        <v>74455.647735595747</v>
      </c>
      <c r="E619" s="40">
        <f t="shared" si="36"/>
        <v>0</v>
      </c>
      <c r="F619" s="41">
        <f t="shared" si="37"/>
        <v>114.51394255838328</v>
      </c>
      <c r="G619" s="42" t="str">
        <f t="shared" si="38"/>
        <v>2024-06</v>
      </c>
    </row>
    <row r="620" spans="1:7" x14ac:dyDescent="0.25">
      <c r="A620" s="31">
        <v>45463</v>
      </c>
      <c r="B620" s="32">
        <v>73299.968414306612</v>
      </c>
      <c r="C620" s="33">
        <f t="shared" si="39"/>
        <v>-1.5521714691048571E-2</v>
      </c>
      <c r="D620" s="32">
        <f>MAX($B$2:B620)</f>
        <v>74455.647735595747</v>
      </c>
      <c r="E620" s="34">
        <f t="shared" si="36"/>
        <v>-1.5521714691048571E-2</v>
      </c>
      <c r="F620" s="35">
        <f t="shared" si="37"/>
        <v>112.73648981384493</v>
      </c>
      <c r="G620" s="36" t="str">
        <f t="shared" si="38"/>
        <v>2024-06</v>
      </c>
    </row>
    <row r="621" spans="1:7" x14ac:dyDescent="0.25">
      <c r="A621" s="37">
        <v>45464</v>
      </c>
      <c r="B621" s="38">
        <v>73174.03091430667</v>
      </c>
      <c r="C621" s="39">
        <f t="shared" si="39"/>
        <v>-1.7181112451252201E-3</v>
      </c>
      <c r="D621" s="38">
        <f>MAX($B$2:B621)</f>
        <v>74455.647735595747</v>
      </c>
      <c r="E621" s="40">
        <f t="shared" si="36"/>
        <v>-1.7213157903619436E-2</v>
      </c>
      <c r="F621" s="41">
        <f t="shared" si="37"/>
        <v>112.54279598295982</v>
      </c>
      <c r="G621" s="42" t="str">
        <f t="shared" si="38"/>
        <v>2024-06</v>
      </c>
    </row>
    <row r="622" spans="1:7" x14ac:dyDescent="0.25">
      <c r="A622" s="31">
        <v>45467</v>
      </c>
      <c r="B622" s="32">
        <v>72143.983154296904</v>
      </c>
      <c r="C622" s="33">
        <f t="shared" si="39"/>
        <v>-1.4076684680881413E-2</v>
      </c>
      <c r="D622" s="32">
        <f>MAX($B$2:B622)</f>
        <v>74455.647735595747</v>
      </c>
      <c r="E622" s="34">
        <f t="shared" si="36"/>
        <v>-3.104753838832941E-2</v>
      </c>
      <c r="F622" s="35">
        <f t="shared" si="37"/>
        <v>110.95856653080291</v>
      </c>
      <c r="G622" s="36" t="str">
        <f t="shared" si="38"/>
        <v>2024-06</v>
      </c>
    </row>
    <row r="623" spans="1:7" x14ac:dyDescent="0.25">
      <c r="A623" s="37">
        <v>45468</v>
      </c>
      <c r="B623" s="38">
        <v>73533.888168334917</v>
      </c>
      <c r="C623" s="39">
        <f t="shared" si="39"/>
        <v>1.9265709394855168E-2</v>
      </c>
      <c r="D623" s="38">
        <f>MAX($B$2:B623)</f>
        <v>74455.647735595747</v>
      </c>
      <c r="E623" s="40">
        <f t="shared" si="36"/>
        <v>-1.2379981845489385E-2</v>
      </c>
      <c r="F623" s="41">
        <f t="shared" si="37"/>
        <v>113.09626202845506</v>
      </c>
      <c r="G623" s="42" t="str">
        <f t="shared" si="38"/>
        <v>2024-06</v>
      </c>
    </row>
    <row r="624" spans="1:7" x14ac:dyDescent="0.25">
      <c r="A624" s="31">
        <v>45469</v>
      </c>
      <c r="B624" s="32">
        <v>74498.88610839851</v>
      </c>
      <c r="C624" s="33">
        <f t="shared" si="39"/>
        <v>1.3123173058039672E-2</v>
      </c>
      <c r="D624" s="32">
        <f>MAX($B$2:B624)</f>
        <v>74498.88610839851</v>
      </c>
      <c r="E624" s="34">
        <f t="shared" si="36"/>
        <v>0</v>
      </c>
      <c r="F624" s="35">
        <f t="shared" si="37"/>
        <v>114.58044384727188</v>
      </c>
      <c r="G624" s="36" t="str">
        <f t="shared" si="38"/>
        <v>2024-06</v>
      </c>
    </row>
    <row r="625" spans="1:7" x14ac:dyDescent="0.25">
      <c r="A625" s="37">
        <v>45470</v>
      </c>
      <c r="B625" s="38">
        <v>74280.337448120088</v>
      </c>
      <c r="C625" s="39">
        <f t="shared" si="39"/>
        <v>-2.9335829257960411E-3</v>
      </c>
      <c r="D625" s="38">
        <f>MAX($B$2:B625)</f>
        <v>74498.88610839851</v>
      </c>
      <c r="E625" s="40">
        <f t="shared" si="36"/>
        <v>-2.9335829257960411E-3</v>
      </c>
      <c r="F625" s="41">
        <f t="shared" si="37"/>
        <v>114.2443126135714</v>
      </c>
      <c r="G625" s="42" t="str">
        <f t="shared" si="38"/>
        <v>2024-06</v>
      </c>
    </row>
    <row r="626" spans="1:7" x14ac:dyDescent="0.25">
      <c r="A626" s="31">
        <v>45471</v>
      </c>
      <c r="B626" s="32">
        <v>73686.678695678798</v>
      </c>
      <c r="C626" s="33">
        <f t="shared" si="39"/>
        <v>-7.992138604054122E-3</v>
      </c>
      <c r="D626" s="32">
        <f>MAX($B$2:B626)</f>
        <v>74498.88610839851</v>
      </c>
      <c r="E626" s="34">
        <f t="shared" si="36"/>
        <v>-1.0902275928500793E-2</v>
      </c>
      <c r="F626" s="35">
        <f t="shared" si="37"/>
        <v>113.33125623243885</v>
      </c>
      <c r="G626" s="36" t="str">
        <f t="shared" si="38"/>
        <v>2024-06</v>
      </c>
    </row>
    <row r="627" spans="1:7" x14ac:dyDescent="0.25">
      <c r="A627" s="37">
        <v>45474</v>
      </c>
      <c r="B627" s="38">
        <v>75087.824630737305</v>
      </c>
      <c r="C627" s="39">
        <f t="shared" si="39"/>
        <v>1.9014915041090985E-2</v>
      </c>
      <c r="D627" s="38">
        <f>MAX($B$2:B627)</f>
        <v>75087.824630737305</v>
      </c>
      <c r="E627" s="40">
        <f t="shared" si="36"/>
        <v>0</v>
      </c>
      <c r="F627" s="41">
        <f t="shared" si="37"/>
        <v>115.48624044119879</v>
      </c>
      <c r="G627" s="42" t="str">
        <f t="shared" si="38"/>
        <v>2024-07</v>
      </c>
    </row>
    <row r="628" spans="1:7" x14ac:dyDescent="0.25">
      <c r="A628" s="31">
        <v>45475</v>
      </c>
      <c r="B628" s="32">
        <v>76638.218841552822</v>
      </c>
      <c r="C628" s="33">
        <f t="shared" si="39"/>
        <v>2.0647744403835988E-2</v>
      </c>
      <c r="D628" s="32">
        <f>MAX($B$2:B628)</f>
        <v>76638.218841552822</v>
      </c>
      <c r="E628" s="34">
        <f t="shared" si="36"/>
        <v>0</v>
      </c>
      <c r="F628" s="35">
        <f t="shared" si="37"/>
        <v>117.87077081598861</v>
      </c>
      <c r="G628" s="36" t="str">
        <f t="shared" si="38"/>
        <v>2024-07</v>
      </c>
    </row>
    <row r="629" spans="1:7" x14ac:dyDescent="0.25">
      <c r="A629" s="37">
        <v>45476</v>
      </c>
      <c r="B629" s="38">
        <v>78248.276519775332</v>
      </c>
      <c r="C629" s="39">
        <f t="shared" si="39"/>
        <v>2.1008547726706128E-2</v>
      </c>
      <c r="D629" s="38">
        <f>MAX($B$2:B629)</f>
        <v>78248.276519775332</v>
      </c>
      <c r="E629" s="40">
        <f t="shared" si="36"/>
        <v>0</v>
      </c>
      <c r="F629" s="41">
        <f t="shared" si="37"/>
        <v>120.34706453025994</v>
      </c>
      <c r="G629" s="42" t="str">
        <f t="shared" si="38"/>
        <v>2024-07</v>
      </c>
    </row>
    <row r="630" spans="1:7" x14ac:dyDescent="0.25">
      <c r="A630" s="31">
        <v>45478</v>
      </c>
      <c r="B630" s="32">
        <v>79003.766403198286</v>
      </c>
      <c r="C630" s="33">
        <f t="shared" si="39"/>
        <v>9.6550354464615129E-3</v>
      </c>
      <c r="D630" s="32">
        <f>MAX($B$2:B630)</f>
        <v>79003.766403198286</v>
      </c>
      <c r="E630" s="34">
        <f t="shared" si="36"/>
        <v>0</v>
      </c>
      <c r="F630" s="35">
        <f t="shared" si="37"/>
        <v>121.50901970417718</v>
      </c>
      <c r="G630" s="36" t="str">
        <f t="shared" si="38"/>
        <v>2024-07</v>
      </c>
    </row>
    <row r="631" spans="1:7" x14ac:dyDescent="0.25">
      <c r="A631" s="37">
        <v>45481</v>
      </c>
      <c r="B631" s="38">
        <v>79208.947601318359</v>
      </c>
      <c r="C631" s="39">
        <f t="shared" si="39"/>
        <v>2.5971065363254997E-3</v>
      </c>
      <c r="D631" s="38">
        <f>MAX($B$2:B631)</f>
        <v>79208.947601318359</v>
      </c>
      <c r="E631" s="40">
        <f t="shared" si="36"/>
        <v>0</v>
      </c>
      <c r="F631" s="41">
        <f t="shared" si="37"/>
        <v>121.82459157347341</v>
      </c>
      <c r="G631" s="42" t="str">
        <f t="shared" si="38"/>
        <v>2024-07</v>
      </c>
    </row>
    <row r="632" spans="1:7" x14ac:dyDescent="0.25">
      <c r="A632" s="31">
        <v>45482</v>
      </c>
      <c r="B632" s="32">
        <v>79522.852325439482</v>
      </c>
      <c r="C632" s="33">
        <f t="shared" si="39"/>
        <v>3.9629957678657401E-3</v>
      </c>
      <c r="D632" s="32">
        <f>MAX($B$2:B632)</f>
        <v>79522.852325439482</v>
      </c>
      <c r="E632" s="34">
        <f t="shared" si="36"/>
        <v>0</v>
      </c>
      <c r="F632" s="35">
        <f t="shared" si="37"/>
        <v>122.30738191430103</v>
      </c>
      <c r="G632" s="36" t="str">
        <f t="shared" si="38"/>
        <v>2024-07</v>
      </c>
    </row>
    <row r="633" spans="1:7" x14ac:dyDescent="0.25">
      <c r="A633" s="37">
        <v>45483</v>
      </c>
      <c r="B633" s="38">
        <v>80887.322845458984</v>
      </c>
      <c r="C633" s="39">
        <f t="shared" si="39"/>
        <v>1.7158219054260515E-2</v>
      </c>
      <c r="D633" s="38">
        <f>MAX($B$2:B633)</f>
        <v>80887.322845458984</v>
      </c>
      <c r="E633" s="40">
        <f t="shared" si="36"/>
        <v>0</v>
      </c>
      <c r="F633" s="41">
        <f t="shared" si="37"/>
        <v>124.40595876513972</v>
      </c>
      <c r="G633" s="42" t="str">
        <f t="shared" si="38"/>
        <v>2024-07</v>
      </c>
    </row>
    <row r="634" spans="1:7" x14ac:dyDescent="0.25">
      <c r="A634" s="31">
        <v>45484</v>
      </c>
      <c r="B634" s="32">
        <v>77779.862594604565</v>
      </c>
      <c r="C634" s="33">
        <f t="shared" si="39"/>
        <v>-3.8417147972512833E-2</v>
      </c>
      <c r="D634" s="32">
        <f>MAX($B$2:B634)</f>
        <v>80887.322845458984</v>
      </c>
      <c r="E634" s="34">
        <f t="shared" si="36"/>
        <v>-3.8417147972512833E-2</v>
      </c>
      <c r="F634" s="35">
        <f t="shared" si="37"/>
        <v>119.62663663859701</v>
      </c>
      <c r="G634" s="36" t="str">
        <f t="shared" si="38"/>
        <v>2024-07</v>
      </c>
    </row>
    <row r="635" spans="1:7" x14ac:dyDescent="0.25">
      <c r="A635" s="37">
        <v>45485</v>
      </c>
      <c r="B635" s="38">
        <v>78596.934051513701</v>
      </c>
      <c r="C635" s="39">
        <f t="shared" si="39"/>
        <v>1.0504922863746602E-2</v>
      </c>
      <c r="D635" s="38">
        <f>MAX($B$2:B635)</f>
        <v>80887.322845458984</v>
      </c>
      <c r="E635" s="40">
        <f t="shared" si="36"/>
        <v>-2.8315794284862639E-2</v>
      </c>
      <c r="F635" s="41">
        <f t="shared" si="37"/>
        <v>120.88330522893493</v>
      </c>
      <c r="G635" s="42" t="str">
        <f t="shared" si="38"/>
        <v>2024-07</v>
      </c>
    </row>
    <row r="636" spans="1:7" x14ac:dyDescent="0.25">
      <c r="A636" s="31">
        <v>45488</v>
      </c>
      <c r="B636" s="32">
        <v>78910.857467651382</v>
      </c>
      <c r="C636" s="33">
        <f t="shared" si="39"/>
        <v>3.9940923895571689E-3</v>
      </c>
      <c r="D636" s="32">
        <f>MAX($B$2:B636)</f>
        <v>80887.322845458984</v>
      </c>
      <c r="E636" s="34">
        <f t="shared" si="36"/>
        <v>-2.4434797793762786E-2</v>
      </c>
      <c r="F636" s="35">
        <f t="shared" si="37"/>
        <v>121.36612431837435</v>
      </c>
      <c r="G636" s="36" t="str">
        <f t="shared" si="38"/>
        <v>2024-07</v>
      </c>
    </row>
    <row r="637" spans="1:7" x14ac:dyDescent="0.25">
      <c r="A637" s="37">
        <v>45489</v>
      </c>
      <c r="B637" s="38">
        <v>78716.702423095689</v>
      </c>
      <c r="C637" s="39">
        <f t="shared" si="39"/>
        <v>-2.4604351135746327E-3</v>
      </c>
      <c r="D637" s="38">
        <f>MAX($B$2:B637)</f>
        <v>80887.322845458984</v>
      </c>
      <c r="E637" s="40">
        <f t="shared" si="36"/>
        <v>-2.6835112672852546E-2</v>
      </c>
      <c r="F637" s="41">
        <f t="shared" si="37"/>
        <v>121.06751084450293</v>
      </c>
      <c r="G637" s="42" t="str">
        <f t="shared" si="38"/>
        <v>2024-07</v>
      </c>
    </row>
    <row r="638" spans="1:7" x14ac:dyDescent="0.25">
      <c r="A638" s="31">
        <v>45490</v>
      </c>
      <c r="B638" s="32">
        <v>75943.756179809585</v>
      </c>
      <c r="C638" s="33">
        <f t="shared" si="39"/>
        <v>-3.5226910654637789E-2</v>
      </c>
      <c r="D638" s="32">
        <f>MAX($B$2:B638)</f>
        <v>80887.322845458984</v>
      </c>
      <c r="E638" s="34">
        <f t="shared" si="36"/>
        <v>-6.111670521095669E-2</v>
      </c>
      <c r="F638" s="35">
        <f t="shared" si="37"/>
        <v>116.80267645680425</v>
      </c>
      <c r="G638" s="36" t="str">
        <f t="shared" si="38"/>
        <v>2024-07</v>
      </c>
    </row>
    <row r="639" spans="1:7" x14ac:dyDescent="0.25">
      <c r="A639" s="37">
        <v>45491</v>
      </c>
      <c r="B639" s="38">
        <v>75333.087768554658</v>
      </c>
      <c r="C639" s="39">
        <f t="shared" si="39"/>
        <v>-8.0410614640796796E-3</v>
      </c>
      <c r="D639" s="38">
        <f>MAX($B$2:B639)</f>
        <v>80887.322845458984</v>
      </c>
      <c r="E639" s="40">
        <f t="shared" si="36"/>
        <v>-6.8666323491953007E-2</v>
      </c>
      <c r="F639" s="41">
        <f t="shared" si="37"/>
        <v>115.86345895624608</v>
      </c>
      <c r="G639" s="42" t="str">
        <f t="shared" si="38"/>
        <v>2024-07</v>
      </c>
    </row>
    <row r="640" spans="1:7" x14ac:dyDescent="0.25">
      <c r="A640" s="31">
        <v>45492</v>
      </c>
      <c r="B640" s="32">
        <v>74176.198501586885</v>
      </c>
      <c r="C640" s="33">
        <f t="shared" si="39"/>
        <v>-1.5356987231454955E-2</v>
      </c>
      <c r="D640" s="32">
        <f>MAX($B$2:B640)</f>
        <v>80887.322845458984</v>
      </c>
      <c r="E640" s="34">
        <f t="shared" si="36"/>
        <v>-8.2968802870311165E-2</v>
      </c>
      <c r="F640" s="35">
        <f t="shared" si="37"/>
        <v>114.08414529646278</v>
      </c>
      <c r="G640" s="36" t="str">
        <f t="shared" si="38"/>
        <v>2024-07</v>
      </c>
    </row>
    <row r="641" spans="1:7" x14ac:dyDescent="0.25">
      <c r="A641" s="37">
        <v>45495</v>
      </c>
      <c r="B641" s="38">
        <v>75574.150924682661</v>
      </c>
      <c r="C641" s="39">
        <f t="shared" si="39"/>
        <v>1.8846374596372284E-2</v>
      </c>
      <c r="D641" s="38">
        <f>MAX($B$2:B641)</f>
        <v>80887.322845458984</v>
      </c>
      <c r="E641" s="40">
        <f t="shared" si="36"/>
        <v>-6.568608941264531E-2</v>
      </c>
      <c r="F641" s="41">
        <f t="shared" si="37"/>
        <v>116.2342178342269</v>
      </c>
      <c r="G641" s="42" t="str">
        <f t="shared" si="38"/>
        <v>2024-07</v>
      </c>
    </row>
    <row r="642" spans="1:7" x14ac:dyDescent="0.25">
      <c r="A642" s="31">
        <v>45496</v>
      </c>
      <c r="B642" s="32">
        <v>75493.77563476561</v>
      </c>
      <c r="C642" s="33">
        <f t="shared" si="39"/>
        <v>-1.0635288512490515E-3</v>
      </c>
      <c r="D642" s="32">
        <f>MAX($B$2:B642)</f>
        <v>80887.322845458984</v>
      </c>
      <c r="E642" s="34">
        <f t="shared" ref="E642:E705" si="40">B642/D642-1</f>
        <v>-6.6679759212678213E-2</v>
      </c>
      <c r="F642" s="35">
        <f t="shared" ref="F642:F705" si="41">B642/$B$2*100</f>
        <v>116.11059939005783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71399.457550048814</v>
      </c>
      <c r="C643" s="39">
        <f t="shared" ref="C643:C706" si="43">B643/B642-1</f>
        <v>-5.4233849748419827E-2</v>
      </c>
      <c r="D643" s="38">
        <f>MAX($B$2:B643)</f>
        <v>80887.322845458984</v>
      </c>
      <c r="E643" s="40">
        <f t="shared" si="40"/>
        <v>-0.11729730891869694</v>
      </c>
      <c r="F643" s="41">
        <f t="shared" si="41"/>
        <v>109.81347458853845</v>
      </c>
      <c r="G643" s="42" t="str">
        <f t="shared" si="42"/>
        <v>2024-07</v>
      </c>
    </row>
    <row r="644" spans="1:7" x14ac:dyDescent="0.25">
      <c r="A644" s="31">
        <v>45498</v>
      </c>
      <c r="B644" s="32">
        <v>70696.469268798901</v>
      </c>
      <c r="C644" s="33">
        <f t="shared" si="43"/>
        <v>-9.8458490494433004E-3</v>
      </c>
      <c r="D644" s="32">
        <f>MAX($B$2:B644)</f>
        <v>80887.322845458984</v>
      </c>
      <c r="E644" s="34">
        <f t="shared" si="40"/>
        <v>-0.12598826637062077</v>
      </c>
      <c r="F644" s="35">
        <f t="shared" si="41"/>
        <v>108.73226769414484</v>
      </c>
      <c r="G644" s="36" t="str">
        <f t="shared" si="42"/>
        <v>2024-07</v>
      </c>
    </row>
    <row r="645" spans="1:7" x14ac:dyDescent="0.25">
      <c r="A645" s="37">
        <v>45499</v>
      </c>
      <c r="B645" s="38">
        <v>71251.965484619155</v>
      </c>
      <c r="C645" s="39">
        <f t="shared" si="43"/>
        <v>7.8574817323362467E-3</v>
      </c>
      <c r="D645" s="38">
        <f>MAX($B$2:B645)</f>
        <v>80887.322845458984</v>
      </c>
      <c r="E645" s="40">
        <f t="shared" si="40"/>
        <v>-0.11912073513978039</v>
      </c>
      <c r="F645" s="41">
        <f t="shared" si="41"/>
        <v>109.58662950126707</v>
      </c>
      <c r="G645" s="42" t="str">
        <f t="shared" si="42"/>
        <v>2024-07</v>
      </c>
    </row>
    <row r="646" spans="1:7" x14ac:dyDescent="0.25">
      <c r="A646" s="31">
        <v>45502</v>
      </c>
      <c r="B646" s="32">
        <v>71748.005294799892</v>
      </c>
      <c r="C646" s="33">
        <f t="shared" si="43"/>
        <v>6.961770202505102E-3</v>
      </c>
      <c r="D646" s="32">
        <f>MAX($B$2:B646)</f>
        <v>80887.322845458984</v>
      </c>
      <c r="E646" s="34">
        <f t="shared" si="40"/>
        <v>-0.11298825612167207</v>
      </c>
      <c r="F646" s="35">
        <f t="shared" si="41"/>
        <v>110.34954643312193</v>
      </c>
      <c r="G646" s="36" t="str">
        <f t="shared" si="42"/>
        <v>2024-07</v>
      </c>
    </row>
    <row r="647" spans="1:7" x14ac:dyDescent="0.25">
      <c r="A647" s="37">
        <v>45503</v>
      </c>
      <c r="B647" s="38">
        <v>70228.000030517564</v>
      </c>
      <c r="C647" s="39">
        <f t="shared" si="43"/>
        <v>-2.1185331327845169E-2</v>
      </c>
      <c r="D647" s="38">
        <f>MAX($B$2:B647)</f>
        <v>80887.322845458984</v>
      </c>
      <c r="E647" s="40">
        <f t="shared" si="40"/>
        <v>-0.13177989380742416</v>
      </c>
      <c r="F647" s="41">
        <f t="shared" si="41"/>
        <v>108.01175473005881</v>
      </c>
      <c r="G647" s="42" t="str">
        <f t="shared" si="42"/>
        <v>2024-07</v>
      </c>
    </row>
    <row r="648" spans="1:7" x14ac:dyDescent="0.25">
      <c r="A648" s="31">
        <v>45504</v>
      </c>
      <c r="B648" s="32">
        <v>72439.314651489316</v>
      </c>
      <c r="C648" s="33">
        <f t="shared" si="43"/>
        <v>3.1487649085988778E-2</v>
      </c>
      <c r="D648" s="32">
        <f>MAX($B$2:B648)</f>
        <v>80887.322845458984</v>
      </c>
      <c r="E648" s="34">
        <f t="shared" si="40"/>
        <v>-0.10444168377423235</v>
      </c>
      <c r="F648" s="35">
        <f t="shared" si="41"/>
        <v>111.41279096016081</v>
      </c>
      <c r="G648" s="36" t="str">
        <f t="shared" si="42"/>
        <v>2024-07</v>
      </c>
    </row>
    <row r="649" spans="1:7" x14ac:dyDescent="0.25">
      <c r="A649" s="37">
        <v>45505</v>
      </c>
      <c r="B649" s="38">
        <v>70215.129852294936</v>
      </c>
      <c r="C649" s="39">
        <f t="shared" si="43"/>
        <v>-3.0704111571114301E-2</v>
      </c>
      <c r="D649" s="38">
        <f>MAX($B$2:B649)</f>
        <v>80887.322845458984</v>
      </c>
      <c r="E649" s="40">
        <f t="shared" si="40"/>
        <v>-0.13193900623406751</v>
      </c>
      <c r="F649" s="41">
        <f t="shared" si="41"/>
        <v>107.99196019607081</v>
      </c>
      <c r="G649" s="42" t="str">
        <f t="shared" si="42"/>
        <v>2024-08</v>
      </c>
    </row>
    <row r="650" spans="1:7" x14ac:dyDescent="0.25">
      <c r="A650" s="31">
        <v>45506</v>
      </c>
      <c r="B650" s="32">
        <v>67841.82380676271</v>
      </c>
      <c r="C650" s="33">
        <f t="shared" si="43"/>
        <v>-3.3800493576309432E-2</v>
      </c>
      <c r="D650" s="32">
        <f>MAX($B$2:B650)</f>
        <v>80887.322845458984</v>
      </c>
      <c r="E650" s="34">
        <f t="shared" si="40"/>
        <v>-0.16127989627769768</v>
      </c>
      <c r="F650" s="35">
        <f t="shared" si="41"/>
        <v>104.34177863917044</v>
      </c>
      <c r="G650" s="36" t="str">
        <f t="shared" si="42"/>
        <v>2024-08</v>
      </c>
    </row>
    <row r="651" spans="1:7" x14ac:dyDescent="0.25">
      <c r="A651" s="37">
        <v>45509</v>
      </c>
      <c r="B651" s="38">
        <v>65176.922454833999</v>
      </c>
      <c r="C651" s="39">
        <f t="shared" si="43"/>
        <v>-3.9281098331307884E-2</v>
      </c>
      <c r="D651" s="38">
        <f>MAX($B$2:B651)</f>
        <v>80887.322845458984</v>
      </c>
      <c r="E651" s="40">
        <f t="shared" si="40"/>
        <v>-0.19422574314445828</v>
      </c>
      <c r="F651" s="41">
        <f t="shared" si="41"/>
        <v>100.24311897238162</v>
      </c>
      <c r="G651" s="42" t="str">
        <f t="shared" si="42"/>
        <v>2024-08</v>
      </c>
    </row>
    <row r="652" spans="1:7" x14ac:dyDescent="0.25">
      <c r="A652" s="31">
        <v>45510</v>
      </c>
      <c r="B652" s="32">
        <v>65899.743194580078</v>
      </c>
      <c r="C652" s="33">
        <f t="shared" si="43"/>
        <v>1.109013301827777E-2</v>
      </c>
      <c r="D652" s="32">
        <f>MAX($B$2:B652)</f>
        <v>80887.322845458984</v>
      </c>
      <c r="E652" s="34">
        <f t="shared" si="40"/>
        <v>-0.18528959945322643</v>
      </c>
      <c r="F652" s="35">
        <f t="shared" si="41"/>
        <v>101.35482849595239</v>
      </c>
      <c r="G652" s="36" t="str">
        <f t="shared" si="42"/>
        <v>2024-08</v>
      </c>
    </row>
    <row r="653" spans="1:7" x14ac:dyDescent="0.25">
      <c r="A653" s="37">
        <v>45511</v>
      </c>
      <c r="B653" s="38">
        <v>65275.524444580078</v>
      </c>
      <c r="C653" s="39">
        <f t="shared" si="43"/>
        <v>-9.472248596734123E-3</v>
      </c>
      <c r="D653" s="38">
        <f>MAX($B$2:B653)</f>
        <v>80887.322845458984</v>
      </c>
      <c r="E653" s="40">
        <f t="shared" si="40"/>
        <v>-0.19300673890155029</v>
      </c>
      <c r="F653" s="41">
        <f t="shared" si="41"/>
        <v>100.39477036395937</v>
      </c>
      <c r="G653" s="42" t="str">
        <f t="shared" si="42"/>
        <v>2024-08</v>
      </c>
    </row>
    <row r="654" spans="1:7" x14ac:dyDescent="0.25">
      <c r="A654" s="31">
        <v>45512</v>
      </c>
      <c r="B654" s="32">
        <v>67238.464889526396</v>
      </c>
      <c r="C654" s="33">
        <f t="shared" si="43"/>
        <v>3.0071615075461855E-2</v>
      </c>
      <c r="D654" s="32">
        <f>MAX($B$2:B654)</f>
        <v>80887.322845458984</v>
      </c>
      <c r="E654" s="34">
        <f t="shared" si="40"/>
        <v>-0.168739148185306</v>
      </c>
      <c r="F654" s="35">
        <f t="shared" si="41"/>
        <v>103.41380325393375</v>
      </c>
      <c r="G654" s="36" t="str">
        <f t="shared" si="42"/>
        <v>2024-08</v>
      </c>
    </row>
    <row r="655" spans="1:7" x14ac:dyDescent="0.25">
      <c r="A655" s="37">
        <v>45513</v>
      </c>
      <c r="B655" s="38">
        <v>67869.432907104521</v>
      </c>
      <c r="C655" s="39">
        <f t="shared" si="43"/>
        <v>9.3840336571457961E-3</v>
      </c>
      <c r="D655" s="38">
        <f>MAX($B$2:B655)</f>
        <v>80887.322845458984</v>
      </c>
      <c r="E655" s="40">
        <f t="shared" si="40"/>
        <v>-0.16093856837400933</v>
      </c>
      <c r="F655" s="41">
        <f t="shared" si="41"/>
        <v>104.3842418642821</v>
      </c>
      <c r="G655" s="42" t="str">
        <f t="shared" si="42"/>
        <v>2024-08</v>
      </c>
    </row>
    <row r="656" spans="1:7" x14ac:dyDescent="0.25">
      <c r="A656" s="31">
        <v>45516</v>
      </c>
      <c r="B656" s="32">
        <v>68179.292907714858</v>
      </c>
      <c r="C656" s="33">
        <f t="shared" si="43"/>
        <v>4.5655310106165192E-3</v>
      </c>
      <c r="D656" s="32">
        <f>MAX($B$2:B656)</f>
        <v>80887.322845458984</v>
      </c>
      <c r="E656" s="34">
        <f t="shared" si="40"/>
        <v>-0.15710780738810859</v>
      </c>
      <c r="F656" s="35">
        <f t="shared" si="41"/>
        <v>104.86081135753318</v>
      </c>
      <c r="G656" s="36" t="str">
        <f t="shared" si="42"/>
        <v>2024-08</v>
      </c>
    </row>
    <row r="657" spans="1:7" x14ac:dyDescent="0.25">
      <c r="A657" s="37">
        <v>45517</v>
      </c>
      <c r="B657" s="38">
        <v>70027.60139465332</v>
      </c>
      <c r="C657" s="39">
        <f t="shared" si="43"/>
        <v>2.7109528540289585E-2</v>
      </c>
      <c r="D657" s="38">
        <f>MAX($B$2:B657)</f>
        <v>80887.322845458984</v>
      </c>
      <c r="E657" s="40">
        <f t="shared" si="40"/>
        <v>-0.1342573974361092</v>
      </c>
      <c r="F657" s="41">
        <f t="shared" si="41"/>
        <v>107.70353851578814</v>
      </c>
      <c r="G657" s="42" t="str">
        <f t="shared" si="42"/>
        <v>2024-08</v>
      </c>
    </row>
    <row r="658" spans="1:7" x14ac:dyDescent="0.25">
      <c r="A658" s="31">
        <v>45518</v>
      </c>
      <c r="B658" s="32">
        <v>69847.885437011748</v>
      </c>
      <c r="C658" s="33">
        <f t="shared" si="43"/>
        <v>-2.5663588936704063E-3</v>
      </c>
      <c r="D658" s="32">
        <f>MAX($B$2:B658)</f>
        <v>80887.322845458984</v>
      </c>
      <c r="E658" s="34">
        <f t="shared" si="40"/>
        <v>-0.13647920366382837</v>
      </c>
      <c r="F658" s="35">
        <f t="shared" si="41"/>
        <v>107.42713258183838</v>
      </c>
      <c r="G658" s="36" t="str">
        <f t="shared" si="42"/>
        <v>2024-08</v>
      </c>
    </row>
    <row r="659" spans="1:7" x14ac:dyDescent="0.25">
      <c r="A659" s="37">
        <v>45519</v>
      </c>
      <c r="B659" s="38">
        <v>71836.410293579043</v>
      </c>
      <c r="C659" s="39">
        <f t="shared" si="43"/>
        <v>2.8469363734146658E-2</v>
      </c>
      <c r="D659" s="38">
        <f>MAX($B$2:B659)</f>
        <v>80887.322845458984</v>
      </c>
      <c r="E659" s="40">
        <f t="shared" si="40"/>
        <v>-0.11189531602093394</v>
      </c>
      <c r="F659" s="41">
        <f t="shared" si="41"/>
        <v>110.48551469422713</v>
      </c>
      <c r="G659" s="42" t="str">
        <f t="shared" si="42"/>
        <v>2024-08</v>
      </c>
    </row>
    <row r="660" spans="1:7" x14ac:dyDescent="0.25">
      <c r="A660" s="31">
        <v>45520</v>
      </c>
      <c r="B660" s="32">
        <v>72138.182983398452</v>
      </c>
      <c r="C660" s="33">
        <f t="shared" si="43"/>
        <v>4.2008319818060968E-3</v>
      </c>
      <c r="D660" s="32">
        <f>MAX($B$2:B660)</f>
        <v>80887.322845458984</v>
      </c>
      <c r="E660" s="34">
        <f t="shared" si="40"/>
        <v>-0.10816453746128285</v>
      </c>
      <c r="F660" s="35">
        <f t="shared" si="41"/>
        <v>110.94964577788096</v>
      </c>
      <c r="G660" s="36" t="str">
        <f t="shared" si="42"/>
        <v>2024-08</v>
      </c>
    </row>
    <row r="661" spans="1:7" x14ac:dyDescent="0.25">
      <c r="A661" s="37">
        <v>45523</v>
      </c>
      <c r="B661" s="38">
        <v>73078.82438659668</v>
      </c>
      <c r="C661" s="39">
        <f t="shared" si="43"/>
        <v>1.3039438537212789E-2</v>
      </c>
      <c r="D661" s="38">
        <f>MAX($B$2:B661)</f>
        <v>80887.322845458984</v>
      </c>
      <c r="E661" s="40">
        <f t="shared" si="40"/>
        <v>-9.6535503762202657E-2</v>
      </c>
      <c r="F661" s="41">
        <f t="shared" si="41"/>
        <v>112.39636686472716</v>
      </c>
      <c r="G661" s="42" t="str">
        <f t="shared" si="42"/>
        <v>2024-08</v>
      </c>
    </row>
    <row r="662" spans="1:7" x14ac:dyDescent="0.25">
      <c r="A662" s="31">
        <v>45524</v>
      </c>
      <c r="B662" s="32">
        <v>72827.807006835967</v>
      </c>
      <c r="C662" s="33">
        <f t="shared" si="43"/>
        <v>-3.4348853018324466E-3</v>
      </c>
      <c r="D662" s="32">
        <f>MAX($B$2:B662)</f>
        <v>80887.322845458984</v>
      </c>
      <c r="E662" s="34">
        <f t="shared" si="40"/>
        <v>-9.9638800681057238E-2</v>
      </c>
      <c r="F662" s="35">
        <f t="shared" si="41"/>
        <v>112.01029823620414</v>
      </c>
      <c r="G662" s="36" t="str">
        <f t="shared" si="42"/>
        <v>2024-08</v>
      </c>
    </row>
    <row r="663" spans="1:7" x14ac:dyDescent="0.25">
      <c r="A663" s="37">
        <v>45525</v>
      </c>
      <c r="B663" s="38">
        <v>72955.313644409238</v>
      </c>
      <c r="C663" s="39">
        <f t="shared" si="43"/>
        <v>1.7507960600997574E-3</v>
      </c>
      <c r="D663" s="38">
        <f>MAX($B$2:B663)</f>
        <v>80887.322845458984</v>
      </c>
      <c r="E663" s="40">
        <f t="shared" si="40"/>
        <v>-9.8062451840623011E-2</v>
      </c>
      <c r="F663" s="41">
        <f t="shared" si="41"/>
        <v>112.20640542504667</v>
      </c>
      <c r="G663" s="42" t="str">
        <f t="shared" si="42"/>
        <v>2024-08</v>
      </c>
    </row>
    <row r="664" spans="1:7" x14ac:dyDescent="0.25">
      <c r="A664" s="31">
        <v>45526</v>
      </c>
      <c r="B664" s="32">
        <v>71056.284255981489</v>
      </c>
      <c r="C664" s="33">
        <f t="shared" si="43"/>
        <v>-2.6030035285487085E-2</v>
      </c>
      <c r="D664" s="32">
        <f>MAX($B$2:B664)</f>
        <v>80887.322845458984</v>
      </c>
      <c r="E664" s="34">
        <f t="shared" si="40"/>
        <v>-0.12153991804451725</v>
      </c>
      <c r="F664" s="35">
        <f t="shared" si="41"/>
        <v>109.28566873257503</v>
      </c>
      <c r="G664" s="36" t="str">
        <f t="shared" si="42"/>
        <v>2024-08</v>
      </c>
    </row>
    <row r="665" spans="1:7" x14ac:dyDescent="0.25">
      <c r="A665" s="37">
        <v>45527</v>
      </c>
      <c r="B665" s="38">
        <v>72350.891723632842</v>
      </c>
      <c r="C665" s="39">
        <f t="shared" si="43"/>
        <v>1.8219464769470672E-2</v>
      </c>
      <c r="D665" s="38">
        <f>MAX($B$2:B665)</f>
        <v>80887.322845458984</v>
      </c>
      <c r="E665" s="40">
        <f t="shared" si="40"/>
        <v>-0.10553484552994297</v>
      </c>
      <c r="F665" s="41">
        <f t="shared" si="41"/>
        <v>111.27679512385625</v>
      </c>
      <c r="G665" s="42" t="str">
        <f t="shared" si="42"/>
        <v>2024-08</v>
      </c>
    </row>
    <row r="666" spans="1:7" x14ac:dyDescent="0.25">
      <c r="A666" s="31">
        <v>45530</v>
      </c>
      <c r="B666" s="32">
        <v>71460.349502563491</v>
      </c>
      <c r="C666" s="33">
        <f t="shared" si="43"/>
        <v>-1.2308655772634514E-2</v>
      </c>
      <c r="D666" s="32">
        <f>MAX($B$2:B666)</f>
        <v>80887.322845458984</v>
      </c>
      <c r="E666" s="34">
        <f t="shared" si="40"/>
        <v>-0.11654450921693127</v>
      </c>
      <c r="F666" s="35">
        <f t="shared" si="41"/>
        <v>109.90712735719472</v>
      </c>
      <c r="G666" s="36" t="str">
        <f t="shared" si="42"/>
        <v>2024-08</v>
      </c>
    </row>
    <row r="667" spans="1:7" x14ac:dyDescent="0.25">
      <c r="A667" s="37">
        <v>45531</v>
      </c>
      <c r="B667" s="38">
        <v>71383.437652587876</v>
      </c>
      <c r="C667" s="39">
        <f t="shared" si="43"/>
        <v>-1.0762870670378843E-3</v>
      </c>
      <c r="D667" s="38">
        <f>MAX($B$2:B667)</f>
        <v>80887.322845458984</v>
      </c>
      <c r="E667" s="40">
        <f t="shared" si="40"/>
        <v>-0.11749536093596469</v>
      </c>
      <c r="F667" s="41">
        <f t="shared" si="41"/>
        <v>109.78883573744488</v>
      </c>
      <c r="G667" s="42" t="str">
        <f t="shared" si="42"/>
        <v>2024-08</v>
      </c>
    </row>
    <row r="668" spans="1:7" x14ac:dyDescent="0.25">
      <c r="A668" s="31">
        <v>45532</v>
      </c>
      <c r="B668" s="32">
        <v>70465.908203124956</v>
      </c>
      <c r="C668" s="33">
        <f t="shared" si="43"/>
        <v>-1.2853534091877061E-2</v>
      </c>
      <c r="D668" s="32">
        <f>MAX($B$2:B668)</f>
        <v>80887.322845458984</v>
      </c>
      <c r="E668" s="34">
        <f t="shared" si="40"/>
        <v>-0.12883866440041392</v>
      </c>
      <c r="F668" s="35">
        <f t="shared" si="41"/>
        <v>108.37766119438615</v>
      </c>
      <c r="G668" s="36" t="str">
        <f t="shared" si="42"/>
        <v>2024-08</v>
      </c>
    </row>
    <row r="669" spans="1:7" x14ac:dyDescent="0.25">
      <c r="A669" s="37">
        <v>45533</v>
      </c>
      <c r="B669" s="38">
        <v>70401.346588134809</v>
      </c>
      <c r="C669" s="39">
        <f t="shared" si="43"/>
        <v>-9.1621064194680191E-4</v>
      </c>
      <c r="D669" s="38">
        <f>MAX($B$2:B669)</f>
        <v>80887.322845458984</v>
      </c>
      <c r="E669" s="40">
        <f t="shared" si="40"/>
        <v>-0.12963683168694284</v>
      </c>
      <c r="F669" s="41">
        <f t="shared" si="41"/>
        <v>108.27836442785055</v>
      </c>
      <c r="G669" s="42" t="str">
        <f t="shared" si="42"/>
        <v>2024-08</v>
      </c>
    </row>
    <row r="670" spans="1:7" x14ac:dyDescent="0.25">
      <c r="A670" s="31">
        <v>45534</v>
      </c>
      <c r="B670" s="32">
        <v>71360.442199707017</v>
      </c>
      <c r="C670" s="33">
        <f t="shared" si="43"/>
        <v>1.3623256628643166E-2</v>
      </c>
      <c r="D670" s="32">
        <f>MAX($B$2:B670)</f>
        <v>80887.322845458984</v>
      </c>
      <c r="E670" s="34">
        <f t="shared" si="40"/>
        <v>-0.11777965088489517</v>
      </c>
      <c r="F670" s="35">
        <f t="shared" si="41"/>
        <v>109.7534683737809</v>
      </c>
      <c r="G670" s="36" t="str">
        <f t="shared" si="42"/>
        <v>2024-08</v>
      </c>
    </row>
    <row r="671" spans="1:7" x14ac:dyDescent="0.25">
      <c r="A671" s="37">
        <v>45538</v>
      </c>
      <c r="B671" s="38">
        <v>68717.915649414121</v>
      </c>
      <c r="C671" s="39">
        <f t="shared" si="43"/>
        <v>-3.7030691918887082E-2</v>
      </c>
      <c r="D671" s="38">
        <f>MAX($B$2:B671)</f>
        <v>80887.322845458984</v>
      </c>
      <c r="E671" s="40">
        <f t="shared" si="40"/>
        <v>-0.15044888083754959</v>
      </c>
      <c r="F671" s="41">
        <f t="shared" si="41"/>
        <v>105.68922149940209</v>
      </c>
      <c r="G671" s="42" t="str">
        <f t="shared" si="42"/>
        <v>2024-09</v>
      </c>
    </row>
    <row r="672" spans="1:7" x14ac:dyDescent="0.25">
      <c r="A672" s="31">
        <v>45539</v>
      </c>
      <c r="B672" s="32">
        <v>68797.963104248047</v>
      </c>
      <c r="C672" s="33">
        <f t="shared" si="43"/>
        <v>1.1648702391136023E-3</v>
      </c>
      <c r="D672" s="32">
        <f>MAX($B$2:B672)</f>
        <v>80887.322845458984</v>
      </c>
      <c r="E672" s="34">
        <f t="shared" si="40"/>
        <v>-0.14945926402223153</v>
      </c>
      <c r="F672" s="35">
        <f t="shared" si="41"/>
        <v>105.81233572812185</v>
      </c>
      <c r="G672" s="36" t="str">
        <f t="shared" si="42"/>
        <v>2024-09</v>
      </c>
    </row>
    <row r="673" spans="1:7" x14ac:dyDescent="0.25">
      <c r="A673" s="37">
        <v>45540</v>
      </c>
      <c r="B673" s="38">
        <v>69767.839126586885</v>
      </c>
      <c r="C673" s="39">
        <f t="shared" si="43"/>
        <v>1.4097452578199166E-2</v>
      </c>
      <c r="D673" s="38">
        <f>MAX($B$2:B673)</f>
        <v>80887.322845458984</v>
      </c>
      <c r="E673" s="40">
        <f t="shared" si="40"/>
        <v>-0.13746880633095826</v>
      </c>
      <c r="F673" s="41">
        <f t="shared" si="41"/>
        <v>107.30402011323754</v>
      </c>
      <c r="G673" s="42" t="str">
        <f t="shared" si="42"/>
        <v>2024-09</v>
      </c>
    </row>
    <row r="674" spans="1:7" x14ac:dyDescent="0.25">
      <c r="A674" s="31">
        <v>45541</v>
      </c>
      <c r="B674" s="32">
        <v>67356.075439453125</v>
      </c>
      <c r="C674" s="33">
        <f t="shared" si="43"/>
        <v>-3.4568416011249159E-2</v>
      </c>
      <c r="D674" s="32">
        <f>MAX($B$2:B674)</f>
        <v>80887.322845458984</v>
      </c>
      <c r="E674" s="34">
        <f t="shared" si="40"/>
        <v>-0.16728514345638901</v>
      </c>
      <c r="F674" s="35">
        <f t="shared" si="41"/>
        <v>103.59469010628371</v>
      </c>
      <c r="G674" s="36" t="str">
        <f t="shared" si="42"/>
        <v>2024-09</v>
      </c>
    </row>
    <row r="675" spans="1:7" x14ac:dyDescent="0.25">
      <c r="A675" s="37">
        <v>45544</v>
      </c>
      <c r="B675" s="38">
        <v>68374.23690795897</v>
      </c>
      <c r="C675" s="39">
        <f t="shared" si="43"/>
        <v>1.5116104402802977E-2</v>
      </c>
      <c r="D675" s="38">
        <f>MAX($B$2:B675)</f>
        <v>80887.322845458984</v>
      </c>
      <c r="E675" s="40">
        <f t="shared" si="40"/>
        <v>-0.15469773874711068</v>
      </c>
      <c r="F675" s="41">
        <f t="shared" si="41"/>
        <v>105.16063825750631</v>
      </c>
      <c r="G675" s="42" t="str">
        <f t="shared" si="42"/>
        <v>2024-09</v>
      </c>
    </row>
    <row r="676" spans="1:7" x14ac:dyDescent="0.25">
      <c r="A676" s="31">
        <v>45545</v>
      </c>
      <c r="B676" s="32">
        <v>69318.263473510684</v>
      </c>
      <c r="C676" s="33">
        <f t="shared" si="43"/>
        <v>1.380675833826861E-2</v>
      </c>
      <c r="D676" s="32">
        <f>MAX($B$2:B676)</f>
        <v>80887.322845458984</v>
      </c>
      <c r="E676" s="34">
        <f t="shared" si="40"/>
        <v>-0.14302685470320009</v>
      </c>
      <c r="F676" s="35">
        <f t="shared" si="41"/>
        <v>106.61256577662579</v>
      </c>
      <c r="G676" s="36" t="str">
        <f t="shared" si="42"/>
        <v>2024-09</v>
      </c>
    </row>
    <row r="677" spans="1:7" x14ac:dyDescent="0.25">
      <c r="A677" s="37">
        <v>45546</v>
      </c>
      <c r="B677" s="38">
        <v>71227.420578002973</v>
      </c>
      <c r="C677" s="39">
        <f t="shared" si="43"/>
        <v>2.7541906112836356E-2</v>
      </c>
      <c r="D677" s="38">
        <f>MAX($B$2:B677)</f>
        <v>80887.322845458984</v>
      </c>
      <c r="E677" s="40">
        <f t="shared" si="40"/>
        <v>-0.11942418079421346</v>
      </c>
      <c r="F677" s="41">
        <f t="shared" si="41"/>
        <v>109.54887905369421</v>
      </c>
      <c r="G677" s="42" t="str">
        <f t="shared" si="42"/>
        <v>2024-09</v>
      </c>
    </row>
    <row r="678" spans="1:7" x14ac:dyDescent="0.25">
      <c r="A678" s="31">
        <v>45547</v>
      </c>
      <c r="B678" s="32">
        <v>71816.306152343779</v>
      </c>
      <c r="C678" s="33">
        <f t="shared" si="43"/>
        <v>8.2676807549966203E-3</v>
      </c>
      <c r="D678" s="32">
        <f>MAX($B$2:B678)</f>
        <v>80887.322845458984</v>
      </c>
      <c r="E678" s="34">
        <f t="shared" si="40"/>
        <v>-0.11214386104045049</v>
      </c>
      <c r="F678" s="35">
        <f t="shared" si="41"/>
        <v>110.45459421277788</v>
      </c>
      <c r="G678" s="36" t="str">
        <f t="shared" si="42"/>
        <v>2024-09</v>
      </c>
    </row>
    <row r="679" spans="1:7" x14ac:dyDescent="0.25">
      <c r="A679" s="37">
        <v>45548</v>
      </c>
      <c r="B679" s="38">
        <v>72293.905334472685</v>
      </c>
      <c r="C679" s="39">
        <f t="shared" si="43"/>
        <v>6.6502888789041759E-3</v>
      </c>
      <c r="D679" s="38">
        <f>MAX($B$2:B679)</f>
        <v>80887.322845458984</v>
      </c>
      <c r="E679" s="40">
        <f t="shared" si="40"/>
        <v>-0.106239361233461</v>
      </c>
      <c r="F679" s="41">
        <f t="shared" si="41"/>
        <v>111.18914917229499</v>
      </c>
      <c r="G679" s="42" t="str">
        <f t="shared" si="42"/>
        <v>2024-09</v>
      </c>
    </row>
    <row r="680" spans="1:7" x14ac:dyDescent="0.25">
      <c r="A680" s="31">
        <v>45551</v>
      </c>
      <c r="B680" s="32">
        <v>71321.07917785646</v>
      </c>
      <c r="C680" s="33">
        <f t="shared" si="43"/>
        <v>-1.3456544533254622E-2</v>
      </c>
      <c r="D680" s="32">
        <f>MAX($B$2:B680)</f>
        <v>80887.322845458984</v>
      </c>
      <c r="E680" s="34">
        <f t="shared" si="40"/>
        <v>-0.11826629107109299</v>
      </c>
      <c r="F680" s="35">
        <f t="shared" si="41"/>
        <v>109.69292743484331</v>
      </c>
      <c r="G680" s="36" t="str">
        <f t="shared" si="42"/>
        <v>2024-09</v>
      </c>
    </row>
    <row r="681" spans="1:7" x14ac:dyDescent="0.25">
      <c r="A681" s="37">
        <v>45552</v>
      </c>
      <c r="B681" s="38">
        <v>71595.459823608457</v>
      </c>
      <c r="C681" s="39">
        <f t="shared" si="43"/>
        <v>3.8471185365516192E-3</v>
      </c>
      <c r="D681" s="38">
        <f>MAX($B$2:B681)</f>
        <v>80887.322845458984</v>
      </c>
      <c r="E681" s="40">
        <f t="shared" si="40"/>
        <v>-0.11487415697517023</v>
      </c>
      <c r="F681" s="41">
        <f t="shared" si="41"/>
        <v>110.11492912930652</v>
      </c>
      <c r="G681" s="42" t="str">
        <f t="shared" si="42"/>
        <v>2024-09</v>
      </c>
    </row>
    <row r="682" spans="1:7" x14ac:dyDescent="0.25">
      <c r="A682" s="31">
        <v>45553</v>
      </c>
      <c r="B682" s="32">
        <v>71485.228805541978</v>
      </c>
      <c r="C682" s="33">
        <f t="shared" si="43"/>
        <v>-1.5396369872902049E-3</v>
      </c>
      <c r="D682" s="32">
        <f>MAX($B$2:B682)</f>
        <v>80887.322845458984</v>
      </c>
      <c r="E682" s="34">
        <f t="shared" si="40"/>
        <v>-0.11623692946149766</v>
      </c>
      <c r="F682" s="35">
        <f t="shared" si="41"/>
        <v>109.94539211156618</v>
      </c>
      <c r="G682" s="36" t="str">
        <f t="shared" si="42"/>
        <v>2024-09</v>
      </c>
    </row>
    <row r="683" spans="1:7" x14ac:dyDescent="0.25">
      <c r="A683" s="37">
        <v>45554</v>
      </c>
      <c r="B683" s="38">
        <v>73990.020599365176</v>
      </c>
      <c r="C683" s="39">
        <f t="shared" si="43"/>
        <v>3.5039291832398956E-2</v>
      </c>
      <c r="D683" s="38">
        <f>MAX($B$2:B683)</f>
        <v>80887.322845458984</v>
      </c>
      <c r="E683" s="40">
        <f t="shared" si="40"/>
        <v>-8.5270497322202154E-2</v>
      </c>
      <c r="F683" s="41">
        <f t="shared" si="41"/>
        <v>113.79780079139088</v>
      </c>
      <c r="G683" s="42" t="str">
        <f t="shared" si="42"/>
        <v>2024-09</v>
      </c>
    </row>
    <row r="684" spans="1:7" x14ac:dyDescent="0.25">
      <c r="A684" s="31">
        <v>45555</v>
      </c>
      <c r="B684" s="32">
        <v>73513.042297363267</v>
      </c>
      <c r="C684" s="33">
        <f t="shared" si="43"/>
        <v>-6.4465220868717976E-3</v>
      </c>
      <c r="D684" s="32">
        <f>MAX($B$2:B684)</f>
        <v>80887.322845458984</v>
      </c>
      <c r="E684" s="34">
        <f t="shared" si="40"/>
        <v>-9.1167321264727819E-2</v>
      </c>
      <c r="F684" s="35">
        <f t="shared" si="41"/>
        <v>113.06420075515176</v>
      </c>
      <c r="G684" s="36" t="str">
        <f t="shared" si="42"/>
        <v>2024-09</v>
      </c>
    </row>
    <row r="685" spans="1:7" x14ac:dyDescent="0.25">
      <c r="A685" s="37">
        <v>45558</v>
      </c>
      <c r="B685" s="38">
        <v>74030.541381835967</v>
      </c>
      <c r="C685" s="39">
        <f t="shared" si="43"/>
        <v>7.0395547279813453E-3</v>
      </c>
      <c r="D685" s="38">
        <f>MAX($B$2:B685)</f>
        <v>80887.322845458984</v>
      </c>
      <c r="E685" s="40">
        <f t="shared" si="40"/>
        <v>-8.4769543884192888E-2</v>
      </c>
      <c r="F685" s="41">
        <f t="shared" si="41"/>
        <v>113.86012238414311</v>
      </c>
      <c r="G685" s="42" t="str">
        <f t="shared" si="42"/>
        <v>2024-09</v>
      </c>
    </row>
    <row r="686" spans="1:7" x14ac:dyDescent="0.25">
      <c r="A686" s="31">
        <v>45559</v>
      </c>
      <c r="B686" s="32">
        <v>74763.643722534209</v>
      </c>
      <c r="C686" s="33">
        <f t="shared" si="43"/>
        <v>9.9027013312928958E-3</v>
      </c>
      <c r="D686" s="32">
        <f>MAX($B$2:B686)</f>
        <v>80887.322845458984</v>
      </c>
      <c r="E686" s="34">
        <f t="shared" si="40"/>
        <v>-7.5706290027975132E-2</v>
      </c>
      <c r="F686" s="35">
        <f t="shared" si="41"/>
        <v>114.98764516965774</v>
      </c>
      <c r="G686" s="36" t="str">
        <f t="shared" si="42"/>
        <v>2024-09</v>
      </c>
    </row>
    <row r="687" spans="1:7" x14ac:dyDescent="0.25">
      <c r="A687" s="37">
        <v>45560</v>
      </c>
      <c r="B687" s="38">
        <v>75065.319519042998</v>
      </c>
      <c r="C687" s="39">
        <f t="shared" si="43"/>
        <v>4.0350601106118322E-3</v>
      </c>
      <c r="D687" s="38">
        <f>MAX($B$2:B687)</f>
        <v>80887.322845458984</v>
      </c>
      <c r="E687" s="40">
        <f t="shared" si="40"/>
        <v>-7.1976709348377632E-2</v>
      </c>
      <c r="F687" s="41">
        <f t="shared" si="41"/>
        <v>115.45162722989501</v>
      </c>
      <c r="G687" s="42" t="str">
        <f t="shared" si="42"/>
        <v>2024-09</v>
      </c>
    </row>
    <row r="688" spans="1:7" x14ac:dyDescent="0.25">
      <c r="A688" s="31">
        <v>45561</v>
      </c>
      <c r="B688" s="32">
        <v>75809.990463256836</v>
      </c>
      <c r="C688" s="33">
        <f t="shared" si="43"/>
        <v>9.9203060612420568E-3</v>
      </c>
      <c r="D688" s="32">
        <f>MAX($B$2:B688)</f>
        <v>80887.322845458984</v>
      </c>
      <c r="E688" s="34">
        <f t="shared" si="40"/>
        <v>-6.2770434273152431E-2</v>
      </c>
      <c r="F688" s="35">
        <f t="shared" si="41"/>
        <v>116.596942707284</v>
      </c>
      <c r="G688" s="36" t="str">
        <f t="shared" si="42"/>
        <v>2024-09</v>
      </c>
    </row>
    <row r="689" spans="1:7" x14ac:dyDescent="0.25">
      <c r="A689" s="37">
        <v>45562</v>
      </c>
      <c r="B689" s="38">
        <v>75337.351150512754</v>
      </c>
      <c r="C689" s="39">
        <f t="shared" si="43"/>
        <v>-6.2345254214635215E-3</v>
      </c>
      <c r="D689" s="38">
        <f>MAX($B$2:B689)</f>
        <v>80887.322845458984</v>
      </c>
      <c r="E689" s="40">
        <f t="shared" si="40"/>
        <v>-6.8613615826423779E-2</v>
      </c>
      <c r="F689" s="41">
        <f t="shared" si="41"/>
        <v>115.87001610391053</v>
      </c>
      <c r="G689" s="42" t="str">
        <f t="shared" si="42"/>
        <v>2024-09</v>
      </c>
    </row>
    <row r="690" spans="1:7" x14ac:dyDescent="0.25">
      <c r="A690" s="31">
        <v>45565</v>
      </c>
      <c r="B690" s="32">
        <v>75389.409637451201</v>
      </c>
      <c r="C690" s="33">
        <f t="shared" si="43"/>
        <v>6.9100500805285847E-4</v>
      </c>
      <c r="D690" s="32">
        <f>MAX($B$2:B690)</f>
        <v>80887.322845458984</v>
      </c>
      <c r="E690" s="34">
        <f t="shared" si="40"/>
        <v>-6.7970023170527472E-2</v>
      </c>
      <c r="F690" s="35">
        <f t="shared" si="41"/>
        <v>115.95008286532149</v>
      </c>
      <c r="G690" s="36" t="str">
        <f t="shared" si="42"/>
        <v>2024-09</v>
      </c>
    </row>
    <row r="691" spans="1:7" x14ac:dyDescent="0.25">
      <c r="A691" s="37">
        <v>45566</v>
      </c>
      <c r="B691" s="38">
        <v>73916.967239379883</v>
      </c>
      <c r="C691" s="39">
        <f t="shared" si="43"/>
        <v>-1.9531157030573842E-2</v>
      </c>
      <c r="D691" s="38">
        <f>MAX($B$2:B691)</f>
        <v>80887.322845458984</v>
      </c>
      <c r="E691" s="40">
        <f t="shared" si="40"/>
        <v>-8.6173647005186038E-2</v>
      </c>
      <c r="F691" s="41">
        <f t="shared" si="41"/>
        <v>113.68544358917086</v>
      </c>
      <c r="G691" s="42" t="str">
        <f t="shared" si="42"/>
        <v>2024-10</v>
      </c>
    </row>
    <row r="692" spans="1:7" x14ac:dyDescent="0.25">
      <c r="A692" s="31">
        <v>45567</v>
      </c>
      <c r="B692" s="32">
        <v>73653.875885009751</v>
      </c>
      <c r="C692" s="33">
        <f t="shared" si="43"/>
        <v>-3.5592823163065335E-3</v>
      </c>
      <c r="D692" s="32">
        <f>MAX($B$2:B692)</f>
        <v>80887.322845458984</v>
      </c>
      <c r="E692" s="34">
        <f t="shared" si="40"/>
        <v>-8.9426212983575337E-2</v>
      </c>
      <c r="F692" s="35">
        <f t="shared" si="41"/>
        <v>113.28080500018245</v>
      </c>
      <c r="G692" s="36" t="str">
        <f t="shared" si="42"/>
        <v>2024-10</v>
      </c>
    </row>
    <row r="693" spans="1:7" x14ac:dyDescent="0.25">
      <c r="A693" s="37">
        <v>45568</v>
      </c>
      <c r="B693" s="38">
        <v>73564.357376098662</v>
      </c>
      <c r="C693" s="39">
        <f t="shared" si="43"/>
        <v>-1.2153944084469792E-3</v>
      </c>
      <c r="D693" s="38">
        <f>MAX($B$2:B693)</f>
        <v>80887.322845458984</v>
      </c>
      <c r="E693" s="40">
        <f t="shared" si="40"/>
        <v>-9.0532919272793499E-2</v>
      </c>
      <c r="F693" s="41">
        <f t="shared" si="41"/>
        <v>113.14312414320085</v>
      </c>
      <c r="G693" s="42" t="str">
        <f t="shared" si="42"/>
        <v>2024-10</v>
      </c>
    </row>
    <row r="694" spans="1:7" x14ac:dyDescent="0.25">
      <c r="A694" s="31">
        <v>45569</v>
      </c>
      <c r="B694" s="32">
        <v>74462.498931884838</v>
      </c>
      <c r="C694" s="33">
        <f t="shared" si="43"/>
        <v>1.2208922742224404E-2</v>
      </c>
      <c r="D694" s="32">
        <f>MAX($B$2:B694)</f>
        <v>80887.322845458984</v>
      </c>
      <c r="E694" s="34">
        <f t="shared" si="40"/>
        <v>-7.9429305947598672E-2</v>
      </c>
      <c r="F694" s="35">
        <f t="shared" si="41"/>
        <v>114.5244798046791</v>
      </c>
      <c r="G694" s="36" t="str">
        <f t="shared" si="42"/>
        <v>2024-10</v>
      </c>
    </row>
    <row r="695" spans="1:7" x14ac:dyDescent="0.25">
      <c r="A695" s="37">
        <v>45572</v>
      </c>
      <c r="B695" s="38">
        <v>73556.828918457046</v>
      </c>
      <c r="C695" s="39">
        <f t="shared" si="43"/>
        <v>-1.2162766847997664E-2</v>
      </c>
      <c r="D695" s="38">
        <f>MAX($B$2:B695)</f>
        <v>80887.322845458984</v>
      </c>
      <c r="E695" s="40">
        <f t="shared" si="40"/>
        <v>-9.0625992666457433E-2</v>
      </c>
      <c r="F695" s="41">
        <f t="shared" si="41"/>
        <v>113.13154525842657</v>
      </c>
      <c r="G695" s="42" t="str">
        <f t="shared" si="42"/>
        <v>2024-10</v>
      </c>
    </row>
    <row r="696" spans="1:7" x14ac:dyDescent="0.25">
      <c r="A696" s="31">
        <v>45573</v>
      </c>
      <c r="B696" s="32">
        <v>74784.664764404311</v>
      </c>
      <c r="C696" s="33">
        <f t="shared" si="43"/>
        <v>1.6692343375873442E-2</v>
      </c>
      <c r="D696" s="32">
        <f>MAX($B$2:B696)</f>
        <v>80887.322845458984</v>
      </c>
      <c r="E696" s="34">
        <f t="shared" si="40"/>
        <v>-7.544640947895187E-2</v>
      </c>
      <c r="F696" s="35">
        <f t="shared" si="41"/>
        <v>115.0199758585234</v>
      </c>
      <c r="G696" s="36" t="str">
        <f t="shared" si="42"/>
        <v>2024-10</v>
      </c>
    </row>
    <row r="697" spans="1:7" x14ac:dyDescent="0.25">
      <c r="A697" s="37">
        <v>45574</v>
      </c>
      <c r="B697" s="38">
        <v>74964.730758667007</v>
      </c>
      <c r="C697" s="39">
        <f t="shared" si="43"/>
        <v>2.4077930258825653E-3</v>
      </c>
      <c r="D697" s="38">
        <f>MAX($B$2:B697)</f>
        <v>80887.322845458984</v>
      </c>
      <c r="E697" s="40">
        <f t="shared" si="40"/>
        <v>-7.3220275791640588E-2</v>
      </c>
      <c r="F697" s="41">
        <f t="shared" si="41"/>
        <v>115.29692015423272</v>
      </c>
      <c r="G697" s="42" t="str">
        <f t="shared" si="42"/>
        <v>2024-10</v>
      </c>
    </row>
    <row r="698" spans="1:7" x14ac:dyDescent="0.25">
      <c r="A698" s="31">
        <v>45575</v>
      </c>
      <c r="B698" s="32">
        <v>75001.93840026854</v>
      </c>
      <c r="C698" s="33">
        <f t="shared" si="43"/>
        <v>4.9633529294346168E-4</v>
      </c>
      <c r="D698" s="32">
        <f>MAX($B$2:B698)</f>
        <v>80887.322845458984</v>
      </c>
      <c r="E698" s="34">
        <f t="shared" si="40"/>
        <v>-7.2760282305731505E-2</v>
      </c>
      <c r="F698" s="35">
        <f t="shared" si="41"/>
        <v>115.35414608487295</v>
      </c>
      <c r="G698" s="36" t="str">
        <f t="shared" si="42"/>
        <v>2024-10</v>
      </c>
    </row>
    <row r="699" spans="1:7" x14ac:dyDescent="0.25">
      <c r="A699" s="37">
        <v>45576</v>
      </c>
      <c r="B699" s="38">
        <v>74474.700851440473</v>
      </c>
      <c r="C699" s="39">
        <f t="shared" si="43"/>
        <v>-7.0296523006421197E-3</v>
      </c>
      <c r="D699" s="38">
        <f>MAX($B$2:B699)</f>
        <v>80887.322845458984</v>
      </c>
      <c r="E699" s="40">
        <f t="shared" si="40"/>
        <v>-7.9278455120467828E-2</v>
      </c>
      <c r="F699" s="41">
        <f t="shared" si="41"/>
        <v>114.54324654645882</v>
      </c>
      <c r="G699" s="42" t="str">
        <f t="shared" si="42"/>
        <v>2024-10</v>
      </c>
    </row>
    <row r="700" spans="1:7" x14ac:dyDescent="0.25">
      <c r="A700" s="31">
        <v>45579</v>
      </c>
      <c r="B700" s="32">
        <v>75245.408325195298</v>
      </c>
      <c r="C700" s="33">
        <f t="shared" si="43"/>
        <v>1.0348580993862599E-2</v>
      </c>
      <c r="D700" s="32">
        <f>MAX($B$2:B700)</f>
        <v>80887.322845458984</v>
      </c>
      <c r="E700" s="34">
        <f t="shared" si="40"/>
        <v>-6.9750293640487571E-2</v>
      </c>
      <c r="F700" s="35">
        <f t="shared" si="41"/>
        <v>115.72860661064483</v>
      </c>
      <c r="G700" s="36" t="str">
        <f t="shared" si="42"/>
        <v>2024-10</v>
      </c>
    </row>
    <row r="701" spans="1:7" x14ac:dyDescent="0.25">
      <c r="A701" s="37">
        <v>45580</v>
      </c>
      <c r="B701" s="38">
        <v>74649.434356689497</v>
      </c>
      <c r="C701" s="39">
        <f t="shared" si="43"/>
        <v>-7.9204031418119714E-3</v>
      </c>
      <c r="D701" s="38">
        <f>MAX($B$2:B701)</f>
        <v>80887.322845458984</v>
      </c>
      <c r="E701" s="40">
        <f t="shared" si="40"/>
        <v>-7.7118246337407159E-2</v>
      </c>
      <c r="F701" s="41">
        <f t="shared" si="41"/>
        <v>114.81198939124837</v>
      </c>
      <c r="G701" s="42" t="str">
        <f t="shared" si="42"/>
        <v>2024-10</v>
      </c>
    </row>
    <row r="702" spans="1:7" x14ac:dyDescent="0.25">
      <c r="A702" s="31">
        <v>45581</v>
      </c>
      <c r="B702" s="32">
        <v>74898.291778564453</v>
      </c>
      <c r="C702" s="33">
        <f t="shared" si="43"/>
        <v>3.3336812799660276E-3</v>
      </c>
      <c r="D702" s="32">
        <f>MAX($B$2:B702)</f>
        <v>80887.322845458984</v>
      </c>
      <c r="E702" s="34">
        <f t="shared" si="40"/>
        <v>-7.4041652711599903E-2</v>
      </c>
      <c r="F702" s="35">
        <f t="shared" si="41"/>
        <v>115.19473597099763</v>
      </c>
      <c r="G702" s="36" t="str">
        <f t="shared" si="42"/>
        <v>2024-10</v>
      </c>
    </row>
    <row r="703" spans="1:7" x14ac:dyDescent="0.25">
      <c r="A703" s="37">
        <v>45582</v>
      </c>
      <c r="B703" s="38">
        <v>75977.404022216768</v>
      </c>
      <c r="C703" s="39">
        <f t="shared" si="43"/>
        <v>1.4407701671524054E-2</v>
      </c>
      <c r="D703" s="38">
        <f>MAX($B$2:B703)</f>
        <v>80887.322845458984</v>
      </c>
      <c r="E703" s="40">
        <f t="shared" si="40"/>
        <v>-6.0700721083611131E-2</v>
      </c>
      <c r="F703" s="41">
        <f t="shared" si="41"/>
        <v>116.85442736099773</v>
      </c>
      <c r="G703" s="42" t="str">
        <f t="shared" si="42"/>
        <v>2024-10</v>
      </c>
    </row>
    <row r="704" spans="1:7" x14ac:dyDescent="0.25">
      <c r="A704" s="31">
        <v>45583</v>
      </c>
      <c r="B704" s="32">
        <v>76042.307739257813</v>
      </c>
      <c r="C704" s="33">
        <f t="shared" si="43"/>
        <v>8.5425025869612092E-4</v>
      </c>
      <c r="D704" s="32">
        <f>MAX($B$2:B704)</f>
        <v>80887.322845458984</v>
      </c>
      <c r="E704" s="34">
        <f t="shared" si="40"/>
        <v>-5.98983244316037E-2</v>
      </c>
      <c r="F704" s="35">
        <f t="shared" si="41"/>
        <v>116.95425028580067</v>
      </c>
      <c r="G704" s="36" t="str">
        <f t="shared" si="42"/>
        <v>2024-10</v>
      </c>
    </row>
    <row r="705" spans="1:7" x14ac:dyDescent="0.25">
      <c r="A705" s="37">
        <v>45586</v>
      </c>
      <c r="B705" s="38">
        <v>76373.497161865249</v>
      </c>
      <c r="C705" s="39">
        <f t="shared" si="43"/>
        <v>4.3553310315496141E-3</v>
      </c>
      <c r="D705" s="38">
        <f>MAX($B$2:B705)</f>
        <v>80887.322845458984</v>
      </c>
      <c r="E705" s="40">
        <f t="shared" si="40"/>
        <v>-5.580387043118884E-2</v>
      </c>
      <c r="F705" s="41">
        <f t="shared" si="41"/>
        <v>117.46362476134205</v>
      </c>
      <c r="G705" s="42" t="str">
        <f t="shared" si="42"/>
        <v>2024-10</v>
      </c>
    </row>
    <row r="706" spans="1:7" x14ac:dyDescent="0.25">
      <c r="A706" s="31">
        <v>45587</v>
      </c>
      <c r="B706" s="32">
        <v>76489.811401367129</v>
      </c>
      <c r="C706" s="33">
        <f t="shared" si="43"/>
        <v>1.5229660003046597E-3</v>
      </c>
      <c r="D706" s="32">
        <f>MAX($B$2:B706)</f>
        <v>80887.322845458984</v>
      </c>
      <c r="E706" s="34">
        <f t="shared" ref="E706:E769" si="44">B706/D706-1</f>
        <v>-5.4365891828236368E-2</v>
      </c>
      <c r="F706" s="35">
        <f t="shared" ref="F706:F769" si="45">B706/$B$2*100</f>
        <v>117.64251786812609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75404.961395263672</v>
      </c>
      <c r="C707" s="39">
        <f t="shared" ref="C707:C770" si="47">B707/B706-1</f>
        <v>-1.4182934775598954E-2</v>
      </c>
      <c r="D707" s="38">
        <f>MAX($B$2:B707)</f>
        <v>80887.322845458984</v>
      </c>
      <c r="E707" s="40">
        <f t="shared" si="44"/>
        <v>-6.777775870601821E-2</v>
      </c>
      <c r="F707" s="41">
        <f t="shared" si="45"/>
        <v>115.97400171036523</v>
      </c>
      <c r="G707" s="42" t="str">
        <f t="shared" si="46"/>
        <v>2024-10</v>
      </c>
    </row>
    <row r="708" spans="1:7" x14ac:dyDescent="0.25">
      <c r="A708" s="31">
        <v>45589</v>
      </c>
      <c r="B708" s="32">
        <v>77552.123031616225</v>
      </c>
      <c r="C708" s="33">
        <f t="shared" si="47"/>
        <v>2.8475071091110138E-2</v>
      </c>
      <c r="D708" s="32">
        <f>MAX($B$2:B708)</f>
        <v>80887.322845458984</v>
      </c>
      <c r="E708" s="34">
        <f t="shared" si="44"/>
        <v>-4.1232664112457962E-2</v>
      </c>
      <c r="F708" s="35">
        <f t="shared" si="45"/>
        <v>119.27636965378842</v>
      </c>
      <c r="G708" s="36" t="str">
        <f t="shared" si="46"/>
        <v>2024-10</v>
      </c>
    </row>
    <row r="709" spans="1:7" x14ac:dyDescent="0.25">
      <c r="A709" s="37">
        <v>45590</v>
      </c>
      <c r="B709" s="38">
        <v>78643.552856445298</v>
      </c>
      <c r="C709" s="39">
        <f t="shared" si="47"/>
        <v>1.4073500275216366E-2</v>
      </c>
      <c r="D709" s="38">
        <f>MAX($B$2:B709)</f>
        <v>80887.322845458984</v>
      </c>
      <c r="E709" s="40">
        <f t="shared" si="44"/>
        <v>-2.7739451746976118E-2</v>
      </c>
      <c r="F709" s="41">
        <f t="shared" si="45"/>
        <v>120.95500567493782</v>
      </c>
      <c r="G709" s="42" t="str">
        <f t="shared" si="46"/>
        <v>2024-10</v>
      </c>
    </row>
    <row r="710" spans="1:7" x14ac:dyDescent="0.25">
      <c r="A710" s="31">
        <v>45593</v>
      </c>
      <c r="B710" s="32">
        <v>77949.875946044893</v>
      </c>
      <c r="C710" s="33">
        <f t="shared" si="47"/>
        <v>-8.8205184685212767E-3</v>
      </c>
      <c r="D710" s="32">
        <f>MAX($B$2:B710)</f>
        <v>80887.322845458984</v>
      </c>
      <c r="E710" s="34">
        <f t="shared" si="44"/>
        <v>-3.631529386905652E-2</v>
      </c>
      <c r="F710" s="35">
        <f t="shared" si="45"/>
        <v>119.88811981352194</v>
      </c>
      <c r="G710" s="36" t="str">
        <f t="shared" si="46"/>
        <v>2024-10</v>
      </c>
    </row>
    <row r="711" spans="1:7" x14ac:dyDescent="0.25">
      <c r="A711" s="37">
        <v>45594</v>
      </c>
      <c r="B711" s="38">
        <v>78460.330429077134</v>
      </c>
      <c r="C711" s="39">
        <f t="shared" si="47"/>
        <v>6.5484964130739787E-3</v>
      </c>
      <c r="D711" s="38">
        <f>MAX($B$2:B711)</f>
        <v>80887.322845458984</v>
      </c>
      <c r="E711" s="40">
        <f t="shared" si="44"/>
        <v>-3.0004608027623725E-2</v>
      </c>
      <c r="F711" s="41">
        <f t="shared" si="45"/>
        <v>120.67320673609099</v>
      </c>
      <c r="G711" s="42" t="str">
        <f t="shared" si="46"/>
        <v>2024-10</v>
      </c>
    </row>
    <row r="712" spans="1:7" x14ac:dyDescent="0.25">
      <c r="A712" s="31">
        <v>45595</v>
      </c>
      <c r="B712" s="32">
        <v>78028.66798400876</v>
      </c>
      <c r="C712" s="33">
        <f t="shared" si="47"/>
        <v>-5.5016648885842789E-3</v>
      </c>
      <c r="D712" s="32">
        <f>MAX($B$2:B712)</f>
        <v>80887.322845458984</v>
      </c>
      <c r="E712" s="34">
        <f t="shared" si="44"/>
        <v>-3.5341197617726694E-2</v>
      </c>
      <c r="F712" s="35">
        <f t="shared" si="45"/>
        <v>120.00930319159818</v>
      </c>
      <c r="G712" s="36" t="str">
        <f t="shared" si="46"/>
        <v>2024-10</v>
      </c>
    </row>
    <row r="713" spans="1:7" x14ac:dyDescent="0.25">
      <c r="A713" s="37">
        <v>45596</v>
      </c>
      <c r="B713" s="38">
        <v>74998.922882080165</v>
      </c>
      <c r="C713" s="39">
        <f t="shared" si="47"/>
        <v>-3.8828614920730309E-2</v>
      </c>
      <c r="D713" s="38">
        <f>MAX($B$2:B713)</f>
        <v>80887.322845458984</v>
      </c>
      <c r="E713" s="40">
        <f t="shared" si="44"/>
        <v>-7.2797562785320902E-2</v>
      </c>
      <c r="F713" s="41">
        <f t="shared" si="45"/>
        <v>115.34950817106642</v>
      </c>
      <c r="G713" s="42" t="str">
        <f t="shared" si="46"/>
        <v>2024-10</v>
      </c>
    </row>
    <row r="714" spans="1:7" x14ac:dyDescent="0.25">
      <c r="A714" s="31">
        <v>45597</v>
      </c>
      <c r="B714" s="32">
        <v>75594.950866699204</v>
      </c>
      <c r="C714" s="33">
        <f t="shared" si="47"/>
        <v>7.947153928546058E-3</v>
      </c>
      <c r="D714" s="32">
        <f>MAX($B$2:B714)</f>
        <v>80887.322845458984</v>
      </c>
      <c r="E714" s="34">
        <f t="shared" si="44"/>
        <v>-6.5428942293852876E-2</v>
      </c>
      <c r="F714" s="35">
        <f t="shared" si="45"/>
        <v>116.26620846808396</v>
      </c>
      <c r="G714" s="36" t="str">
        <f t="shared" si="46"/>
        <v>2024-11</v>
      </c>
    </row>
    <row r="715" spans="1:7" x14ac:dyDescent="0.25">
      <c r="A715" s="37">
        <v>45600</v>
      </c>
      <c r="B715" s="38">
        <v>75119.147109985381</v>
      </c>
      <c r="C715" s="39">
        <f t="shared" si="47"/>
        <v>-6.2941208540876481E-3</v>
      </c>
      <c r="D715" s="38">
        <f>MAX($B$2:B715)</f>
        <v>80887.322845458984</v>
      </c>
      <c r="E715" s="40">
        <f t="shared" si="44"/>
        <v>-7.1311245477787888E-2</v>
      </c>
      <c r="F715" s="41">
        <f t="shared" si="45"/>
        <v>115.53441490073928</v>
      </c>
      <c r="G715" s="42" t="str">
        <f t="shared" si="46"/>
        <v>2024-11</v>
      </c>
    </row>
    <row r="716" spans="1:7" x14ac:dyDescent="0.25">
      <c r="A716" s="31">
        <v>45601</v>
      </c>
      <c r="B716" s="32">
        <v>76458.840026855454</v>
      </c>
      <c r="C716" s="33">
        <f t="shared" si="47"/>
        <v>1.7834240249141375E-2</v>
      </c>
      <c r="D716" s="32">
        <f>MAX($B$2:B716)</f>
        <v>80887.322845458984</v>
      </c>
      <c r="E716" s="34">
        <f t="shared" si="44"/>
        <v>-5.4748787112962827E-2</v>
      </c>
      <c r="F716" s="35">
        <f t="shared" si="45"/>
        <v>117.59488341312306</v>
      </c>
      <c r="G716" s="36" t="str">
        <f t="shared" si="46"/>
        <v>2024-11</v>
      </c>
    </row>
    <row r="717" spans="1:7" x14ac:dyDescent="0.25">
      <c r="A717" s="37">
        <v>45602</v>
      </c>
      <c r="B717" s="38">
        <v>79683.778839111328</v>
      </c>
      <c r="C717" s="39">
        <f t="shared" si="47"/>
        <v>4.217875671568061E-2</v>
      </c>
      <c r="D717" s="38">
        <f>MAX($B$2:B717)</f>
        <v>80887.322845458984</v>
      </c>
      <c r="E717" s="40">
        <f t="shared" si="44"/>
        <v>-1.4879266169398497E-2</v>
      </c>
      <c r="F717" s="41">
        <f t="shared" si="45"/>
        <v>122.55488939161398</v>
      </c>
      <c r="G717" s="42" t="str">
        <f t="shared" si="46"/>
        <v>2024-11</v>
      </c>
    </row>
    <row r="718" spans="1:7" x14ac:dyDescent="0.25">
      <c r="A718" s="31">
        <v>45603</v>
      </c>
      <c r="B718" s="32">
        <v>81402.80487060544</v>
      </c>
      <c r="C718" s="33">
        <f t="shared" si="47"/>
        <v>2.157309877290059E-2</v>
      </c>
      <c r="D718" s="32">
        <f>MAX($B$2:B718)</f>
        <v>81402.80487060544</v>
      </c>
      <c r="E718" s="34">
        <f t="shared" si="44"/>
        <v>0</v>
      </c>
      <c r="F718" s="35">
        <f t="shared" si="45"/>
        <v>125.19877812556118</v>
      </c>
      <c r="G718" s="36" t="str">
        <f t="shared" si="46"/>
        <v>2024-11</v>
      </c>
    </row>
    <row r="719" spans="1:7" x14ac:dyDescent="0.25">
      <c r="A719" s="37">
        <v>45604</v>
      </c>
      <c r="B719" s="38">
        <v>82199.510574340762</v>
      </c>
      <c r="C719" s="39">
        <f t="shared" si="47"/>
        <v>9.7872021117912933E-3</v>
      </c>
      <c r="D719" s="38">
        <f>MAX($B$2:B719)</f>
        <v>82199.510574340762</v>
      </c>
      <c r="E719" s="40">
        <f t="shared" si="44"/>
        <v>0</v>
      </c>
      <c r="F719" s="41">
        <f t="shared" si="45"/>
        <v>126.42412387122535</v>
      </c>
      <c r="G719" s="42" t="str">
        <f t="shared" si="46"/>
        <v>2024-11</v>
      </c>
    </row>
    <row r="720" spans="1:7" x14ac:dyDescent="0.25">
      <c r="A720" s="31">
        <v>45607</v>
      </c>
      <c r="B720" s="32">
        <v>82730.816345214887</v>
      </c>
      <c r="C720" s="33">
        <f t="shared" si="47"/>
        <v>6.4636123398036371E-3</v>
      </c>
      <c r="D720" s="32">
        <f>MAX($B$2:B720)</f>
        <v>82730.816345214887</v>
      </c>
      <c r="E720" s="34">
        <f t="shared" si="44"/>
        <v>0</v>
      </c>
      <c r="F720" s="35">
        <f t="shared" si="45"/>
        <v>127.24128039832827</v>
      </c>
      <c r="G720" s="36" t="str">
        <f t="shared" si="46"/>
        <v>2024-11</v>
      </c>
    </row>
    <row r="721" spans="1:7" x14ac:dyDescent="0.25">
      <c r="A721" s="37">
        <v>45608</v>
      </c>
      <c r="B721" s="38">
        <v>81930.642318725586</v>
      </c>
      <c r="C721" s="39">
        <f t="shared" si="47"/>
        <v>-9.672018986859432E-3</v>
      </c>
      <c r="D721" s="38">
        <f>MAX($B$2:B721)</f>
        <v>82730.816345214887</v>
      </c>
      <c r="E721" s="40">
        <f t="shared" si="44"/>
        <v>-9.672018986859432E-3</v>
      </c>
      <c r="F721" s="41">
        <f t="shared" si="45"/>
        <v>126.01060031840332</v>
      </c>
      <c r="G721" s="42" t="str">
        <f t="shared" si="46"/>
        <v>2024-11</v>
      </c>
    </row>
    <row r="722" spans="1:7" x14ac:dyDescent="0.25">
      <c r="A722" s="31">
        <v>45609</v>
      </c>
      <c r="B722" s="32">
        <v>81579.049377441392</v>
      </c>
      <c r="C722" s="33">
        <f t="shared" si="47"/>
        <v>-4.2913485276537822E-3</v>
      </c>
      <c r="D722" s="32">
        <f>MAX($B$2:B722)</f>
        <v>82730.816345214887</v>
      </c>
      <c r="E722" s="34">
        <f t="shared" si="44"/>
        <v>-1.3921861510074574E-2</v>
      </c>
      <c r="F722" s="35">
        <f t="shared" si="45"/>
        <v>125.46984491425816</v>
      </c>
      <c r="G722" s="36" t="str">
        <f t="shared" si="46"/>
        <v>2024-11</v>
      </c>
    </row>
    <row r="723" spans="1:7" x14ac:dyDescent="0.25">
      <c r="A723" s="37">
        <v>45610</v>
      </c>
      <c r="B723" s="38">
        <v>80898.309631347671</v>
      </c>
      <c r="C723" s="39">
        <f t="shared" si="47"/>
        <v>-8.3445412920190032E-3</v>
      </c>
      <c r="D723" s="38">
        <f>MAX($B$2:B723)</f>
        <v>82730.816345214887</v>
      </c>
      <c r="E723" s="40">
        <f t="shared" si="44"/>
        <v>-2.2150231253861064E-2</v>
      </c>
      <c r="F723" s="41">
        <f t="shared" si="45"/>
        <v>124.42285661246792</v>
      </c>
      <c r="G723" s="42" t="str">
        <f t="shared" si="46"/>
        <v>2024-11</v>
      </c>
    </row>
    <row r="724" spans="1:7" x14ac:dyDescent="0.25">
      <c r="A724" s="31">
        <v>45611</v>
      </c>
      <c r="B724" s="32">
        <v>79815.317611694336</v>
      </c>
      <c r="C724" s="33">
        <f t="shared" si="47"/>
        <v>-1.3387078476528314E-2</v>
      </c>
      <c r="D724" s="32">
        <f>MAX($B$2:B724)</f>
        <v>82730.816345214887</v>
      </c>
      <c r="E724" s="34">
        <f t="shared" si="44"/>
        <v>-3.5240782846320595E-2</v>
      </c>
      <c r="F724" s="35">
        <f t="shared" si="45"/>
        <v>122.75719806672298</v>
      </c>
      <c r="G724" s="36" t="str">
        <f t="shared" si="46"/>
        <v>2024-11</v>
      </c>
    </row>
    <row r="725" spans="1:7" x14ac:dyDescent="0.25">
      <c r="A725" s="37">
        <v>45614</v>
      </c>
      <c r="B725" s="38">
        <v>81155.401000976592</v>
      </c>
      <c r="C725" s="39">
        <f t="shared" si="47"/>
        <v>1.6789802125474651E-2</v>
      </c>
      <c r="D725" s="38">
        <f>MAX($B$2:B725)</f>
        <v>82730.816345214887</v>
      </c>
      <c r="E725" s="40">
        <f t="shared" si="44"/>
        <v>-1.9042666491582594E-2</v>
      </c>
      <c r="F725" s="41">
        <f t="shared" si="45"/>
        <v>124.81826713174095</v>
      </c>
      <c r="G725" s="42" t="str">
        <f t="shared" si="46"/>
        <v>2024-11</v>
      </c>
    </row>
    <row r="726" spans="1:7" x14ac:dyDescent="0.25">
      <c r="A726" s="31">
        <v>45615</v>
      </c>
      <c r="B726" s="32">
        <v>82251.346511840908</v>
      </c>
      <c r="C726" s="33">
        <f t="shared" si="47"/>
        <v>1.3504283108047632E-2</v>
      </c>
      <c r="D726" s="32">
        <f>MAX($B$2:B726)</f>
        <v>82730.816345214887</v>
      </c>
      <c r="E726" s="34">
        <f t="shared" si="44"/>
        <v>-5.7955409429694127E-3</v>
      </c>
      <c r="F726" s="35">
        <f t="shared" si="45"/>
        <v>126.5038483481439</v>
      </c>
      <c r="G726" s="36" t="str">
        <f t="shared" si="46"/>
        <v>2024-11</v>
      </c>
    </row>
    <row r="727" spans="1:7" x14ac:dyDescent="0.25">
      <c r="A727" s="37">
        <v>45616</v>
      </c>
      <c r="B727" s="38">
        <v>81864.816436767578</v>
      </c>
      <c r="C727" s="39">
        <f t="shared" si="47"/>
        <v>-4.6993768669512104E-3</v>
      </c>
      <c r="D727" s="38">
        <f>MAX($B$2:B727)</f>
        <v>82730.816345214887</v>
      </c>
      <c r="E727" s="40">
        <f t="shared" si="44"/>
        <v>-1.0467682378881737E-2</v>
      </c>
      <c r="F727" s="41">
        <f t="shared" si="45"/>
        <v>125.90935908963634</v>
      </c>
      <c r="G727" s="42" t="str">
        <f t="shared" si="46"/>
        <v>2024-11</v>
      </c>
    </row>
    <row r="728" spans="1:7" x14ac:dyDescent="0.25">
      <c r="A728" s="31">
        <v>45617</v>
      </c>
      <c r="B728" s="32">
        <v>81521.955490112348</v>
      </c>
      <c r="C728" s="33">
        <f t="shared" si="47"/>
        <v>-4.1881355334139059E-3</v>
      </c>
      <c r="D728" s="32">
        <f>MAX($B$2:B728)</f>
        <v>82730.816345214887</v>
      </c>
      <c r="E728" s="34">
        <f t="shared" si="44"/>
        <v>-1.4611977839772194E-2</v>
      </c>
      <c r="F728" s="35">
        <f t="shared" si="45"/>
        <v>125.38203362884366</v>
      </c>
      <c r="G728" s="36" t="str">
        <f t="shared" si="46"/>
        <v>2024-11</v>
      </c>
    </row>
    <row r="729" spans="1:7" x14ac:dyDescent="0.25">
      <c r="A729" s="37">
        <v>45618</v>
      </c>
      <c r="B729" s="38">
        <v>82031.448822021513</v>
      </c>
      <c r="C729" s="39">
        <f t="shared" si="47"/>
        <v>6.2497682844588898E-3</v>
      </c>
      <c r="D729" s="38">
        <f>MAX($B$2:B729)</f>
        <v>82730.816345214887</v>
      </c>
      <c r="E729" s="40">
        <f t="shared" si="44"/>
        <v>-8.4535310309895584E-3</v>
      </c>
      <c r="F729" s="41">
        <f t="shared" si="45"/>
        <v>126.16564228605816</v>
      </c>
      <c r="G729" s="42" t="str">
        <f t="shared" si="46"/>
        <v>2024-11</v>
      </c>
    </row>
    <row r="730" spans="1:7" x14ac:dyDescent="0.25">
      <c r="A730" s="31">
        <v>45621</v>
      </c>
      <c r="B730" s="32">
        <v>81486.929092407256</v>
      </c>
      <c r="C730" s="33">
        <f t="shared" si="47"/>
        <v>-6.6379387105020005E-3</v>
      </c>
      <c r="D730" s="32">
        <f>MAX($B$2:B730)</f>
        <v>82730.816345214887</v>
      </c>
      <c r="E730" s="34">
        <f t="shared" si="44"/>
        <v>-1.5035355720620536E-2</v>
      </c>
      <c r="F730" s="35">
        <f t="shared" si="45"/>
        <v>125.32816248519218</v>
      </c>
      <c r="G730" s="36" t="str">
        <f t="shared" si="46"/>
        <v>2024-11</v>
      </c>
    </row>
    <row r="731" spans="1:7" x14ac:dyDescent="0.25">
      <c r="A731" s="37">
        <v>45622</v>
      </c>
      <c r="B731" s="38">
        <v>81965.530853271499</v>
      </c>
      <c r="C731" s="39">
        <f t="shared" si="47"/>
        <v>5.8733562081043633E-3</v>
      </c>
      <c r="D731" s="38">
        <f>MAX($B$2:B731)</f>
        <v>82730.816345214887</v>
      </c>
      <c r="E731" s="40">
        <f t="shared" si="44"/>
        <v>-9.2503075123789857E-3</v>
      </c>
      <c r="F731" s="41">
        <f t="shared" si="45"/>
        <v>126.06425942637489</v>
      </c>
      <c r="G731" s="42" t="str">
        <f t="shared" si="46"/>
        <v>2024-11</v>
      </c>
    </row>
    <row r="732" spans="1:7" x14ac:dyDescent="0.25">
      <c r="A732" s="31">
        <v>45623</v>
      </c>
      <c r="B732" s="32">
        <v>81193.670730590835</v>
      </c>
      <c r="C732" s="33">
        <f t="shared" si="47"/>
        <v>-9.4168867650279431E-3</v>
      </c>
      <c r="D732" s="32">
        <f>MAX($B$2:B732)</f>
        <v>82730.816345214887</v>
      </c>
      <c r="E732" s="34">
        <f t="shared" si="44"/>
        <v>-1.8580085179021211E-2</v>
      </c>
      <c r="F732" s="35">
        <f t="shared" si="45"/>
        <v>124.87712657023961</v>
      </c>
      <c r="G732" s="36" t="str">
        <f t="shared" si="46"/>
        <v>2024-11</v>
      </c>
    </row>
    <row r="733" spans="1:7" x14ac:dyDescent="0.25">
      <c r="A733" s="37">
        <v>45625</v>
      </c>
      <c r="B733" s="38">
        <v>82275.522537231387</v>
      </c>
      <c r="C733" s="39">
        <f t="shared" si="47"/>
        <v>1.3324336698980588E-2</v>
      </c>
      <c r="D733" s="38">
        <f>MAX($B$2:B733)</f>
        <v>82730.816345214887</v>
      </c>
      <c r="E733" s="40">
        <f t="shared" si="44"/>
        <v>-5.5033157908617181E-3</v>
      </c>
      <c r="F733" s="41">
        <f t="shared" si="45"/>
        <v>126.54103145066269</v>
      </c>
      <c r="G733" s="42" t="str">
        <f t="shared" si="46"/>
        <v>2024-11</v>
      </c>
    </row>
    <row r="734" spans="1:7" x14ac:dyDescent="0.25">
      <c r="A734" s="31">
        <v>45628</v>
      </c>
      <c r="B734" s="32">
        <v>83990.770492553725</v>
      </c>
      <c r="C734" s="33">
        <f t="shared" si="47"/>
        <v>2.0847609379158305E-2</v>
      </c>
      <c r="D734" s="32">
        <f>MAX($B$2:B734)</f>
        <v>83990.770492553725</v>
      </c>
      <c r="E734" s="34">
        <f t="shared" si="44"/>
        <v>0</v>
      </c>
      <c r="F734" s="35">
        <f t="shared" si="45"/>
        <v>129.17910944478191</v>
      </c>
      <c r="G734" s="36" t="str">
        <f t="shared" si="46"/>
        <v>2024-12</v>
      </c>
    </row>
    <row r="735" spans="1:7" x14ac:dyDescent="0.25">
      <c r="A735" s="37">
        <v>45629</v>
      </c>
      <c r="B735" s="38">
        <v>84459.399719238325</v>
      </c>
      <c r="C735" s="39">
        <f t="shared" si="47"/>
        <v>5.57953241691167E-3</v>
      </c>
      <c r="D735" s="38">
        <f>MAX($B$2:B735)</f>
        <v>84459.399719238325</v>
      </c>
      <c r="E735" s="40">
        <f t="shared" si="44"/>
        <v>0</v>
      </c>
      <c r="F735" s="41">
        <f t="shared" si="45"/>
        <v>129.89986847351685</v>
      </c>
      <c r="G735" s="42" t="str">
        <f t="shared" si="46"/>
        <v>2024-12</v>
      </c>
    </row>
    <row r="736" spans="1:7" x14ac:dyDescent="0.25">
      <c r="A736" s="31">
        <v>45630</v>
      </c>
      <c r="B736" s="32">
        <v>85849.697952270479</v>
      </c>
      <c r="C736" s="33">
        <f t="shared" si="47"/>
        <v>1.6461142722465683E-2</v>
      </c>
      <c r="D736" s="32">
        <f>MAX($B$2:B736)</f>
        <v>85849.697952270479</v>
      </c>
      <c r="E736" s="34">
        <f t="shared" si="44"/>
        <v>0</v>
      </c>
      <c r="F736" s="35">
        <f t="shared" si="45"/>
        <v>132.03816874808891</v>
      </c>
      <c r="G736" s="36" t="str">
        <f t="shared" si="46"/>
        <v>2024-12</v>
      </c>
    </row>
    <row r="737" spans="1:7" x14ac:dyDescent="0.25">
      <c r="A737" s="37">
        <v>45631</v>
      </c>
      <c r="B737" s="38">
        <v>86600.434265136762</v>
      </c>
      <c r="C737" s="39">
        <f t="shared" si="47"/>
        <v>8.744775238273661E-3</v>
      </c>
      <c r="D737" s="38">
        <f>MAX($B$2:B737)</f>
        <v>86600.434265136762</v>
      </c>
      <c r="E737" s="40">
        <f t="shared" si="44"/>
        <v>0</v>
      </c>
      <c r="F737" s="41">
        <f t="shared" si="45"/>
        <v>133.1928128566642</v>
      </c>
      <c r="G737" s="42" t="str">
        <f t="shared" si="46"/>
        <v>2024-12</v>
      </c>
    </row>
    <row r="738" spans="1:7" x14ac:dyDescent="0.25">
      <c r="A738" s="31">
        <v>45632</v>
      </c>
      <c r="B738" s="32">
        <v>87812.555694580093</v>
      </c>
      <c r="C738" s="33">
        <f t="shared" si="47"/>
        <v>1.3996713061880106E-2</v>
      </c>
      <c r="D738" s="32">
        <f>MAX($B$2:B738)</f>
        <v>87812.555694580093</v>
      </c>
      <c r="E738" s="34">
        <f t="shared" si="44"/>
        <v>0</v>
      </c>
      <c r="F738" s="35">
        <f t="shared" si="45"/>
        <v>135.05707444012361</v>
      </c>
      <c r="G738" s="36" t="str">
        <f t="shared" si="46"/>
        <v>2024-12</v>
      </c>
    </row>
    <row r="739" spans="1:7" x14ac:dyDescent="0.25">
      <c r="A739" s="37">
        <v>45635</v>
      </c>
      <c r="B739" s="38">
        <v>87676.749038696333</v>
      </c>
      <c r="C739" s="39">
        <f t="shared" si="47"/>
        <v>-1.5465516839767712E-3</v>
      </c>
      <c r="D739" s="38">
        <f>MAX($B$2:B739)</f>
        <v>87812.555694580093</v>
      </c>
      <c r="E739" s="40">
        <f t="shared" si="44"/>
        <v>-1.5465516839767712E-3</v>
      </c>
      <c r="F739" s="41">
        <f t="shared" si="45"/>
        <v>134.84820169421528</v>
      </c>
      <c r="G739" s="42" t="str">
        <f t="shared" si="46"/>
        <v>2024-12</v>
      </c>
    </row>
    <row r="740" spans="1:7" x14ac:dyDescent="0.25">
      <c r="A740" s="31">
        <v>45636</v>
      </c>
      <c r="B740" s="32">
        <v>87506.848220825224</v>
      </c>
      <c r="C740" s="33">
        <f t="shared" si="47"/>
        <v>-1.9378092793577162E-3</v>
      </c>
      <c r="D740" s="32">
        <f>MAX($B$2:B740)</f>
        <v>87812.555694580093</v>
      </c>
      <c r="E740" s="34">
        <f t="shared" si="44"/>
        <v>-3.4813640411303082E-3</v>
      </c>
      <c r="F740" s="35">
        <f t="shared" si="45"/>
        <v>134.58689159766749</v>
      </c>
      <c r="G740" s="36" t="str">
        <f t="shared" si="46"/>
        <v>2024-12</v>
      </c>
    </row>
    <row r="741" spans="1:7" x14ac:dyDescent="0.25">
      <c r="A741" s="37">
        <v>45637</v>
      </c>
      <c r="B741" s="38">
        <v>89788.025894165025</v>
      </c>
      <c r="C741" s="39">
        <f t="shared" si="47"/>
        <v>2.606856171511529E-2</v>
      </c>
      <c r="D741" s="38">
        <f>MAX($B$2:B741)</f>
        <v>89788.025894165025</v>
      </c>
      <c r="E741" s="40">
        <f t="shared" si="44"/>
        <v>0</v>
      </c>
      <c r="F741" s="41">
        <f t="shared" si="45"/>
        <v>138.09537828732684</v>
      </c>
      <c r="G741" s="42" t="str">
        <f t="shared" si="46"/>
        <v>2024-12</v>
      </c>
    </row>
    <row r="742" spans="1:7" x14ac:dyDescent="0.25">
      <c r="A742" s="31">
        <v>45638</v>
      </c>
      <c r="B742" s="32">
        <v>89172.112121582031</v>
      </c>
      <c r="C742" s="33">
        <f t="shared" si="47"/>
        <v>-6.8596426577969272E-3</v>
      </c>
      <c r="D742" s="32">
        <f>MAX($B$2:B742)</f>
        <v>89788.025894165025</v>
      </c>
      <c r="E742" s="34">
        <f t="shared" si="44"/>
        <v>-6.8596426577969272E-3</v>
      </c>
      <c r="F742" s="35">
        <f t="shared" si="45"/>
        <v>137.14809333958246</v>
      </c>
      <c r="G742" s="36" t="str">
        <f t="shared" si="46"/>
        <v>2024-12</v>
      </c>
    </row>
    <row r="743" spans="1:7" x14ac:dyDescent="0.25">
      <c r="A743" s="37">
        <v>45639</v>
      </c>
      <c r="B743" s="38">
        <v>90387.162857055708</v>
      </c>
      <c r="C743" s="39">
        <f t="shared" si="47"/>
        <v>1.3625905079123868E-2</v>
      </c>
      <c r="D743" s="38">
        <f>MAX($B$2:B743)</f>
        <v>90387.162857055708</v>
      </c>
      <c r="E743" s="40">
        <f t="shared" si="44"/>
        <v>0</v>
      </c>
      <c r="F743" s="41">
        <f t="shared" si="45"/>
        <v>139.01686024121045</v>
      </c>
      <c r="G743" s="42" t="str">
        <f t="shared" si="46"/>
        <v>2024-12</v>
      </c>
    </row>
    <row r="744" spans="1:7" x14ac:dyDescent="0.25">
      <c r="A744" s="31">
        <v>45642</v>
      </c>
      <c r="B744" s="32">
        <v>92762.561874389663</v>
      </c>
      <c r="C744" s="33">
        <f t="shared" si="47"/>
        <v>2.6280269700361902E-2</v>
      </c>
      <c r="D744" s="32">
        <f>MAX($B$2:B744)</f>
        <v>92762.561874389663</v>
      </c>
      <c r="E744" s="34">
        <f t="shared" si="44"/>
        <v>0</v>
      </c>
      <c r="F744" s="35">
        <f t="shared" si="45"/>
        <v>142.67026082124698</v>
      </c>
      <c r="G744" s="36" t="str">
        <f t="shared" si="46"/>
        <v>2024-12</v>
      </c>
    </row>
    <row r="745" spans="1:7" x14ac:dyDescent="0.25">
      <c r="A745" s="37">
        <v>45643</v>
      </c>
      <c r="B745" s="38">
        <v>93406.041564941435</v>
      </c>
      <c r="C745" s="39">
        <f t="shared" si="47"/>
        <v>6.9368469083801454E-3</v>
      </c>
      <c r="D745" s="38">
        <f>MAX($B$2:B745)</f>
        <v>93406.041564941435</v>
      </c>
      <c r="E745" s="40">
        <f t="shared" si="44"/>
        <v>0</v>
      </c>
      <c r="F745" s="41">
        <f t="shared" si="45"/>
        <v>143.6599425789426</v>
      </c>
      <c r="G745" s="42" t="str">
        <f t="shared" si="46"/>
        <v>2024-12</v>
      </c>
    </row>
    <row r="746" spans="1:7" x14ac:dyDescent="0.25">
      <c r="A746" s="31">
        <v>45644</v>
      </c>
      <c r="B746" s="32">
        <v>89156.041107177807</v>
      </c>
      <c r="C746" s="33">
        <f t="shared" si="47"/>
        <v>-4.5500273714187744E-2</v>
      </c>
      <c r="D746" s="32">
        <f>MAX($B$2:B746)</f>
        <v>93406.041564941435</v>
      </c>
      <c r="E746" s="34">
        <f t="shared" si="44"/>
        <v>-4.5500273714187744E-2</v>
      </c>
      <c r="F746" s="35">
        <f t="shared" si="45"/>
        <v>137.12337586983625</v>
      </c>
      <c r="G746" s="36" t="str">
        <f t="shared" si="46"/>
        <v>2024-12</v>
      </c>
    </row>
    <row r="747" spans="1:7" x14ac:dyDescent="0.25">
      <c r="A747" s="37">
        <v>45645</v>
      </c>
      <c r="B747" s="38">
        <v>88512.719268798799</v>
      </c>
      <c r="C747" s="39">
        <f t="shared" si="47"/>
        <v>-7.2156842137668376E-3</v>
      </c>
      <c r="D747" s="38">
        <f>MAX($B$2:B747)</f>
        <v>93406.041564941435</v>
      </c>
      <c r="E747" s="40">
        <f t="shared" si="44"/>
        <v>-5.2387642321192973E-2</v>
      </c>
      <c r="F747" s="41">
        <f t="shared" si="45"/>
        <v>136.13393689123384</v>
      </c>
      <c r="G747" s="42" t="str">
        <f t="shared" si="46"/>
        <v>2024-12</v>
      </c>
    </row>
    <row r="748" spans="1:7" x14ac:dyDescent="0.25">
      <c r="A748" s="31">
        <v>45646</v>
      </c>
      <c r="B748" s="32">
        <v>88817.106933593721</v>
      </c>
      <c r="C748" s="33">
        <f t="shared" si="47"/>
        <v>3.4389143990769533E-3</v>
      </c>
      <c r="D748" s="32">
        <f>MAX($B$2:B748)</f>
        <v>93406.041564941435</v>
      </c>
      <c r="E748" s="34">
        <f t="shared" si="44"/>
        <v>-4.9128884539628159E-2</v>
      </c>
      <c r="F748" s="35">
        <f t="shared" si="45"/>
        <v>136.60208984701214</v>
      </c>
      <c r="G748" s="36" t="str">
        <f t="shared" si="46"/>
        <v>2024-12</v>
      </c>
    </row>
    <row r="749" spans="1:7" x14ac:dyDescent="0.25">
      <c r="A749" s="37">
        <v>45649</v>
      </c>
      <c r="B749" s="38">
        <v>90069.661941528335</v>
      </c>
      <c r="C749" s="39">
        <f t="shared" si="47"/>
        <v>1.4102632377691826E-2</v>
      </c>
      <c r="D749" s="38">
        <f>MAX($B$2:B749)</f>
        <v>93406.041564941435</v>
      </c>
      <c r="E749" s="40">
        <f t="shared" si="44"/>
        <v>-3.5719098759724788E-2</v>
      </c>
      <c r="F749" s="41">
        <f t="shared" si="45"/>
        <v>138.52853890214897</v>
      </c>
      <c r="G749" s="42" t="str">
        <f t="shared" si="46"/>
        <v>2024-12</v>
      </c>
    </row>
    <row r="750" spans="1:7" x14ac:dyDescent="0.25">
      <c r="A750" s="31">
        <v>45650</v>
      </c>
      <c r="B750" s="32">
        <v>92123.19877624519</v>
      </c>
      <c r="C750" s="33">
        <f t="shared" si="47"/>
        <v>2.2799428691649526E-2</v>
      </c>
      <c r="D750" s="32">
        <f>MAX($B$2:B750)</f>
        <v>93406.041564941435</v>
      </c>
      <c r="E750" s="34">
        <f t="shared" si="44"/>
        <v>-1.3734045113177551E-2</v>
      </c>
      <c r="F750" s="35">
        <f t="shared" si="45"/>
        <v>141.68691044660693</v>
      </c>
      <c r="G750" s="36" t="str">
        <f t="shared" si="46"/>
        <v>2024-12</v>
      </c>
    </row>
    <row r="751" spans="1:7" x14ac:dyDescent="0.25">
      <c r="A751" s="37">
        <v>45652</v>
      </c>
      <c r="B751" s="38">
        <v>91573.819198608442</v>
      </c>
      <c r="C751" s="39">
        <f t="shared" si="47"/>
        <v>-5.9635312813128838E-3</v>
      </c>
      <c r="D751" s="38">
        <f>MAX($B$2:B751)</f>
        <v>93406.041564941435</v>
      </c>
      <c r="E751" s="40">
        <f t="shared" si="44"/>
        <v>-1.9615672986839083E-2</v>
      </c>
      <c r="F751" s="41">
        <f t="shared" si="45"/>
        <v>140.84195612400597</v>
      </c>
      <c r="G751" s="42" t="str">
        <f t="shared" si="46"/>
        <v>2024-12</v>
      </c>
    </row>
    <row r="752" spans="1:7" x14ac:dyDescent="0.25">
      <c r="A752" s="31">
        <v>45653</v>
      </c>
      <c r="B752" s="32">
        <v>89481.496734619068</v>
      </c>
      <c r="C752" s="33">
        <f t="shared" si="47"/>
        <v>-2.2848478771552272E-2</v>
      </c>
      <c r="D752" s="32">
        <f>MAX($B$2:B752)</f>
        <v>93406.041564941435</v>
      </c>
      <c r="E752" s="34">
        <f t="shared" si="44"/>
        <v>-4.2015963470561912E-2</v>
      </c>
      <c r="F752" s="35">
        <f t="shared" si="45"/>
        <v>137.62393167936273</v>
      </c>
      <c r="G752" s="36" t="str">
        <f t="shared" si="46"/>
        <v>2024-12</v>
      </c>
    </row>
    <row r="753" spans="1:7" x14ac:dyDescent="0.25">
      <c r="A753" s="37">
        <v>45656</v>
      </c>
      <c r="B753" s="38">
        <v>88056.475982665987</v>
      </c>
      <c r="C753" s="39">
        <f t="shared" si="47"/>
        <v>-1.5925311980189094E-2</v>
      </c>
      <c r="D753" s="38">
        <f>MAX($B$2:B753)</f>
        <v>93406.041564941435</v>
      </c>
      <c r="E753" s="40">
        <f t="shared" si="44"/>
        <v>-5.7272158124334061E-2</v>
      </c>
      <c r="F753" s="41">
        <f t="shared" si="45"/>
        <v>135.43222763142865</v>
      </c>
      <c r="G753" s="42" t="str">
        <f t="shared" si="46"/>
        <v>2024-12</v>
      </c>
    </row>
    <row r="754" spans="1:7" x14ac:dyDescent="0.25">
      <c r="A754" s="31">
        <v>45657</v>
      </c>
      <c r="B754" s="32">
        <v>86639.457626342817</v>
      </c>
      <c r="C754" s="33">
        <f t="shared" si="47"/>
        <v>-1.6092153819579513E-2</v>
      </c>
      <c r="D754" s="32">
        <f>MAX($B$2:B754)</f>
        <v>93406.041564941435</v>
      </c>
      <c r="E754" s="34">
        <f t="shared" si="44"/>
        <v>-7.244267956579753E-2</v>
      </c>
      <c r="F754" s="35">
        <f t="shared" si="45"/>
        <v>133.25283139225542</v>
      </c>
      <c r="G754" s="36" t="str">
        <f t="shared" si="46"/>
        <v>2024-12</v>
      </c>
    </row>
    <row r="755" spans="1:7" x14ac:dyDescent="0.25">
      <c r="A755" s="37">
        <v>45659</v>
      </c>
      <c r="B755" s="38">
        <v>85778.810119628935</v>
      </c>
      <c r="C755" s="39">
        <f t="shared" si="47"/>
        <v>-9.9336668337153267E-3</v>
      </c>
      <c r="D755" s="38">
        <f>MAX($B$2:B755)</f>
        <v>93406.041564941435</v>
      </c>
      <c r="E755" s="40">
        <f t="shared" si="44"/>
        <v>-8.1656724956164606E-2</v>
      </c>
      <c r="F755" s="41">
        <f t="shared" si="45"/>
        <v>131.9291421605555</v>
      </c>
      <c r="G755" s="42" t="str">
        <f t="shared" si="46"/>
        <v>2025-01</v>
      </c>
    </row>
    <row r="756" spans="1:7" x14ac:dyDescent="0.25">
      <c r="A756" s="31">
        <v>45660</v>
      </c>
      <c r="B756" s="32">
        <v>88482.742385864243</v>
      </c>
      <c r="C756" s="33">
        <f t="shared" si="47"/>
        <v>3.1522147048488325E-2</v>
      </c>
      <c r="D756" s="32">
        <f>MAX($B$2:B756)</f>
        <v>93406.041564941435</v>
      </c>
      <c r="E756" s="34">
        <f t="shared" si="44"/>
        <v>-5.2708573199242381E-2</v>
      </c>
      <c r="F756" s="35">
        <f t="shared" si="45"/>
        <v>136.08783197972147</v>
      </c>
      <c r="G756" s="36" t="str">
        <f t="shared" si="46"/>
        <v>2025-01</v>
      </c>
    </row>
    <row r="757" spans="1:7" x14ac:dyDescent="0.25">
      <c r="A757" s="37">
        <v>45663</v>
      </c>
      <c r="B757" s="38">
        <v>90411.464309692456</v>
      </c>
      <c r="C757" s="39">
        <f t="shared" si="47"/>
        <v>2.1797718649103848E-2</v>
      </c>
      <c r="D757" s="38">
        <f>MAX($B$2:B757)</f>
        <v>93406.041564941435</v>
      </c>
      <c r="E757" s="40">
        <f t="shared" si="44"/>
        <v>-3.2059781199131221E-2</v>
      </c>
      <c r="F757" s="41">
        <f t="shared" si="45"/>
        <v>139.05423625278198</v>
      </c>
      <c r="G757" s="42" t="str">
        <f t="shared" si="46"/>
        <v>2025-01</v>
      </c>
    </row>
    <row r="758" spans="1:7" x14ac:dyDescent="0.25">
      <c r="A758" s="31">
        <v>45664</v>
      </c>
      <c r="B758" s="32">
        <v>88070.42732238771</v>
      </c>
      <c r="C758" s="33">
        <f t="shared" si="47"/>
        <v>-2.5893143144832154E-2</v>
      </c>
      <c r="D758" s="32">
        <f>MAX($B$2:B758)</f>
        <v>93406.041564941435</v>
      </c>
      <c r="E758" s="34">
        <f t="shared" si="44"/>
        <v>-5.7122795840182206E-2</v>
      </c>
      <c r="F758" s="35">
        <f t="shared" si="45"/>
        <v>135.4536850085934</v>
      </c>
      <c r="G758" s="36" t="str">
        <f t="shared" si="46"/>
        <v>2025-01</v>
      </c>
    </row>
    <row r="759" spans="1:7" x14ac:dyDescent="0.25">
      <c r="A759" s="37">
        <v>45665</v>
      </c>
      <c r="B759" s="38">
        <v>87846.008682250962</v>
      </c>
      <c r="C759" s="39">
        <f t="shared" si="47"/>
        <v>-2.5481724905824787E-3</v>
      </c>
      <c r="D759" s="38">
        <f>MAX($B$2:B759)</f>
        <v>93406.041564941435</v>
      </c>
      <c r="E759" s="40">
        <f t="shared" si="44"/>
        <v>-5.9525409593819578E-2</v>
      </c>
      <c r="F759" s="41">
        <f t="shared" si="45"/>
        <v>135.10852565470645</v>
      </c>
      <c r="G759" s="42" t="str">
        <f t="shared" si="46"/>
        <v>2025-01</v>
      </c>
    </row>
    <row r="760" spans="1:7" x14ac:dyDescent="0.25">
      <c r="A760" s="31">
        <v>45667</v>
      </c>
      <c r="B760" s="32">
        <v>86900.876007080093</v>
      </c>
      <c r="C760" s="33">
        <f t="shared" si="47"/>
        <v>-1.0758971174086307E-2</v>
      </c>
      <c r="D760" s="32">
        <f>MAX($B$2:B760)</f>
        <v>93406.041564941435</v>
      </c>
      <c r="E760" s="34">
        <f t="shared" si="44"/>
        <v>-6.9643948601960215E-2</v>
      </c>
      <c r="F760" s="35">
        <f t="shared" si="45"/>
        <v>133.65489692181418</v>
      </c>
      <c r="G760" s="36" t="str">
        <f t="shared" si="46"/>
        <v>2025-01</v>
      </c>
    </row>
    <row r="761" spans="1:7" x14ac:dyDescent="0.25">
      <c r="A761" s="37">
        <v>45670</v>
      </c>
      <c r="B761" s="38">
        <v>86298.582458496094</v>
      </c>
      <c r="C761" s="39">
        <f t="shared" si="47"/>
        <v>-6.9308110143208035E-3</v>
      </c>
      <c r="D761" s="38">
        <f>MAX($B$2:B761)</f>
        <v>93406.041564941435</v>
      </c>
      <c r="E761" s="40">
        <f t="shared" si="44"/>
        <v>-7.6092070570229819E-2</v>
      </c>
      <c r="F761" s="41">
        <f t="shared" si="45"/>
        <v>132.72856009011056</v>
      </c>
      <c r="G761" s="42" t="str">
        <f t="shared" si="46"/>
        <v>2025-01</v>
      </c>
    </row>
    <row r="762" spans="1:7" x14ac:dyDescent="0.25">
      <c r="A762" s="31">
        <v>45671</v>
      </c>
      <c r="B762" s="32">
        <v>85987.695083618222</v>
      </c>
      <c r="C762" s="33">
        <f t="shared" si="47"/>
        <v>-3.6024621265058343E-3</v>
      </c>
      <c r="D762" s="32">
        <f>MAX($B$2:B762)</f>
        <v>93406.041564941435</v>
      </c>
      <c r="E762" s="34">
        <f t="shared" si="44"/>
        <v>-7.9420413894378927E-2</v>
      </c>
      <c r="F762" s="35">
        <f t="shared" si="45"/>
        <v>132.25041047928028</v>
      </c>
      <c r="G762" s="36" t="str">
        <f t="shared" si="46"/>
        <v>2025-01</v>
      </c>
    </row>
    <row r="763" spans="1:7" x14ac:dyDescent="0.25">
      <c r="A763" s="37">
        <v>45672</v>
      </c>
      <c r="B763" s="38">
        <v>89537.290954589873</v>
      </c>
      <c r="C763" s="39">
        <f t="shared" si="47"/>
        <v>4.1280276992188947E-2</v>
      </c>
      <c r="D763" s="38">
        <f>MAX($B$2:B763)</f>
        <v>93406.041564941435</v>
      </c>
      <c r="E763" s="40">
        <f t="shared" si="44"/>
        <v>-4.1418633586584153E-2</v>
      </c>
      <c r="F763" s="41">
        <f t="shared" si="45"/>
        <v>137.70974405619566</v>
      </c>
      <c r="G763" s="42" t="str">
        <f t="shared" si="46"/>
        <v>2025-01</v>
      </c>
    </row>
    <row r="764" spans="1:7" x14ac:dyDescent="0.25">
      <c r="A764" s="31">
        <v>45673</v>
      </c>
      <c r="B764" s="32">
        <v>88391.506500244112</v>
      </c>
      <c r="C764" s="33">
        <f t="shared" si="47"/>
        <v>-1.279672907377627E-2</v>
      </c>
      <c r="D764" s="32">
        <f>MAX($B$2:B764)</f>
        <v>93406.041564941435</v>
      </c>
      <c r="E764" s="34">
        <f t="shared" si="44"/>
        <v>-5.3685339627746909E-2</v>
      </c>
      <c r="F764" s="35">
        <f t="shared" si="45"/>
        <v>135.94750977068946</v>
      </c>
      <c r="G764" s="36" t="str">
        <f t="shared" si="46"/>
        <v>2025-01</v>
      </c>
    </row>
    <row r="765" spans="1:7" x14ac:dyDescent="0.25">
      <c r="A765" s="37">
        <v>45674</v>
      </c>
      <c r="B765" s="38">
        <v>89826.754608154311</v>
      </c>
      <c r="C765" s="39">
        <f t="shared" si="47"/>
        <v>1.6237398419114424E-2</v>
      </c>
      <c r="D765" s="38">
        <f>MAX($B$2:B765)</f>
        <v>93406.041564941435</v>
      </c>
      <c r="E765" s="40">
        <f t="shared" si="44"/>
        <v>-3.8319651457433768E-2</v>
      </c>
      <c r="F765" s="41">
        <f t="shared" si="45"/>
        <v>138.1549436509226</v>
      </c>
      <c r="G765" s="42" t="str">
        <f t="shared" si="46"/>
        <v>2025-01</v>
      </c>
    </row>
    <row r="766" spans="1:7" x14ac:dyDescent="0.25">
      <c r="A766" s="31">
        <v>45678</v>
      </c>
      <c r="B766" s="32">
        <v>90310.485076904311</v>
      </c>
      <c r="C766" s="33">
        <f t="shared" si="47"/>
        <v>5.3851491224430337E-3</v>
      </c>
      <c r="D766" s="32">
        <f>MAX($B$2:B766)</f>
        <v>93406.041564941435</v>
      </c>
      <c r="E766" s="34">
        <f t="shared" si="44"/>
        <v>-3.3140859372409071E-2</v>
      </c>
      <c r="F766" s="35">
        <f t="shared" si="45"/>
        <v>138.89892862448551</v>
      </c>
      <c r="G766" s="36" t="str">
        <f t="shared" si="46"/>
        <v>2025-01</v>
      </c>
    </row>
    <row r="767" spans="1:7" x14ac:dyDescent="0.25">
      <c r="A767" s="37">
        <v>45679</v>
      </c>
      <c r="B767" s="38">
        <v>91379.385223388701</v>
      </c>
      <c r="C767" s="39">
        <f t="shared" si="47"/>
        <v>1.1835836620456286E-2</v>
      </c>
      <c r="D767" s="38">
        <f>MAX($B$2:B767)</f>
        <v>93406.041564941435</v>
      </c>
      <c r="E767" s="40">
        <f t="shared" si="44"/>
        <v>-2.1697272548946267E-2</v>
      </c>
      <c r="F767" s="41">
        <f t="shared" si="45"/>
        <v>140.54291365044133</v>
      </c>
      <c r="G767" s="42" t="str">
        <f t="shared" si="46"/>
        <v>2025-01</v>
      </c>
    </row>
    <row r="768" spans="1:7" x14ac:dyDescent="0.25">
      <c r="A768" s="31">
        <v>45680</v>
      </c>
      <c r="B768" s="32">
        <v>91190.483093261748</v>
      </c>
      <c r="C768" s="33">
        <f t="shared" si="47"/>
        <v>-2.06722916405222E-3</v>
      </c>
      <c r="D768" s="32">
        <f>MAX($B$2:B768)</f>
        <v>93406.041564941435</v>
      </c>
      <c r="E768" s="34">
        <f t="shared" si="44"/>
        <v>-2.3719648478404909E-2</v>
      </c>
      <c r="F768" s="35">
        <f t="shared" si="45"/>
        <v>140.25237924054227</v>
      </c>
      <c r="G768" s="36" t="str">
        <f t="shared" si="46"/>
        <v>2025-01</v>
      </c>
    </row>
    <row r="769" spans="1:7" x14ac:dyDescent="0.25">
      <c r="A769" s="37">
        <v>45681</v>
      </c>
      <c r="B769" s="38">
        <v>90450.257720947324</v>
      </c>
      <c r="C769" s="39">
        <f t="shared" si="47"/>
        <v>-8.1173533378190443E-3</v>
      </c>
      <c r="D769" s="38">
        <f>MAX($B$2:B769)</f>
        <v>93406.041564941435</v>
      </c>
      <c r="E769" s="40">
        <f t="shared" si="44"/>
        <v>-3.1644461048475958E-2</v>
      </c>
      <c r="F769" s="41">
        <f t="shared" si="45"/>
        <v>139.11390112177696</v>
      </c>
      <c r="G769" s="42" t="str">
        <f t="shared" si="46"/>
        <v>2025-01</v>
      </c>
    </row>
    <row r="770" spans="1:7" x14ac:dyDescent="0.25">
      <c r="A770" s="31">
        <v>45684</v>
      </c>
      <c r="B770" s="32">
        <v>86240.598449706944</v>
      </c>
      <c r="C770" s="33">
        <f t="shared" si="47"/>
        <v>-4.6541152864680746E-2</v>
      </c>
      <c r="D770" s="32">
        <f>MAX($B$2:B770)</f>
        <v>93406.041564941435</v>
      </c>
      <c r="E770" s="34">
        <f t="shared" ref="E770:E833" si="48">B770/D770-1</f>
        <v>-7.6712844214179121E-2</v>
      </c>
      <c r="F770" s="35">
        <f t="shared" ref="F770:F833" si="49">B770/$B$2*100</f>
        <v>132.63937978406628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88578.076629638643</v>
      </c>
      <c r="C771" s="39">
        <f t="shared" ref="C771:C834" si="51">B771/B770-1</f>
        <v>2.7104150735860699E-2</v>
      </c>
      <c r="D771" s="38">
        <f>MAX($B$2:B771)</f>
        <v>93406.041564941435</v>
      </c>
      <c r="E771" s="40">
        <f t="shared" si="48"/>
        <v>-5.1687929971276025E-2</v>
      </c>
      <c r="F771" s="41">
        <f t="shared" si="49"/>
        <v>136.2344575272447</v>
      </c>
      <c r="G771" s="42" t="str">
        <f t="shared" si="50"/>
        <v>2025-01</v>
      </c>
    </row>
    <row r="772" spans="1:7" x14ac:dyDescent="0.25">
      <c r="A772" s="31">
        <v>45686</v>
      </c>
      <c r="B772" s="32">
        <v>87920.4274749756</v>
      </c>
      <c r="C772" s="33">
        <f t="shared" si="51"/>
        <v>-7.4245138265170985E-3</v>
      </c>
      <c r="D772" s="32">
        <f>MAX($B$2:B772)</f>
        <v>93406.041564941435</v>
      </c>
      <c r="E772" s="34">
        <f t="shared" si="48"/>
        <v>-5.8728686047057388E-2</v>
      </c>
      <c r="F772" s="35">
        <f t="shared" si="49"/>
        <v>135.22298291368563</v>
      </c>
      <c r="G772" s="36" t="str">
        <f t="shared" si="50"/>
        <v>2025-01</v>
      </c>
    </row>
    <row r="773" spans="1:7" x14ac:dyDescent="0.25">
      <c r="A773" s="37">
        <v>45687</v>
      </c>
      <c r="B773" s="38">
        <v>88003.162307739243</v>
      </c>
      <c r="C773" s="39">
        <f t="shared" si="51"/>
        <v>9.4101945520219665E-4</v>
      </c>
      <c r="D773" s="38">
        <f>MAX($B$2:B773)</f>
        <v>93406.041564941435</v>
      </c>
      <c r="E773" s="40">
        <f t="shared" si="48"/>
        <v>-5.7842931428003896E-2</v>
      </c>
      <c r="F773" s="41">
        <f t="shared" si="49"/>
        <v>135.35023037139786</v>
      </c>
      <c r="G773" s="42" t="str">
        <f t="shared" si="50"/>
        <v>2025-01</v>
      </c>
    </row>
    <row r="774" spans="1:7" x14ac:dyDescent="0.25">
      <c r="A774" s="31">
        <v>45688</v>
      </c>
      <c r="B774" s="32">
        <v>88006.708984375029</v>
      </c>
      <c r="C774" s="33">
        <f t="shared" si="51"/>
        <v>4.0301695334310494E-5</v>
      </c>
      <c r="D774" s="32">
        <f>MAX($B$2:B774)</f>
        <v>93406.041564941435</v>
      </c>
      <c r="E774" s="34">
        <f t="shared" si="48"/>
        <v>-5.7804960900869284E-2</v>
      </c>
      <c r="F774" s="35">
        <f t="shared" si="49"/>
        <v>135.35568521514571</v>
      </c>
      <c r="G774" s="36" t="str">
        <f t="shared" si="50"/>
        <v>2025-01</v>
      </c>
    </row>
    <row r="775" spans="1:7" x14ac:dyDescent="0.25">
      <c r="A775" s="37">
        <v>45691</v>
      </c>
      <c r="B775" s="38">
        <v>85579.517440795898</v>
      </c>
      <c r="C775" s="39">
        <f t="shared" si="51"/>
        <v>-2.7579619458444449E-2</v>
      </c>
      <c r="D775" s="38">
        <f>MAX($B$2:B775)</f>
        <v>93406.041564941435</v>
      </c>
      <c r="E775" s="40">
        <f t="shared" si="48"/>
        <v>-8.3790341534857538E-2</v>
      </c>
      <c r="F775" s="41">
        <f t="shared" si="49"/>
        <v>131.62262692537502</v>
      </c>
      <c r="G775" s="42" t="str">
        <f t="shared" si="50"/>
        <v>2025-02</v>
      </c>
    </row>
    <row r="776" spans="1:7" x14ac:dyDescent="0.25">
      <c r="A776" s="31">
        <v>45692</v>
      </c>
      <c r="B776" s="32">
        <v>87037.476119995103</v>
      </c>
      <c r="C776" s="33">
        <f t="shared" si="51"/>
        <v>1.7036304045624284E-2</v>
      </c>
      <c r="D776" s="32">
        <f>MAX($B$2:B776)</f>
        <v>93406.041564941435</v>
      </c>
      <c r="E776" s="34">
        <f t="shared" si="48"/>
        <v>-6.8181515223707745E-2</v>
      </c>
      <c r="F776" s="35">
        <f t="shared" si="49"/>
        <v>133.86499001695947</v>
      </c>
      <c r="G776" s="36" t="str">
        <f t="shared" si="50"/>
        <v>2025-02</v>
      </c>
    </row>
    <row r="777" spans="1:7" x14ac:dyDescent="0.25">
      <c r="A777" s="37">
        <v>45693</v>
      </c>
      <c r="B777" s="38">
        <v>86520.997161865191</v>
      </c>
      <c r="C777" s="39">
        <f t="shared" si="51"/>
        <v>-5.9339836258333056E-3</v>
      </c>
      <c r="D777" s="38">
        <f>MAX($B$2:B777)</f>
        <v>93406.041564941435</v>
      </c>
      <c r="E777" s="40">
        <f t="shared" si="48"/>
        <v>-7.3710910854619116E-2</v>
      </c>
      <c r="F777" s="41">
        <f t="shared" si="49"/>
        <v>133.07063735812648</v>
      </c>
      <c r="G777" s="42" t="str">
        <f t="shared" si="50"/>
        <v>2025-02</v>
      </c>
    </row>
    <row r="778" spans="1:7" x14ac:dyDescent="0.25">
      <c r="A778" s="31">
        <v>45694</v>
      </c>
      <c r="B778" s="32">
        <v>86833.153457641616</v>
      </c>
      <c r="C778" s="33">
        <f t="shared" si="51"/>
        <v>3.607867523676811E-3</v>
      </c>
      <c r="D778" s="32">
        <f>MAX($B$2:B778)</f>
        <v>93406.041564941435</v>
      </c>
      <c r="E778" s="34">
        <f t="shared" si="48"/>
        <v>-7.0368982532355351E-2</v>
      </c>
      <c r="F778" s="35">
        <f t="shared" si="49"/>
        <v>133.55073858900585</v>
      </c>
      <c r="G778" s="36" t="str">
        <f t="shared" si="50"/>
        <v>2025-02</v>
      </c>
    </row>
    <row r="779" spans="1:7" x14ac:dyDescent="0.25">
      <c r="A779" s="37">
        <v>45695</v>
      </c>
      <c r="B779" s="38">
        <v>85127.432708740263</v>
      </c>
      <c r="C779" s="39">
        <f t="shared" si="51"/>
        <v>-1.9643657761818201E-2</v>
      </c>
      <c r="D779" s="38">
        <f>MAX($B$2:B779)</f>
        <v>93406.041564941435</v>
      </c>
      <c r="E779" s="40">
        <f t="shared" si="48"/>
        <v>-8.8630336084260519E-2</v>
      </c>
      <c r="F779" s="41">
        <f t="shared" si="49"/>
        <v>130.92731358632537</v>
      </c>
      <c r="G779" s="42" t="str">
        <f t="shared" si="50"/>
        <v>2025-02</v>
      </c>
    </row>
    <row r="780" spans="1:7" x14ac:dyDescent="0.25">
      <c r="A780" s="31">
        <v>45698</v>
      </c>
      <c r="B780" s="32">
        <v>85372.671356201114</v>
      </c>
      <c r="C780" s="33">
        <f t="shared" si="51"/>
        <v>2.8808415766503614E-3</v>
      </c>
      <c r="D780" s="32">
        <f>MAX($B$2:B780)</f>
        <v>93406.041564941435</v>
      </c>
      <c r="E780" s="34">
        <f t="shared" si="48"/>
        <v>-8.6004824464754215E-2</v>
      </c>
      <c r="F780" s="35">
        <f t="shared" si="49"/>
        <v>131.30449443482399</v>
      </c>
      <c r="G780" s="36" t="str">
        <f t="shared" si="50"/>
        <v>2025-02</v>
      </c>
    </row>
    <row r="781" spans="1:7" x14ac:dyDescent="0.25">
      <c r="A781" s="37">
        <v>45699</v>
      </c>
      <c r="B781" s="38">
        <v>84282.762680053813</v>
      </c>
      <c r="C781" s="39">
        <f t="shared" si="51"/>
        <v>-1.2766482046694616E-2</v>
      </c>
      <c r="D781" s="38">
        <f>MAX($B$2:B781)</f>
        <v>93406.041564941435</v>
      </c>
      <c r="E781" s="40">
        <f t="shared" si="48"/>
        <v>-9.7673327463990378E-2</v>
      </c>
      <c r="F781" s="41">
        <f t="shared" si="49"/>
        <v>129.6281979639715</v>
      </c>
      <c r="G781" s="42" t="str">
        <f t="shared" si="50"/>
        <v>2025-02</v>
      </c>
    </row>
    <row r="782" spans="1:7" x14ac:dyDescent="0.25">
      <c r="A782" s="31">
        <v>45700</v>
      </c>
      <c r="B782" s="32">
        <v>84527.219467163071</v>
      </c>
      <c r="C782" s="33">
        <f t="shared" si="51"/>
        <v>2.9004363328388738E-3</v>
      </c>
      <c r="D782" s="32">
        <f>MAX($B$2:B782)</f>
        <v>93406.041564941435</v>
      </c>
      <c r="E782" s="34">
        <f t="shared" si="48"/>
        <v>-9.5056186398877363E-2</v>
      </c>
      <c r="F782" s="35">
        <f t="shared" si="49"/>
        <v>130.00417629910663</v>
      </c>
      <c r="G782" s="36" t="str">
        <f t="shared" si="50"/>
        <v>2025-02</v>
      </c>
    </row>
    <row r="783" spans="1:7" x14ac:dyDescent="0.25">
      <c r="A783" s="37">
        <v>45701</v>
      </c>
      <c r="B783" s="38">
        <v>86621.636352539063</v>
      </c>
      <c r="C783" s="39">
        <f t="shared" si="51"/>
        <v>2.4778017052715429E-2</v>
      </c>
      <c r="D783" s="38">
        <f>MAX($B$2:B783)</f>
        <v>93406.041564941435</v>
      </c>
      <c r="E783" s="40">
        <f t="shared" si="48"/>
        <v>-7.2633473153719375E-2</v>
      </c>
      <c r="F783" s="41">
        <f t="shared" si="49"/>
        <v>133.2254219963701</v>
      </c>
      <c r="G783" s="42" t="str">
        <f t="shared" si="50"/>
        <v>2025-02</v>
      </c>
    </row>
    <row r="784" spans="1:7" x14ac:dyDescent="0.25">
      <c r="A784" s="31">
        <v>45702</v>
      </c>
      <c r="B784" s="32">
        <v>87196.297607421875</v>
      </c>
      <c r="C784" s="33">
        <f t="shared" si="51"/>
        <v>6.6341537643552773E-3</v>
      </c>
      <c r="D784" s="32">
        <f>MAX($B$2:B784)</f>
        <v>93406.041564941435</v>
      </c>
      <c r="E784" s="34">
        <f t="shared" si="48"/>
        <v>-6.6481181018705038E-2</v>
      </c>
      <c r="F784" s="35">
        <f t="shared" si="49"/>
        <v>134.10925993121515</v>
      </c>
      <c r="G784" s="36" t="str">
        <f t="shared" si="50"/>
        <v>2025-02</v>
      </c>
    </row>
    <row r="785" spans="1:7" x14ac:dyDescent="0.25">
      <c r="A785" s="37">
        <v>45706</v>
      </c>
      <c r="B785" s="38">
        <v>86914.14916992186</v>
      </c>
      <c r="C785" s="39">
        <f t="shared" si="51"/>
        <v>-3.2357846060198092E-3</v>
      </c>
      <c r="D785" s="38">
        <f>MAX($B$2:B785)</f>
        <v>93406.041564941435</v>
      </c>
      <c r="E785" s="40">
        <f t="shared" si="48"/>
        <v>-6.9501846842594528E-2</v>
      </c>
      <c r="F785" s="41">
        <f t="shared" si="49"/>
        <v>133.67531125240504</v>
      </c>
      <c r="G785" s="42" t="str">
        <f t="shared" si="50"/>
        <v>2025-02</v>
      </c>
    </row>
    <row r="786" spans="1:7" x14ac:dyDescent="0.25">
      <c r="A786" s="31">
        <v>45707</v>
      </c>
      <c r="B786" s="32">
        <v>87183.921585083037</v>
      </c>
      <c r="C786" s="33">
        <f t="shared" si="51"/>
        <v>3.103895254543243E-3</v>
      </c>
      <c r="D786" s="32">
        <f>MAX($B$2:B786)</f>
        <v>93406.041564941435</v>
      </c>
      <c r="E786" s="34">
        <f t="shared" si="48"/>
        <v>-6.6613678040648105E-2</v>
      </c>
      <c r="F786" s="35">
        <f t="shared" si="49"/>
        <v>134.09022541665095</v>
      </c>
      <c r="G786" s="36" t="str">
        <f t="shared" si="50"/>
        <v>2025-02</v>
      </c>
    </row>
    <row r="787" spans="1:7" x14ac:dyDescent="0.25">
      <c r="A787" s="37">
        <v>45708</v>
      </c>
      <c r="B787" s="38">
        <v>86610.962677001909</v>
      </c>
      <c r="C787" s="39">
        <f t="shared" si="51"/>
        <v>-6.5718414320463658E-3</v>
      </c>
      <c r="D787" s="38">
        <f>MAX($B$2:B787)</f>
        <v>93406.041564941435</v>
      </c>
      <c r="E787" s="40">
        <f t="shared" si="48"/>
        <v>-7.2747744943405857E-2</v>
      </c>
      <c r="F787" s="41">
        <f t="shared" si="49"/>
        <v>133.20900571762536</v>
      </c>
      <c r="G787" s="42" t="str">
        <f t="shared" si="50"/>
        <v>2025-02</v>
      </c>
    </row>
    <row r="788" spans="1:7" x14ac:dyDescent="0.25">
      <c r="A788" s="31">
        <v>45709</v>
      </c>
      <c r="B788" s="32">
        <v>84260.167922973662</v>
      </c>
      <c r="C788" s="33">
        <f t="shared" si="51"/>
        <v>-2.7142000058295923E-2</v>
      </c>
      <c r="D788" s="32">
        <f>MAX($B$2:B788)</f>
        <v>93406.041564941435</v>
      </c>
      <c r="E788" s="34">
        <f t="shared" si="48"/>
        <v>-9.7915225704206965E-2</v>
      </c>
      <c r="F788" s="35">
        <f t="shared" si="49"/>
        <v>129.59344687667203</v>
      </c>
      <c r="G788" s="36" t="str">
        <f t="shared" si="50"/>
        <v>2025-02</v>
      </c>
    </row>
    <row r="789" spans="1:7" x14ac:dyDescent="0.25">
      <c r="A789" s="37">
        <v>45712</v>
      </c>
      <c r="B789" s="38">
        <v>82895.116577148467</v>
      </c>
      <c r="C789" s="39">
        <f t="shared" si="51"/>
        <v>-1.6200434671255981E-2</v>
      </c>
      <c r="D789" s="38">
        <f>MAX($B$2:B789)</f>
        <v>93406.041564941435</v>
      </c>
      <c r="E789" s="40">
        <f t="shared" si="48"/>
        <v>-0.11252939115812066</v>
      </c>
      <c r="F789" s="41">
        <f t="shared" si="49"/>
        <v>127.49397670672364</v>
      </c>
      <c r="G789" s="42" t="str">
        <f t="shared" si="50"/>
        <v>2025-02</v>
      </c>
    </row>
    <row r="790" spans="1:7" x14ac:dyDescent="0.25">
      <c r="A790" s="31">
        <v>45713</v>
      </c>
      <c r="B790" s="32">
        <v>80558.005752563447</v>
      </c>
      <c r="C790" s="33">
        <f t="shared" si="51"/>
        <v>-2.8193588731007191E-2</v>
      </c>
      <c r="D790" s="32">
        <f>MAX($B$2:B790)</f>
        <v>93406.041564941435</v>
      </c>
      <c r="E790" s="34">
        <f t="shared" si="48"/>
        <v>-0.13755037251466506</v>
      </c>
      <c r="F790" s="35">
        <f t="shared" si="49"/>
        <v>123.89946396177368</v>
      </c>
      <c r="G790" s="36" t="str">
        <f t="shared" si="50"/>
        <v>2025-02</v>
      </c>
    </row>
    <row r="791" spans="1:7" x14ac:dyDescent="0.25">
      <c r="A791" s="37">
        <v>45714</v>
      </c>
      <c r="B791" s="38">
        <v>80573.578414916992</v>
      </c>
      <c r="C791" s="39">
        <f t="shared" si="51"/>
        <v>1.9330992876587239E-4</v>
      </c>
      <c r="D791" s="38">
        <f>MAX($B$2:B791)</f>
        <v>93406.041564941435</v>
      </c>
      <c r="E791" s="40">
        <f t="shared" si="48"/>
        <v>-0.13738365243861184</v>
      </c>
      <c r="F791" s="41">
        <f t="shared" si="49"/>
        <v>123.92341495832623</v>
      </c>
      <c r="G791" s="42" t="str">
        <f t="shared" si="50"/>
        <v>2025-02</v>
      </c>
    </row>
    <row r="792" spans="1:7" x14ac:dyDescent="0.25">
      <c r="A792" s="31">
        <v>45715</v>
      </c>
      <c r="B792" s="32">
        <v>77865.434036254854</v>
      </c>
      <c r="C792" s="33">
        <f t="shared" si="51"/>
        <v>-3.3610824192472077E-2</v>
      </c>
      <c r="D792" s="32">
        <f>MAX($B$2:B792)</f>
        <v>93406.041564941435</v>
      </c>
      <c r="E792" s="34">
        <f t="shared" si="48"/>
        <v>-0.16637689884204998</v>
      </c>
      <c r="F792" s="35">
        <f t="shared" si="49"/>
        <v>119.75824684483116</v>
      </c>
      <c r="G792" s="36" t="str">
        <f t="shared" si="50"/>
        <v>2025-02</v>
      </c>
    </row>
    <row r="793" spans="1:7" x14ac:dyDescent="0.25">
      <c r="A793" s="37">
        <v>45716</v>
      </c>
      <c r="B793" s="38">
        <v>79363.232421874985</v>
      </c>
      <c r="C793" s="39">
        <f t="shared" si="51"/>
        <v>1.923572897471737E-2</v>
      </c>
      <c r="D793" s="38">
        <f>MAX($B$2:B793)</f>
        <v>93406.041564941435</v>
      </c>
      <c r="E793" s="40">
        <f t="shared" si="48"/>
        <v>-0.15034155080111233</v>
      </c>
      <c r="F793" s="41">
        <f t="shared" si="49"/>
        <v>122.06188402362564</v>
      </c>
      <c r="G793" s="42" t="str">
        <f t="shared" si="50"/>
        <v>2025-02</v>
      </c>
    </row>
    <row r="794" spans="1:7" x14ac:dyDescent="0.25">
      <c r="A794" s="31">
        <v>45719</v>
      </c>
      <c r="B794" s="32">
        <v>76762.342910766602</v>
      </c>
      <c r="C794" s="33">
        <f t="shared" si="51"/>
        <v>-3.277197049236491E-2</v>
      </c>
      <c r="D794" s="32">
        <f>MAX($B$2:B794)</f>
        <v>93406.041564941435</v>
      </c>
      <c r="E794" s="34">
        <f t="shared" si="48"/>
        <v>-0.17818653242684679</v>
      </c>
      <c r="F794" s="35">
        <f t="shared" si="49"/>
        <v>118.06167556216091</v>
      </c>
      <c r="G794" s="36" t="str">
        <f t="shared" si="50"/>
        <v>2025-03</v>
      </c>
    </row>
    <row r="795" spans="1:7" x14ac:dyDescent="0.25">
      <c r="A795" s="37">
        <v>45720</v>
      </c>
      <c r="B795" s="38">
        <v>76622.454757690459</v>
      </c>
      <c r="C795" s="39">
        <f t="shared" si="51"/>
        <v>-1.8223538752426549E-3</v>
      </c>
      <c r="D795" s="38">
        <f>MAX($B$2:B795)</f>
        <v>93406.041564941435</v>
      </c>
      <c r="E795" s="40">
        <f t="shared" si="48"/>
        <v>-0.17968416738420534</v>
      </c>
      <c r="F795" s="41">
        <f t="shared" si="49"/>
        <v>117.84652541018256</v>
      </c>
      <c r="G795" s="42" t="str">
        <f t="shared" si="50"/>
        <v>2025-03</v>
      </c>
    </row>
    <row r="796" spans="1:7" x14ac:dyDescent="0.25">
      <c r="A796" s="31">
        <v>45721</v>
      </c>
      <c r="B796" s="32">
        <v>78203.913879394589</v>
      </c>
      <c r="C796" s="33">
        <f t="shared" si="51"/>
        <v>2.0639630075873994E-2</v>
      </c>
      <c r="D796" s="32">
        <f>MAX($B$2:B796)</f>
        <v>93406.041564941435</v>
      </c>
      <c r="E796" s="34">
        <f t="shared" si="48"/>
        <v>-0.16275315205363261</v>
      </c>
      <c r="F796" s="35">
        <f t="shared" si="49"/>
        <v>120.27883410037583</v>
      </c>
      <c r="G796" s="36" t="str">
        <f t="shared" si="50"/>
        <v>2025-03</v>
      </c>
    </row>
    <row r="797" spans="1:7" x14ac:dyDescent="0.25">
      <c r="A797" s="37">
        <v>45722</v>
      </c>
      <c r="B797" s="38">
        <v>75802.889556884751</v>
      </c>
      <c r="C797" s="39">
        <f t="shared" si="51"/>
        <v>-3.0702099209672262E-2</v>
      </c>
      <c r="D797" s="38">
        <f>MAX($B$2:B797)</f>
        <v>93406.041564941435</v>
      </c>
      <c r="E797" s="40">
        <f t="shared" si="48"/>
        <v>-0.18845838784226743</v>
      </c>
      <c r="F797" s="41">
        <f t="shared" si="49"/>
        <v>116.58602140300238</v>
      </c>
      <c r="G797" s="42" t="str">
        <f t="shared" si="50"/>
        <v>2025-03</v>
      </c>
    </row>
    <row r="798" spans="1:7" x14ac:dyDescent="0.25">
      <c r="A798" s="31">
        <v>45723</v>
      </c>
      <c r="B798" s="32">
        <v>76145.067443847656</v>
      </c>
      <c r="C798" s="33">
        <f t="shared" si="51"/>
        <v>4.5140480654912718E-3</v>
      </c>
      <c r="D798" s="32">
        <f>MAX($B$2:B798)</f>
        <v>93406.041564941435</v>
      </c>
      <c r="E798" s="34">
        <f t="shared" si="48"/>
        <v>-0.18479504999784113</v>
      </c>
      <c r="F798" s="35">
        <f t="shared" si="49"/>
        <v>117.11229630737994</v>
      </c>
      <c r="G798" s="36" t="str">
        <f t="shared" si="50"/>
        <v>2025-03</v>
      </c>
    </row>
    <row r="799" spans="1:7" x14ac:dyDescent="0.25">
      <c r="A799" s="37">
        <v>45726</v>
      </c>
      <c r="B799" s="38">
        <v>71125.354919433637</v>
      </c>
      <c r="C799" s="39">
        <f t="shared" si="51"/>
        <v>-6.5923016328217843E-2</v>
      </c>
      <c r="D799" s="38">
        <f>MAX($B$2:B799)</f>
        <v>93406.041564941435</v>
      </c>
      <c r="E799" s="40">
        <f t="shared" si="48"/>
        <v>-0.23853581922767741</v>
      </c>
      <c r="F799" s="41">
        <f t="shared" si="49"/>
        <v>109.39190048567345</v>
      </c>
      <c r="G799" s="42" t="str">
        <f t="shared" si="50"/>
        <v>2025-03</v>
      </c>
    </row>
    <row r="800" spans="1:7" x14ac:dyDescent="0.25">
      <c r="A800" s="31">
        <v>45727</v>
      </c>
      <c r="B800" s="32">
        <v>71360.652313232436</v>
      </c>
      <c r="C800" s="33">
        <f t="shared" si="51"/>
        <v>3.3082069546834791E-3</v>
      </c>
      <c r="D800" s="32">
        <f>MAX($B$2:B800)</f>
        <v>93406.041564941435</v>
      </c>
      <c r="E800" s="34">
        <f t="shared" si="48"/>
        <v>-0.23601673812910418</v>
      </c>
      <c r="F800" s="35">
        <f t="shared" si="49"/>
        <v>109.75379153164617</v>
      </c>
      <c r="G800" s="36" t="str">
        <f t="shared" si="50"/>
        <v>2025-03</v>
      </c>
    </row>
    <row r="801" spans="1:7" x14ac:dyDescent="0.25">
      <c r="A801" s="37">
        <v>45728</v>
      </c>
      <c r="B801" s="38">
        <v>73357.111053466826</v>
      </c>
      <c r="C801" s="39">
        <f t="shared" si="51"/>
        <v>2.7977024810130313E-2</v>
      </c>
      <c r="D801" s="38">
        <f>MAX($B$2:B801)</f>
        <v>93406.041564941435</v>
      </c>
      <c r="E801" s="40">
        <f t="shared" si="48"/>
        <v>-0.21464275945721778</v>
      </c>
      <c r="F801" s="41">
        <f t="shared" si="49"/>
        <v>112.82437608033291</v>
      </c>
      <c r="G801" s="42" t="str">
        <f t="shared" si="50"/>
        <v>2025-03</v>
      </c>
    </row>
    <row r="802" spans="1:7" x14ac:dyDescent="0.25">
      <c r="A802" s="31">
        <v>45729</v>
      </c>
      <c r="B802" s="32">
        <v>71536.542358398408</v>
      </c>
      <c r="C802" s="33">
        <f t="shared" si="51"/>
        <v>-2.4817889757701606E-2</v>
      </c>
      <c r="D802" s="32">
        <f>MAX($B$2:B802)</f>
        <v>93406.041564941435</v>
      </c>
      <c r="E802" s="34">
        <f t="shared" si="48"/>
        <v>-0.23413366887342135</v>
      </c>
      <c r="F802" s="35">
        <f t="shared" si="49"/>
        <v>110.02431315278976</v>
      </c>
      <c r="G802" s="36" t="str">
        <f t="shared" si="50"/>
        <v>2025-03</v>
      </c>
    </row>
    <row r="803" spans="1:7" x14ac:dyDescent="0.25">
      <c r="A803" s="37">
        <v>45730</v>
      </c>
      <c r="B803" s="38">
        <v>73719.366302490293</v>
      </c>
      <c r="C803" s="39">
        <f t="shared" si="51"/>
        <v>3.0513411357735443E-2</v>
      </c>
      <c r="D803" s="38">
        <f>MAX($B$2:B803)</f>
        <v>93406.041564941435</v>
      </c>
      <c r="E803" s="40">
        <f t="shared" si="48"/>
        <v>-0.21076447446671631</v>
      </c>
      <c r="F803" s="41">
        <f t="shared" si="49"/>
        <v>113.38153027937314</v>
      </c>
      <c r="G803" s="42" t="str">
        <f t="shared" si="50"/>
        <v>2025-03</v>
      </c>
    </row>
    <row r="804" spans="1:7" x14ac:dyDescent="0.25">
      <c r="A804" s="31">
        <v>45733</v>
      </c>
      <c r="B804" s="32">
        <v>73432.659988403335</v>
      </c>
      <c r="C804" s="33">
        <f t="shared" si="51"/>
        <v>-3.8891586901401709E-3</v>
      </c>
      <c r="D804" s="32">
        <f>MAX($B$2:B804)</f>
        <v>93406.041564941435</v>
      </c>
      <c r="E804" s="34">
        <f t="shared" si="48"/>
        <v>-0.21383393666941142</v>
      </c>
      <c r="F804" s="35">
        <f t="shared" si="49"/>
        <v>112.94057151558572</v>
      </c>
      <c r="G804" s="36" t="str">
        <f t="shared" si="50"/>
        <v>2025-03</v>
      </c>
    </row>
    <row r="805" spans="1:7" x14ac:dyDescent="0.25">
      <c r="A805" s="37">
        <v>45734</v>
      </c>
      <c r="B805" s="38">
        <v>71818.804168701172</v>
      </c>
      <c r="C805" s="39">
        <f t="shared" si="51"/>
        <v>-2.1977357485852056E-2</v>
      </c>
      <c r="D805" s="38">
        <f>MAX($B$2:B805)</f>
        <v>93406.041564941435</v>
      </c>
      <c r="E805" s="40">
        <f t="shared" si="48"/>
        <v>-0.2311117892864728</v>
      </c>
      <c r="F805" s="41">
        <f t="shared" si="49"/>
        <v>110.45843620073126</v>
      </c>
      <c r="G805" s="42" t="str">
        <f t="shared" si="50"/>
        <v>2025-03</v>
      </c>
    </row>
    <row r="806" spans="1:7" x14ac:dyDescent="0.25">
      <c r="A806" s="31">
        <v>45735</v>
      </c>
      <c r="B806" s="32">
        <v>73177.96752929686</v>
      </c>
      <c r="C806" s="33">
        <f t="shared" si="51"/>
        <v>1.8924895454998536E-2</v>
      </c>
      <c r="D806" s="32">
        <f>MAX($B$2:B806)</f>
        <v>93406.041564941435</v>
      </c>
      <c r="E806" s="34">
        <f t="shared" si="48"/>
        <v>-0.21656066028213838</v>
      </c>
      <c r="F806" s="35">
        <f t="shared" si="49"/>
        <v>112.54885055795272</v>
      </c>
      <c r="G806" s="36" t="str">
        <f t="shared" si="50"/>
        <v>2025-03</v>
      </c>
    </row>
    <row r="807" spans="1:7" x14ac:dyDescent="0.25">
      <c r="A807" s="37">
        <v>45736</v>
      </c>
      <c r="B807" s="38">
        <v>73391.186294555606</v>
      </c>
      <c r="C807" s="39">
        <f t="shared" si="51"/>
        <v>2.9137016571740837E-3</v>
      </c>
      <c r="D807" s="38">
        <f>MAX($B$2:B807)</f>
        <v>93406.041564941435</v>
      </c>
      <c r="E807" s="40">
        <f t="shared" si="48"/>
        <v>-0.21427795177970699</v>
      </c>
      <c r="F807" s="41">
        <f t="shared" si="49"/>
        <v>112.87678433033648</v>
      </c>
      <c r="G807" s="42" t="str">
        <f t="shared" si="50"/>
        <v>2025-03</v>
      </c>
    </row>
    <row r="808" spans="1:7" x14ac:dyDescent="0.25">
      <c r="A808" s="31">
        <v>45737</v>
      </c>
      <c r="B808" s="32">
        <v>74099.153060913057</v>
      </c>
      <c r="C808" s="33">
        <f t="shared" si="51"/>
        <v>9.6464821200195061E-3</v>
      </c>
      <c r="D808" s="32">
        <f>MAX($B$2:B808)</f>
        <v>93406.041564941435</v>
      </c>
      <c r="E808" s="34">
        <f t="shared" si="48"/>
        <v>-0.20669849809024488</v>
      </c>
      <c r="F808" s="35">
        <f t="shared" si="49"/>
        <v>113.96564821214437</v>
      </c>
      <c r="G808" s="36" t="str">
        <f t="shared" si="50"/>
        <v>2025-03</v>
      </c>
    </row>
    <row r="809" spans="1:7" x14ac:dyDescent="0.25">
      <c r="A809" s="37">
        <v>45740</v>
      </c>
      <c r="B809" s="38">
        <v>76827.615509033189</v>
      </c>
      <c r="C809" s="39">
        <f t="shared" si="51"/>
        <v>3.6821776436192222E-2</v>
      </c>
      <c r="D809" s="38">
        <f>MAX($B$2:B809)</f>
        <v>93406.041564941435</v>
      </c>
      <c r="E809" s="40">
        <f t="shared" si="48"/>
        <v>-0.1774877275404283</v>
      </c>
      <c r="F809" s="41">
        <f t="shared" si="49"/>
        <v>118.16206583201767</v>
      </c>
      <c r="G809" s="42" t="str">
        <f t="shared" si="50"/>
        <v>2025-03</v>
      </c>
    </row>
    <row r="810" spans="1:7" x14ac:dyDescent="0.25">
      <c r="A810" s="31">
        <v>45741</v>
      </c>
      <c r="B810" s="32">
        <v>77526.060028076143</v>
      </c>
      <c r="C810" s="33">
        <f t="shared" si="51"/>
        <v>9.0910607392316045E-3</v>
      </c>
      <c r="D810" s="32">
        <f>MAX($B$2:B810)</f>
        <v>93406.041564941435</v>
      </c>
      <c r="E810" s="34">
        <f t="shared" si="48"/>
        <v>-0.1700102185127349</v>
      </c>
      <c r="F810" s="35">
        <f t="shared" si="49"/>
        <v>119.23628434956963</v>
      </c>
      <c r="G810" s="36" t="str">
        <f t="shared" si="50"/>
        <v>2025-03</v>
      </c>
    </row>
    <row r="811" spans="1:7" x14ac:dyDescent="0.25">
      <c r="A811" s="37">
        <v>45742</v>
      </c>
      <c r="B811" s="38">
        <v>75032.863998413159</v>
      </c>
      <c r="C811" s="39">
        <f t="shared" si="51"/>
        <v>-3.2159457461917618E-2</v>
      </c>
      <c r="D811" s="38">
        <f>MAX($B$2:B811)</f>
        <v>93406.041564941435</v>
      </c>
      <c r="E811" s="40">
        <f t="shared" si="48"/>
        <v>-0.19670223958430089</v>
      </c>
      <c r="F811" s="41">
        <f t="shared" si="49"/>
        <v>115.40171013511254</v>
      </c>
      <c r="G811" s="42" t="str">
        <f t="shared" si="50"/>
        <v>2025-03</v>
      </c>
    </row>
    <row r="812" spans="1:7" x14ac:dyDescent="0.25">
      <c r="A812" s="31">
        <v>45743</v>
      </c>
      <c r="B812" s="32">
        <v>74652.95974731454</v>
      </c>
      <c r="C812" s="33">
        <f t="shared" si="51"/>
        <v>-5.0631714005565653E-3</v>
      </c>
      <c r="D812" s="32">
        <f>MAX($B$2:B812)</f>
        <v>93406.041564941435</v>
      </c>
      <c r="E812" s="34">
        <f t="shared" si="48"/>
        <v>-0.20076947383096877</v>
      </c>
      <c r="F812" s="35">
        <f t="shared" si="49"/>
        <v>114.81741149678111</v>
      </c>
      <c r="G812" s="36" t="str">
        <f t="shared" si="50"/>
        <v>2025-03</v>
      </c>
    </row>
    <row r="813" spans="1:7" x14ac:dyDescent="0.25">
      <c r="A813" s="37">
        <v>45744</v>
      </c>
      <c r="B813" s="38">
        <v>72341.261596679673</v>
      </c>
      <c r="C813" s="39">
        <f t="shared" si="51"/>
        <v>-3.0965927653230474E-2</v>
      </c>
      <c r="D813" s="38">
        <f>MAX($B$2:B813)</f>
        <v>93406.041564941435</v>
      </c>
      <c r="E813" s="40">
        <f t="shared" si="48"/>
        <v>-0.22551838848257233</v>
      </c>
      <c r="F813" s="41">
        <f t="shared" si="49"/>
        <v>111.2619838390406</v>
      </c>
      <c r="G813" s="42" t="str">
        <f t="shared" si="50"/>
        <v>2025-03</v>
      </c>
    </row>
    <row r="814" spans="1:7" x14ac:dyDescent="0.25">
      <c r="A814" s="31">
        <v>45747</v>
      </c>
      <c r="B814" s="32">
        <v>72093.091735839858</v>
      </c>
      <c r="C814" s="33">
        <f t="shared" si="51"/>
        <v>-3.4305437223838275E-3</v>
      </c>
      <c r="D814" s="32">
        <f>MAX($B$2:B814)</f>
        <v>93406.041564941435</v>
      </c>
      <c r="E814" s="34">
        <f t="shared" si="48"/>
        <v>-0.22817528151306521</v>
      </c>
      <c r="F814" s="35">
        <f t="shared" si="49"/>
        <v>110.8802947388416</v>
      </c>
      <c r="G814" s="36" t="str">
        <f t="shared" si="50"/>
        <v>2025-03</v>
      </c>
    </row>
    <row r="815" spans="1:7" x14ac:dyDescent="0.25">
      <c r="A815" s="37">
        <v>45748</v>
      </c>
      <c r="B815" s="38">
        <v>73333.505783081026</v>
      </c>
      <c r="C815" s="39">
        <f t="shared" si="51"/>
        <v>1.7205726892477236E-2</v>
      </c>
      <c r="D815" s="38">
        <f>MAX($B$2:B815)</f>
        <v>93406.041564941435</v>
      </c>
      <c r="E815" s="40">
        <f t="shared" si="48"/>
        <v>-0.21489547619791582</v>
      </c>
      <c r="F815" s="41">
        <f t="shared" si="49"/>
        <v>112.7880708078755</v>
      </c>
      <c r="G815" s="42" t="str">
        <f t="shared" si="50"/>
        <v>2025-04</v>
      </c>
    </row>
    <row r="816" spans="1:7" x14ac:dyDescent="0.25">
      <c r="A816" s="31">
        <v>45749</v>
      </c>
      <c r="B816" s="32">
        <v>74276.501235961943</v>
      </c>
      <c r="C816" s="33">
        <f t="shared" si="51"/>
        <v>1.2858998663861421E-2</v>
      </c>
      <c r="D816" s="32">
        <f>MAX($B$2:B816)</f>
        <v>93406.041564941435</v>
      </c>
      <c r="E816" s="34">
        <f t="shared" si="48"/>
        <v>-0.2047998181753532</v>
      </c>
      <c r="F816" s="35">
        <f t="shared" si="49"/>
        <v>114.23841245969348</v>
      </c>
      <c r="G816" s="36" t="str">
        <f t="shared" si="50"/>
        <v>2025-04</v>
      </c>
    </row>
    <row r="817" spans="1:7" x14ac:dyDescent="0.25">
      <c r="A817" s="37">
        <v>45750</v>
      </c>
      <c r="B817" s="38">
        <v>69180.260467529311</v>
      </c>
      <c r="C817" s="39">
        <f t="shared" si="51"/>
        <v>-6.8611750467928889E-2</v>
      </c>
      <c r="D817" s="38">
        <f>MAX($B$2:B817)</f>
        <v>93406.041564941435</v>
      </c>
      <c r="E817" s="40">
        <f t="shared" si="48"/>
        <v>-0.25935989462275755</v>
      </c>
      <c r="F817" s="41">
        <f t="shared" si="49"/>
        <v>106.40031501015666</v>
      </c>
      <c r="G817" s="42" t="str">
        <f t="shared" si="50"/>
        <v>2025-04</v>
      </c>
    </row>
    <row r="818" spans="1:7" x14ac:dyDescent="0.25">
      <c r="A818" s="31">
        <v>45751</v>
      </c>
      <c r="B818" s="32">
        <v>64485.383605957009</v>
      </c>
      <c r="C818" s="33">
        <f t="shared" si="51"/>
        <v>-6.7864399900256278E-2</v>
      </c>
      <c r="D818" s="32">
        <f>MAX($B$2:B818)</f>
        <v>93406.041564941435</v>
      </c>
      <c r="E818" s="34">
        <f t="shared" si="48"/>
        <v>-0.30962299091624668</v>
      </c>
      <c r="F818" s="35">
        <f t="shared" si="49"/>
        <v>99.179521482794144</v>
      </c>
      <c r="G818" s="36" t="str">
        <f t="shared" si="50"/>
        <v>2025-04</v>
      </c>
    </row>
    <row r="819" spans="1:7" x14ac:dyDescent="0.25">
      <c r="A819" s="37">
        <v>45754</v>
      </c>
      <c r="B819" s="38">
        <v>64235.297241210938</v>
      </c>
      <c r="C819" s="39">
        <f t="shared" si="51"/>
        <v>-3.8781868194232016E-3</v>
      </c>
      <c r="D819" s="38">
        <f>MAX($B$2:B819)</f>
        <v>93406.041564941435</v>
      </c>
      <c r="E819" s="40">
        <f t="shared" si="48"/>
        <v>-0.3123004019333081</v>
      </c>
      <c r="F819" s="41">
        <f t="shared" si="49"/>
        <v>98.794884769822872</v>
      </c>
      <c r="G819" s="42" t="str">
        <f t="shared" si="50"/>
        <v>2025-04</v>
      </c>
    </row>
    <row r="820" spans="1:7" x14ac:dyDescent="0.25">
      <c r="A820" s="31">
        <v>45755</v>
      </c>
      <c r="B820" s="32">
        <v>62302.026748657219</v>
      </c>
      <c r="C820" s="33">
        <f t="shared" si="51"/>
        <v>-3.0096700343645422E-2</v>
      </c>
      <c r="D820" s="32">
        <f>MAX($B$2:B820)</f>
        <v>93406.041564941435</v>
      </c>
      <c r="E820" s="34">
        <f t="shared" si="48"/>
        <v>-0.33299789066276675</v>
      </c>
      <c r="F820" s="35">
        <f t="shared" si="49"/>
        <v>95.82148472742054</v>
      </c>
      <c r="G820" s="36" t="str">
        <f t="shared" si="50"/>
        <v>2025-04</v>
      </c>
    </row>
    <row r="821" spans="1:7" x14ac:dyDescent="0.25">
      <c r="A821" s="37">
        <v>45756</v>
      </c>
      <c r="B821" s="38">
        <v>71647.017135620103</v>
      </c>
      <c r="C821" s="39">
        <f t="shared" si="51"/>
        <v>0.14999496604922724</v>
      </c>
      <c r="D821" s="38">
        <f>MAX($B$2:B821)</f>
        <v>93406.041564941435</v>
      </c>
      <c r="E821" s="40">
        <f t="shared" si="48"/>
        <v>-0.23295093191796556</v>
      </c>
      <c r="F821" s="41">
        <f t="shared" si="49"/>
        <v>110.19422507589651</v>
      </c>
      <c r="G821" s="42" t="str">
        <f t="shared" si="50"/>
        <v>2025-04</v>
      </c>
    </row>
    <row r="822" spans="1:7" x14ac:dyDescent="0.25">
      <c r="A822" s="31">
        <v>45757</v>
      </c>
      <c r="B822" s="32">
        <v>68190.536270141645</v>
      </c>
      <c r="C822" s="33">
        <f t="shared" si="51"/>
        <v>-4.8243192859455886E-2</v>
      </c>
      <c r="D822" s="32">
        <f>MAX($B$2:B822)</f>
        <v>93406.041564941435</v>
      </c>
      <c r="E822" s="34">
        <f t="shared" si="48"/>
        <v>-0.26995582804211304</v>
      </c>
      <c r="F822" s="35">
        <f t="shared" si="49"/>
        <v>104.87810382356176</v>
      </c>
      <c r="G822" s="36" t="str">
        <f t="shared" si="50"/>
        <v>2025-04</v>
      </c>
    </row>
    <row r="823" spans="1:7" x14ac:dyDescent="0.25">
      <c r="A823" s="37">
        <v>45758</v>
      </c>
      <c r="B823" s="38">
        <v>69913.074951171991</v>
      </c>
      <c r="C823" s="39">
        <f t="shared" si="51"/>
        <v>2.5260670691991338E-2</v>
      </c>
      <c r="D823" s="38">
        <f>MAX($B$2:B823)</f>
        <v>93406.041564941435</v>
      </c>
      <c r="E823" s="40">
        <f t="shared" si="48"/>
        <v>-0.25151442262367729</v>
      </c>
      <c r="F823" s="41">
        <f t="shared" si="49"/>
        <v>107.52739506704924</v>
      </c>
      <c r="G823" s="42" t="str">
        <f t="shared" si="50"/>
        <v>2025-04</v>
      </c>
    </row>
    <row r="824" spans="1:7" x14ac:dyDescent="0.25">
      <c r="A824" s="31">
        <v>45761</v>
      </c>
      <c r="B824" s="32">
        <v>70152.386932373091</v>
      </c>
      <c r="C824" s="33">
        <f t="shared" si="51"/>
        <v>3.4229932150493525E-3</v>
      </c>
      <c r="D824" s="32">
        <f>MAX($B$2:B824)</f>
        <v>93406.041564941435</v>
      </c>
      <c r="E824" s="34">
        <f t="shared" si="48"/>
        <v>-0.24895236157075584</v>
      </c>
      <c r="F824" s="35">
        <f t="shared" si="49"/>
        <v>107.89546061079569</v>
      </c>
      <c r="G824" s="36" t="str">
        <f t="shared" si="50"/>
        <v>2025-04</v>
      </c>
    </row>
    <row r="825" spans="1:7" x14ac:dyDescent="0.25">
      <c r="A825" s="37">
        <v>45762</v>
      </c>
      <c r="B825" s="38">
        <v>70105.56114196789</v>
      </c>
      <c r="C825" s="39">
        <f t="shared" si="51"/>
        <v>-6.674867734770551E-4</v>
      </c>
      <c r="D825" s="38">
        <f>MAX($B$2:B825)</f>
        <v>93406.041564941435</v>
      </c>
      <c r="E825" s="40">
        <f t="shared" si="48"/>
        <v>-0.24945367593565848</v>
      </c>
      <c r="F825" s="41">
        <f t="shared" si="49"/>
        <v>107.82344181791976</v>
      </c>
      <c r="G825" s="42" t="str">
        <f t="shared" si="50"/>
        <v>2025-04</v>
      </c>
    </row>
    <row r="826" spans="1:7" x14ac:dyDescent="0.25">
      <c r="A826" s="31">
        <v>45763</v>
      </c>
      <c r="B826" s="32">
        <v>67216.096878051816</v>
      </c>
      <c r="C826" s="33">
        <f t="shared" si="51"/>
        <v>-4.1215906653464196E-2</v>
      </c>
      <c r="D826" s="32">
        <f>MAX($B$2:B826)</f>
        <v>93406.041564941435</v>
      </c>
      <c r="E826" s="34">
        <f t="shared" si="48"/>
        <v>-0.28038812316739503</v>
      </c>
      <c r="F826" s="35">
        <f t="shared" si="49"/>
        <v>103.37940090489717</v>
      </c>
      <c r="G826" s="36" t="str">
        <f t="shared" si="50"/>
        <v>2025-04</v>
      </c>
    </row>
    <row r="827" spans="1:7" x14ac:dyDescent="0.25">
      <c r="A827" s="37">
        <v>45764</v>
      </c>
      <c r="B827" s="38">
        <v>66965.246505737334</v>
      </c>
      <c r="C827" s="39">
        <f t="shared" si="51"/>
        <v>-3.7319984938963824E-3</v>
      </c>
      <c r="D827" s="38">
        <f>MAX($B$2:B827)</f>
        <v>93406.041564941435</v>
      </c>
      <c r="E827" s="40">
        <f t="shared" si="48"/>
        <v>-0.28307371360792422</v>
      </c>
      <c r="F827" s="41">
        <f t="shared" si="49"/>
        <v>102.99358913642016</v>
      </c>
      <c r="G827" s="42" t="str">
        <f t="shared" si="50"/>
        <v>2025-04</v>
      </c>
    </row>
    <row r="828" spans="1:7" x14ac:dyDescent="0.25">
      <c r="A828" s="31">
        <v>45768</v>
      </c>
      <c r="B828" s="32">
        <v>64862.142868042043</v>
      </c>
      <c r="C828" s="33">
        <f t="shared" si="51"/>
        <v>-3.1405897050122977E-2</v>
      </c>
      <c r="D828" s="32">
        <f>MAX($B$2:B828)</f>
        <v>93406.041564941435</v>
      </c>
      <c r="E828" s="34">
        <f t="shared" si="48"/>
        <v>-0.30558942675088074</v>
      </c>
      <c r="F828" s="35">
        <f t="shared" si="49"/>
        <v>99.758983079179103</v>
      </c>
      <c r="G828" s="36" t="str">
        <f t="shared" si="50"/>
        <v>2025-04</v>
      </c>
    </row>
    <row r="829" spans="1:7" x14ac:dyDescent="0.25">
      <c r="A829" s="37">
        <v>45769</v>
      </c>
      <c r="B829" s="38">
        <v>66947.676391601563</v>
      </c>
      <c r="C829" s="39">
        <f t="shared" si="51"/>
        <v>3.2153324440766795E-2</v>
      </c>
      <c r="D829" s="38">
        <f>MAX($B$2:B829)</f>
        <v>93406.041564941435</v>
      </c>
      <c r="E829" s="40">
        <f t="shared" si="48"/>
        <v>-0.28326181829410302</v>
      </c>
      <c r="F829" s="41">
        <f t="shared" si="49"/>
        <v>102.96656602800492</v>
      </c>
      <c r="G829" s="42" t="str">
        <f t="shared" si="50"/>
        <v>2025-04</v>
      </c>
    </row>
    <row r="830" spans="1:7" x14ac:dyDescent="0.25">
      <c r="A830" s="31">
        <v>45770</v>
      </c>
      <c r="B830" s="32">
        <v>69322.392196655273</v>
      </c>
      <c r="C830" s="33">
        <f t="shared" si="51"/>
        <v>3.5471220706199347E-2</v>
      </c>
      <c r="D830" s="32">
        <f>MAX($B$2:B830)</f>
        <v>93406.041564941435</v>
      </c>
      <c r="E830" s="34">
        <f t="shared" si="48"/>
        <v>-0.25783824006225309</v>
      </c>
      <c r="F830" s="35">
        <f t="shared" si="49"/>
        <v>106.61891581694371</v>
      </c>
      <c r="G830" s="36" t="str">
        <f t="shared" si="50"/>
        <v>2025-04</v>
      </c>
    </row>
    <row r="831" spans="1:7" x14ac:dyDescent="0.25">
      <c r="A831" s="37">
        <v>45771</v>
      </c>
      <c r="B831" s="38">
        <v>71757.980499267578</v>
      </c>
      <c r="C831" s="39">
        <f t="shared" si="51"/>
        <v>3.5134221792331832E-2</v>
      </c>
      <c r="D831" s="38">
        <f>MAX($B$2:B831)</f>
        <v>93406.041564941435</v>
      </c>
      <c r="E831" s="40">
        <f t="shared" si="48"/>
        <v>-0.23176296418281295</v>
      </c>
      <c r="F831" s="41">
        <f t="shared" si="49"/>
        <v>110.36488845251418</v>
      </c>
      <c r="G831" s="42" t="str">
        <f t="shared" si="50"/>
        <v>2025-04</v>
      </c>
    </row>
    <row r="832" spans="1:7" x14ac:dyDescent="0.25">
      <c r="A832" s="31">
        <v>45772</v>
      </c>
      <c r="B832" s="32">
        <v>73780.959472656235</v>
      </c>
      <c r="C832" s="33">
        <f t="shared" si="51"/>
        <v>2.8191693234863369E-2</v>
      </c>
      <c r="D832" s="32">
        <f>MAX($B$2:B832)</f>
        <v>93406.041564941435</v>
      </c>
      <c r="E832" s="34">
        <f t="shared" si="48"/>
        <v>-0.21010506133739404</v>
      </c>
      <c r="F832" s="35">
        <f t="shared" si="49"/>
        <v>113.47626153166736</v>
      </c>
      <c r="G832" s="36" t="str">
        <f t="shared" si="50"/>
        <v>2025-04</v>
      </c>
    </row>
    <row r="833" spans="1:7" x14ac:dyDescent="0.25">
      <c r="A833" s="37">
        <v>45775</v>
      </c>
      <c r="B833" s="38">
        <v>73464.780654907212</v>
      </c>
      <c r="C833" s="39">
        <f t="shared" si="51"/>
        <v>-4.2853714563877432E-3</v>
      </c>
      <c r="D833" s="38">
        <f>MAX($B$2:B833)</f>
        <v>93406.041564941435</v>
      </c>
      <c r="E833" s="40">
        <f t="shared" si="48"/>
        <v>-0.21349005456108394</v>
      </c>
      <c r="F833" s="41">
        <f t="shared" si="49"/>
        <v>112.98997359952196</v>
      </c>
      <c r="G833" s="42" t="str">
        <f t="shared" si="50"/>
        <v>2025-04</v>
      </c>
    </row>
    <row r="834" spans="1:7" x14ac:dyDescent="0.25">
      <c r="A834" s="31">
        <v>45776</v>
      </c>
      <c r="B834" s="32">
        <v>73935.660858154268</v>
      </c>
      <c r="C834" s="33">
        <f t="shared" si="51"/>
        <v>6.4096046983241894E-3</v>
      </c>
      <c r="D834" s="32">
        <f>MAX($B$2:B834)</f>
        <v>93406.041564941435</v>
      </c>
      <c r="E834" s="34">
        <f t="shared" ref="E834:E897" si="52">B834/D834-1</f>
        <v>-0.20844883671951986</v>
      </c>
      <c r="F834" s="35">
        <f t="shared" ref="F834:F897" si="53">B834/$B$2*100</f>
        <v>113.714194665169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73577.105102539019</v>
      </c>
      <c r="C835" s="39">
        <f t="shared" ref="C835:C898" si="55">B835/B834-1</f>
        <v>-4.8495644923379766E-3</v>
      </c>
      <c r="D835" s="38">
        <f>MAX($B$2:B835)</f>
        <v>93406.041564941435</v>
      </c>
      <c r="E835" s="40">
        <f t="shared" si="52"/>
        <v>-0.21228751513483379</v>
      </c>
      <c r="F835" s="41">
        <f t="shared" si="53"/>
        <v>113.16273034444599</v>
      </c>
      <c r="G835" s="42" t="str">
        <f t="shared" si="54"/>
        <v>2025-04</v>
      </c>
    </row>
    <row r="836" spans="1:7" x14ac:dyDescent="0.25">
      <c r="A836" s="31">
        <v>45778</v>
      </c>
      <c r="B836" s="32">
        <v>75301.307830810503</v>
      </c>
      <c r="C836" s="33">
        <f t="shared" si="55"/>
        <v>2.3433957151053786E-2</v>
      </c>
      <c r="D836" s="32">
        <f>MAX($B$2:B836)</f>
        <v>93406.041564941435</v>
      </c>
      <c r="E836" s="34">
        <f t="shared" si="52"/>
        <v>-0.19382829451715333</v>
      </c>
      <c r="F836" s="35">
        <f t="shared" si="53"/>
        <v>115.81458091843399</v>
      </c>
      <c r="G836" s="36" t="str">
        <f t="shared" si="54"/>
        <v>2025-05</v>
      </c>
    </row>
    <row r="837" spans="1:7" x14ac:dyDescent="0.25">
      <c r="A837" s="37">
        <v>45779</v>
      </c>
      <c r="B837" s="38">
        <v>76381.754608154297</v>
      </c>
      <c r="C837" s="39">
        <f t="shared" si="55"/>
        <v>1.4348313574730653E-2</v>
      </c>
      <c r="D837" s="38">
        <f>MAX($B$2:B837)</f>
        <v>93406.041564941435</v>
      </c>
      <c r="E837" s="40">
        <f t="shared" si="52"/>
        <v>-0.18226109009181002</v>
      </c>
      <c r="F837" s="41">
        <f t="shared" si="53"/>
        <v>117.47632484197771</v>
      </c>
      <c r="G837" s="42" t="str">
        <f t="shared" si="54"/>
        <v>2025-05</v>
      </c>
    </row>
    <row r="838" spans="1:7" x14ac:dyDescent="0.25">
      <c r="A838" s="31">
        <v>45782</v>
      </c>
      <c r="B838" s="32">
        <v>75370.852279663159</v>
      </c>
      <c r="C838" s="33">
        <f t="shared" si="55"/>
        <v>-1.3234866542110257E-2</v>
      </c>
      <c r="D838" s="32">
        <f>MAX($B$2:B838)</f>
        <v>93406.041564941435</v>
      </c>
      <c r="E838" s="34">
        <f t="shared" si="52"/>
        <v>-0.19308375543073564</v>
      </c>
      <c r="F838" s="35">
        <f t="shared" si="53"/>
        <v>115.92154136083654</v>
      </c>
      <c r="G838" s="36" t="str">
        <f t="shared" si="54"/>
        <v>2025-05</v>
      </c>
    </row>
    <row r="839" spans="1:7" x14ac:dyDescent="0.25">
      <c r="A839" s="37">
        <v>45783</v>
      </c>
      <c r="B839" s="38">
        <v>74757.078552246079</v>
      </c>
      <c r="C839" s="39">
        <f t="shared" si="55"/>
        <v>-8.1433831362245357E-3</v>
      </c>
      <c r="D839" s="38">
        <f>MAX($B$2:B839)</f>
        <v>93406.041564941435</v>
      </c>
      <c r="E839" s="40">
        <f t="shared" si="52"/>
        <v>-0.1996547835691066</v>
      </c>
      <c r="F839" s="41">
        <f t="shared" si="53"/>
        <v>114.97754783579354</v>
      </c>
      <c r="G839" s="42" t="str">
        <f t="shared" si="54"/>
        <v>2025-05</v>
      </c>
    </row>
    <row r="840" spans="1:7" x14ac:dyDescent="0.25">
      <c r="A840" s="31">
        <v>45784</v>
      </c>
      <c r="B840" s="32">
        <v>74847.301406860337</v>
      </c>
      <c r="C840" s="33">
        <f t="shared" si="55"/>
        <v>1.2068804233862362E-3</v>
      </c>
      <c r="D840" s="32">
        <f>MAX($B$2:B840)</f>
        <v>93406.041564941435</v>
      </c>
      <c r="E840" s="34">
        <f t="shared" si="52"/>
        <v>-0.19868886259544527</v>
      </c>
      <c r="F840" s="35">
        <f t="shared" si="53"/>
        <v>115.11631198740552</v>
      </c>
      <c r="G840" s="36" t="str">
        <f t="shared" si="54"/>
        <v>2025-05</v>
      </c>
    </row>
    <row r="841" spans="1:7" x14ac:dyDescent="0.25">
      <c r="A841" s="37">
        <v>45785</v>
      </c>
      <c r="B841" s="38">
        <v>76181.111984252959</v>
      </c>
      <c r="C841" s="39">
        <f t="shared" si="55"/>
        <v>1.7820423079012437E-2</v>
      </c>
      <c r="D841" s="38">
        <f>MAX($B$2:B841)</f>
        <v>93406.041564941435</v>
      </c>
      <c r="E841" s="40">
        <f t="shared" si="52"/>
        <v>-0.18440915910897138</v>
      </c>
      <c r="F841" s="41">
        <f t="shared" si="53"/>
        <v>117.1677333703167</v>
      </c>
      <c r="G841" s="42" t="str">
        <f t="shared" si="54"/>
        <v>2025-05</v>
      </c>
    </row>
    <row r="842" spans="1:7" x14ac:dyDescent="0.25">
      <c r="A842" s="31">
        <v>45786</v>
      </c>
      <c r="B842" s="32">
        <v>76955.476150512739</v>
      </c>
      <c r="C842" s="33">
        <f t="shared" si="55"/>
        <v>1.0164778986421874E-2</v>
      </c>
      <c r="D842" s="32">
        <f>MAX($B$2:B842)</f>
        <v>93406.041564941435</v>
      </c>
      <c r="E842" s="34">
        <f t="shared" si="52"/>
        <v>-0.17611885846796416</v>
      </c>
      <c r="F842" s="35">
        <f t="shared" si="53"/>
        <v>118.35871748436597</v>
      </c>
      <c r="G842" s="36" t="str">
        <f t="shared" si="54"/>
        <v>2025-05</v>
      </c>
    </row>
    <row r="843" spans="1:7" x14ac:dyDescent="0.25">
      <c r="A843" s="37">
        <v>45789</v>
      </c>
      <c r="B843" s="38">
        <v>81055.621109008775</v>
      </c>
      <c r="C843" s="39">
        <f t="shared" si="55"/>
        <v>5.3279443693867945E-2</v>
      </c>
      <c r="D843" s="38">
        <f>MAX($B$2:B843)</f>
        <v>93406.041564941435</v>
      </c>
      <c r="E843" s="40">
        <f t="shared" si="52"/>
        <v>-0.13222292957726844</v>
      </c>
      <c r="F843" s="41">
        <f t="shared" si="53"/>
        <v>124.66480410825267</v>
      </c>
      <c r="G843" s="42" t="str">
        <f t="shared" si="54"/>
        <v>2025-05</v>
      </c>
    </row>
    <row r="844" spans="1:7" x14ac:dyDescent="0.25">
      <c r="A844" s="31">
        <v>45790</v>
      </c>
      <c r="B844" s="32">
        <v>83326.324005126982</v>
      </c>
      <c r="C844" s="33">
        <f t="shared" si="55"/>
        <v>2.801413233345551E-2</v>
      </c>
      <c r="D844" s="32">
        <f>MAX($B$2:B844)</f>
        <v>93406.041564941435</v>
      </c>
      <c r="E844" s="34">
        <f t="shared" si="52"/>
        <v>-0.10791290789050767</v>
      </c>
      <c r="F844" s="35">
        <f t="shared" si="53"/>
        <v>128.15718042786557</v>
      </c>
      <c r="G844" s="36" t="str">
        <f t="shared" si="54"/>
        <v>2025-05</v>
      </c>
    </row>
    <row r="845" spans="1:7" x14ac:dyDescent="0.25">
      <c r="A845" s="37">
        <v>45791</v>
      </c>
      <c r="B845" s="38">
        <v>84376.613769531221</v>
      </c>
      <c r="C845" s="39">
        <f t="shared" si="55"/>
        <v>1.2604537364922175E-2</v>
      </c>
      <c r="D845" s="38">
        <f>MAX($B$2:B845)</f>
        <v>93406.041564941435</v>
      </c>
      <c r="E845" s="40">
        <f t="shared" si="52"/>
        <v>-9.6668562805248714E-2</v>
      </c>
      <c r="F845" s="41">
        <f t="shared" si="53"/>
        <v>129.77254239715168</v>
      </c>
      <c r="G845" s="42" t="str">
        <f t="shared" si="54"/>
        <v>2025-05</v>
      </c>
    </row>
    <row r="846" spans="1:7" x14ac:dyDescent="0.25">
      <c r="A846" s="31">
        <v>45792</v>
      </c>
      <c r="B846" s="32">
        <v>83837.905349731489</v>
      </c>
      <c r="C846" s="33">
        <f t="shared" si="55"/>
        <v>-6.3845702705156437E-3</v>
      </c>
      <c r="D846" s="32">
        <f>MAX($B$2:B846)</f>
        <v>93406.041564941435</v>
      </c>
      <c r="E846" s="34">
        <f t="shared" si="52"/>
        <v>-0.10243594584358451</v>
      </c>
      <c r="F846" s="35">
        <f t="shared" si="53"/>
        <v>128.94400048103358</v>
      </c>
      <c r="G846" s="36" t="str">
        <f t="shared" si="54"/>
        <v>2025-05</v>
      </c>
    </row>
    <row r="847" spans="1:7" x14ac:dyDescent="0.25">
      <c r="A847" s="37">
        <v>45793</v>
      </c>
      <c r="B847" s="38">
        <v>84500.940628051772</v>
      </c>
      <c r="C847" s="39">
        <f t="shared" si="55"/>
        <v>7.9085382149568506E-3</v>
      </c>
      <c r="D847" s="38">
        <f>MAX($B$2:B847)</f>
        <v>93406.041564941435</v>
      </c>
      <c r="E847" s="40">
        <f t="shared" si="52"/>
        <v>-9.5337526220916957E-2</v>
      </c>
      <c r="F847" s="41">
        <f t="shared" si="53"/>
        <v>129.96375903642726</v>
      </c>
      <c r="G847" s="42" t="str">
        <f t="shared" si="54"/>
        <v>2025-05</v>
      </c>
    </row>
    <row r="848" spans="1:7" x14ac:dyDescent="0.25">
      <c r="A848" s="31">
        <v>45796</v>
      </c>
      <c r="B848" s="32">
        <v>84405.72212219247</v>
      </c>
      <c r="C848" s="33">
        <f t="shared" si="55"/>
        <v>-1.1268336796205203E-3</v>
      </c>
      <c r="D848" s="32">
        <f>MAX($B$2:B848)</f>
        <v>93406.041564941435</v>
      </c>
      <c r="E848" s="34">
        <f t="shared" si="52"/>
        <v>-9.635693036505999E-2</v>
      </c>
      <c r="F848" s="35">
        <f t="shared" si="53"/>
        <v>129.81731149561492</v>
      </c>
      <c r="G848" s="36" t="str">
        <f t="shared" si="54"/>
        <v>2025-05</v>
      </c>
    </row>
    <row r="849" spans="1:7" x14ac:dyDescent="0.25">
      <c r="A849" s="37">
        <v>45797</v>
      </c>
      <c r="B849" s="38">
        <v>84156.238250732436</v>
      </c>
      <c r="C849" s="39">
        <f t="shared" si="55"/>
        <v>-2.9557696467410466E-3</v>
      </c>
      <c r="D849" s="38">
        <f>MAX($B$2:B849)</f>
        <v>93406.041564941435</v>
      </c>
      <c r="E849" s="40">
        <f t="shared" si="52"/>
        <v>-9.9027891121774902E-2</v>
      </c>
      <c r="F849" s="41">
        <f t="shared" si="53"/>
        <v>129.43360142667467</v>
      </c>
      <c r="G849" s="42" t="str">
        <f t="shared" si="54"/>
        <v>2025-05</v>
      </c>
    </row>
    <row r="850" spans="1:7" x14ac:dyDescent="0.25">
      <c r="A850" s="31">
        <v>45798</v>
      </c>
      <c r="B850" s="32">
        <v>82911.491546630874</v>
      </c>
      <c r="C850" s="33">
        <f t="shared" si="55"/>
        <v>-1.4790902373665982E-2</v>
      </c>
      <c r="D850" s="32">
        <f>MAX($B$2:B850)</f>
        <v>93406.041564941435</v>
      </c>
      <c r="E850" s="34">
        <f t="shared" si="52"/>
        <v>-0.11235408162558869</v>
      </c>
      <c r="F850" s="35">
        <f t="shared" si="53"/>
        <v>127.51916166410071</v>
      </c>
      <c r="G850" s="36" t="str">
        <f t="shared" si="54"/>
        <v>2025-05</v>
      </c>
    </row>
    <row r="851" spans="1:7" x14ac:dyDescent="0.25">
      <c r="A851" s="37">
        <v>45799</v>
      </c>
      <c r="B851" s="38">
        <v>83711.593093872099</v>
      </c>
      <c r="C851" s="39">
        <f t="shared" si="55"/>
        <v>9.6500681909845731E-3</v>
      </c>
      <c r="D851" s="38">
        <f>MAX($B$2:B851)</f>
        <v>93406.041564941435</v>
      </c>
      <c r="E851" s="40">
        <f t="shared" si="52"/>
        <v>-0.10378823798382653</v>
      </c>
      <c r="F851" s="41">
        <f t="shared" si="53"/>
        <v>128.74973026981647</v>
      </c>
      <c r="G851" s="42" t="str">
        <f t="shared" si="54"/>
        <v>2025-05</v>
      </c>
    </row>
    <row r="852" spans="1:7" x14ac:dyDescent="0.25">
      <c r="A852" s="31">
        <v>45800</v>
      </c>
      <c r="B852" s="32">
        <v>82447.125015258789</v>
      </c>
      <c r="C852" s="33">
        <f t="shared" si="55"/>
        <v>-1.5105053337061247E-2</v>
      </c>
      <c r="D852" s="32">
        <f>MAX($B$2:B852)</f>
        <v>93406.041564941435</v>
      </c>
      <c r="E852" s="34">
        <f t="shared" si="52"/>
        <v>-0.11732556445038256</v>
      </c>
      <c r="F852" s="35">
        <f t="shared" si="53"/>
        <v>126.80495872695863</v>
      </c>
      <c r="G852" s="36" t="str">
        <f t="shared" si="54"/>
        <v>2025-05</v>
      </c>
    </row>
    <row r="853" spans="1:7" x14ac:dyDescent="0.25">
      <c r="A853" s="37">
        <v>45804</v>
      </c>
      <c r="B853" s="38">
        <v>85391.754302978559</v>
      </c>
      <c r="C853" s="39">
        <f t="shared" si="55"/>
        <v>3.5715366511261504E-2</v>
      </c>
      <c r="D853" s="38">
        <f>MAX($B$2:B853)</f>
        <v>93406.041564941435</v>
      </c>
      <c r="E853" s="40">
        <f t="shared" si="52"/>
        <v>-8.5800523474606982E-2</v>
      </c>
      <c r="F853" s="41">
        <f t="shared" si="53"/>
        <v>131.33384430333737</v>
      </c>
      <c r="G853" s="42" t="str">
        <f t="shared" si="54"/>
        <v>2025-05</v>
      </c>
    </row>
    <row r="854" spans="1:7" x14ac:dyDescent="0.25">
      <c r="A854" s="31">
        <v>45805</v>
      </c>
      <c r="B854" s="32">
        <v>84748.484420776353</v>
      </c>
      <c r="C854" s="33">
        <f t="shared" si="55"/>
        <v>-7.5331615734209878E-3</v>
      </c>
      <c r="D854" s="32">
        <f>MAX($B$2:B854)</f>
        <v>93406.041564941435</v>
      </c>
      <c r="E854" s="34">
        <f t="shared" si="52"/>
        <v>-9.2687335841609708E-2</v>
      </c>
      <c r="F854" s="35">
        <f t="shared" si="53"/>
        <v>130.34448523414179</v>
      </c>
      <c r="G854" s="36" t="str">
        <f t="shared" si="54"/>
        <v>2025-05</v>
      </c>
    </row>
    <row r="855" spans="1:7" x14ac:dyDescent="0.25">
      <c r="A855" s="37">
        <v>45806</v>
      </c>
      <c r="B855" s="38">
        <v>85056.577835083008</v>
      </c>
      <c r="C855" s="39">
        <f t="shared" si="55"/>
        <v>3.6353855341761943E-3</v>
      </c>
      <c r="D855" s="38">
        <f>MAX($B$2:B855)</f>
        <v>93406.041564941435</v>
      </c>
      <c r="E855" s="40">
        <f t="shared" si="52"/>
        <v>-8.9388904507353373E-2</v>
      </c>
      <c r="F855" s="41">
        <f t="shared" si="53"/>
        <v>130.81833769022165</v>
      </c>
      <c r="G855" s="42" t="str">
        <f t="shared" si="54"/>
        <v>2025-05</v>
      </c>
    </row>
    <row r="856" spans="1:7" x14ac:dyDescent="0.25">
      <c r="A856" s="31">
        <v>45807</v>
      </c>
      <c r="B856" s="32">
        <v>84285.818252563491</v>
      </c>
      <c r="C856" s="33">
        <f t="shared" si="55"/>
        <v>-9.0617281124800719E-3</v>
      </c>
      <c r="D856" s="32">
        <f>MAX($B$2:B856)</f>
        <v>93406.041564941435</v>
      </c>
      <c r="E856" s="34">
        <f t="shared" si="52"/>
        <v>-9.7640614670915338E-2</v>
      </c>
      <c r="F856" s="35">
        <f t="shared" si="53"/>
        <v>129.63289748194626</v>
      </c>
      <c r="G856" s="36" t="str">
        <f t="shared" si="54"/>
        <v>2025-05</v>
      </c>
    </row>
    <row r="857" spans="1:7" x14ac:dyDescent="0.25">
      <c r="A857" s="37">
        <v>45810</v>
      </c>
      <c r="B857" s="38">
        <v>84675.163345336929</v>
      </c>
      <c r="C857" s="39">
        <f t="shared" si="55"/>
        <v>4.619342860346487E-3</v>
      </c>
      <c r="D857" s="38">
        <f>MAX($B$2:B857)</f>
        <v>93406.041564941435</v>
      </c>
      <c r="E857" s="40">
        <f t="shared" si="52"/>
        <v>-9.347230728682876E-2</v>
      </c>
      <c r="F857" s="41">
        <f t="shared" si="53"/>
        <v>130.23171628139551</v>
      </c>
      <c r="G857" s="42" t="str">
        <f t="shared" si="54"/>
        <v>2025-06</v>
      </c>
    </row>
    <row r="858" spans="1:7" x14ac:dyDescent="0.25">
      <c r="A858" s="31">
        <v>45811</v>
      </c>
      <c r="B858" s="32">
        <v>85555.703887939424</v>
      </c>
      <c r="C858" s="33">
        <f t="shared" si="55"/>
        <v>1.0399041558518451E-2</v>
      </c>
      <c r="D858" s="32">
        <f>MAX($B$2:B858)</f>
        <v>93406.041564941435</v>
      </c>
      <c r="E858" s="34">
        <f t="shared" si="52"/>
        <v>-8.4045288136356699E-2</v>
      </c>
      <c r="F858" s="35">
        <f t="shared" si="53"/>
        <v>131.58600131124294</v>
      </c>
      <c r="G858" s="36" t="str">
        <f t="shared" si="54"/>
        <v>2025-06</v>
      </c>
    </row>
    <row r="859" spans="1:7" x14ac:dyDescent="0.25">
      <c r="A859" s="37">
        <v>45812</v>
      </c>
      <c r="B859" s="38">
        <v>85503.883132934599</v>
      </c>
      <c r="C859" s="39">
        <f t="shared" si="55"/>
        <v>-6.0569608629135185E-4</v>
      </c>
      <c r="D859" s="38">
        <f>MAX($B$2:B859)</f>
        <v>93406.041564941435</v>
      </c>
      <c r="E859" s="40">
        <f t="shared" si="52"/>
        <v>-8.4600078320552607E-2</v>
      </c>
      <c r="F859" s="41">
        <f t="shared" si="53"/>
        <v>131.50630018523799</v>
      </c>
      <c r="G859" s="42" t="str">
        <f t="shared" si="54"/>
        <v>2025-06</v>
      </c>
    </row>
    <row r="860" spans="1:7" x14ac:dyDescent="0.25">
      <c r="A860" s="31">
        <v>45813</v>
      </c>
      <c r="B860" s="32">
        <v>83514.517211914063</v>
      </c>
      <c r="C860" s="33">
        <f t="shared" si="55"/>
        <v>-2.3266380989125701E-2</v>
      </c>
      <c r="D860" s="32">
        <f>MAX($B$2:B860)</f>
        <v>93406.041564941435</v>
      </c>
      <c r="E860" s="34">
        <f t="shared" si="52"/>
        <v>-0.10589812165576251</v>
      </c>
      <c r="F860" s="35">
        <f t="shared" si="53"/>
        <v>128.44662450265793</v>
      </c>
      <c r="G860" s="36" t="str">
        <f t="shared" si="54"/>
        <v>2025-06</v>
      </c>
    </row>
    <row r="861" spans="1:7" x14ac:dyDescent="0.25">
      <c r="A861" s="37">
        <v>45814</v>
      </c>
      <c r="B861" s="38">
        <v>85114.84413146977</v>
      </c>
      <c r="C861" s="39">
        <f t="shared" si="55"/>
        <v>1.9162260322896474E-2</v>
      </c>
      <c r="D861" s="38">
        <f>MAX($B$2:B861)</f>
        <v>93406.041564941435</v>
      </c>
      <c r="E861" s="40">
        <f t="shared" si="52"/>
        <v>-8.8765108707739571E-2</v>
      </c>
      <c r="F861" s="41">
        <f t="shared" si="53"/>
        <v>130.90795215897515</v>
      </c>
      <c r="G861" s="42" t="str">
        <f t="shared" si="54"/>
        <v>2025-06</v>
      </c>
    </row>
    <row r="862" spans="1:7" x14ac:dyDescent="0.25">
      <c r="A862" s="31">
        <v>45817</v>
      </c>
      <c r="B862" s="32">
        <v>85980.872879028349</v>
      </c>
      <c r="C862" s="33">
        <f t="shared" si="55"/>
        <v>1.0174826217397515E-2</v>
      </c>
      <c r="D862" s="32">
        <f>MAX($B$2:B862)</f>
        <v>93406.041564941435</v>
      </c>
      <c r="E862" s="34">
        <f t="shared" si="52"/>
        <v>-7.9493452045611757E-2</v>
      </c>
      <c r="F862" s="35">
        <f t="shared" si="53"/>
        <v>132.2399178226681</v>
      </c>
      <c r="G862" s="36" t="str">
        <f t="shared" si="54"/>
        <v>2025-06</v>
      </c>
    </row>
    <row r="863" spans="1:7" x14ac:dyDescent="0.25">
      <c r="A863" s="37">
        <v>45818</v>
      </c>
      <c r="B863" s="38">
        <v>87294.049606323257</v>
      </c>
      <c r="C863" s="39">
        <f t="shared" si="55"/>
        <v>1.527289364859663E-2</v>
      </c>
      <c r="D863" s="38">
        <f>MAX($B$2:B863)</f>
        <v>93406.041564941435</v>
      </c>
      <c r="E863" s="40">
        <f t="shared" si="52"/>
        <v>-6.5434653435867518E-2</v>
      </c>
      <c r="F863" s="41">
        <f t="shared" si="53"/>
        <v>134.25960402367286</v>
      </c>
      <c r="G863" s="42" t="str">
        <f t="shared" si="54"/>
        <v>2025-06</v>
      </c>
    </row>
    <row r="864" spans="1:7" x14ac:dyDescent="0.25">
      <c r="A864" s="31">
        <v>45819</v>
      </c>
      <c r="B864" s="32">
        <v>87266.387710571304</v>
      </c>
      <c r="C864" s="33">
        <f t="shared" si="55"/>
        <v>-3.1688180210109884E-4</v>
      </c>
      <c r="D864" s="32">
        <f>MAX($B$2:B864)</f>
        <v>93406.041564941435</v>
      </c>
      <c r="E864" s="34">
        <f t="shared" si="52"/>
        <v>-6.5730800187068006E-2</v>
      </c>
      <c r="F864" s="35">
        <f t="shared" si="53"/>
        <v>134.21705959840048</v>
      </c>
      <c r="G864" s="36" t="str">
        <f t="shared" si="54"/>
        <v>2025-06</v>
      </c>
    </row>
    <row r="865" spans="1:7" x14ac:dyDescent="0.25">
      <c r="A865" s="37">
        <v>45820</v>
      </c>
      <c r="B865" s="38">
        <v>87299.642028808565</v>
      </c>
      <c r="C865" s="39">
        <f t="shared" si="55"/>
        <v>3.8106674413462827E-4</v>
      </c>
      <c r="D865" s="38">
        <f>MAX($B$2:B865)</f>
        <v>93406.041564941435</v>
      </c>
      <c r="E865" s="40">
        <f t="shared" si="52"/>
        <v>-6.5374781264949999E-2</v>
      </c>
      <c r="F865" s="41">
        <f t="shared" si="53"/>
        <v>134.26820525630899</v>
      </c>
      <c r="G865" s="42" t="str">
        <f t="shared" si="54"/>
        <v>2025-06</v>
      </c>
    </row>
    <row r="866" spans="1:7" x14ac:dyDescent="0.25">
      <c r="A866" s="31">
        <v>45821</v>
      </c>
      <c r="B866" s="32">
        <v>86679.797592163188</v>
      </c>
      <c r="C866" s="33">
        <f t="shared" si="55"/>
        <v>-7.1001944823648744E-3</v>
      </c>
      <c r="D866" s="32">
        <f>MAX($B$2:B866)</f>
        <v>93406.041564941435</v>
      </c>
      <c r="E866" s="34">
        <f t="shared" si="52"/>
        <v>-7.2010802086091674E-2</v>
      </c>
      <c r="F866" s="35">
        <f t="shared" si="53"/>
        <v>133.31487488619109</v>
      </c>
      <c r="G866" s="36" t="str">
        <f t="shared" si="54"/>
        <v>2025-06</v>
      </c>
    </row>
    <row r="867" spans="1:7" x14ac:dyDescent="0.25">
      <c r="A867" s="37">
        <v>45824</v>
      </c>
      <c r="B867" s="38">
        <v>88214.754486084057</v>
      </c>
      <c r="C867" s="39">
        <f t="shared" si="55"/>
        <v>1.7708358078349251E-2</v>
      </c>
      <c r="D867" s="38">
        <f>MAX($B$2:B867)</f>
        <v>93406.041564941435</v>
      </c>
      <c r="E867" s="40">
        <f t="shared" si="52"/>
        <v>-5.5577637076591913E-2</v>
      </c>
      <c r="F867" s="41">
        <f t="shared" si="53"/>
        <v>135.67566242784611</v>
      </c>
      <c r="G867" s="42" t="str">
        <f t="shared" si="54"/>
        <v>2025-06</v>
      </c>
    </row>
    <row r="868" spans="1:7" x14ac:dyDescent="0.25">
      <c r="A868" s="31">
        <v>45825</v>
      </c>
      <c r="B868" s="32">
        <v>87113.505325317426</v>
      </c>
      <c r="C868" s="33">
        <f t="shared" si="55"/>
        <v>-1.2483729815745859E-2</v>
      </c>
      <c r="D868" s="32">
        <f>MAX($B$2:B868)</f>
        <v>93406.041564941435</v>
      </c>
      <c r="E868" s="34">
        <f t="shared" si="52"/>
        <v>-6.7367550687276068E-2</v>
      </c>
      <c r="F868" s="35">
        <f t="shared" si="53"/>
        <v>133.98192411552452</v>
      </c>
      <c r="G868" s="36" t="str">
        <f t="shared" si="54"/>
        <v>2025-06</v>
      </c>
    </row>
    <row r="869" spans="1:7" x14ac:dyDescent="0.25">
      <c r="A869" s="37">
        <v>45826</v>
      </c>
      <c r="B869" s="38">
        <v>87729.907379150391</v>
      </c>
      <c r="C869" s="39">
        <f t="shared" si="55"/>
        <v>7.0758495084208839E-3</v>
      </c>
      <c r="D869" s="38">
        <f>MAX($B$2:B869)</f>
        <v>93406.041564941435</v>
      </c>
      <c r="E869" s="40">
        <f t="shared" si="52"/>
        <v>-6.0768383829269301E-2</v>
      </c>
      <c r="F869" s="41">
        <f t="shared" si="53"/>
        <v>134.92996004741465</v>
      </c>
      <c r="G869" s="42" t="str">
        <f t="shared" si="54"/>
        <v>2025-06</v>
      </c>
    </row>
    <row r="870" spans="1:7" x14ac:dyDescent="0.25">
      <c r="A870" s="31">
        <v>45828</v>
      </c>
      <c r="B870" s="32">
        <v>87352.863845825195</v>
      </c>
      <c r="C870" s="33">
        <f t="shared" si="55"/>
        <v>-4.297776489101901E-3</v>
      </c>
      <c r="D870" s="32">
        <f>MAX($B$2:B870)</f>
        <v>93406.041564941435</v>
      </c>
      <c r="E870" s="34">
        <f t="shared" si="52"/>
        <v>-6.4804991387068966E-2</v>
      </c>
      <c r="F870" s="35">
        <f t="shared" si="53"/>
        <v>134.35006123744742</v>
      </c>
      <c r="G870" s="36" t="str">
        <f t="shared" si="54"/>
        <v>2025-06</v>
      </c>
    </row>
    <row r="871" spans="1:7" x14ac:dyDescent="0.25">
      <c r="A871" s="37">
        <v>45831</v>
      </c>
      <c r="B871" s="38">
        <v>88657.599868774516</v>
      </c>
      <c r="C871" s="39">
        <f t="shared" si="55"/>
        <v>1.4936385202574787E-2</v>
      </c>
      <c r="D871" s="38">
        <f>MAX($B$2:B871)</f>
        <v>93406.041564941435</v>
      </c>
      <c r="E871" s="40">
        <f t="shared" si="52"/>
        <v>-5.0836558498901008E-2</v>
      </c>
      <c r="F871" s="41">
        <f t="shared" si="53"/>
        <v>136.35676550407945</v>
      </c>
      <c r="G871" s="42" t="str">
        <f t="shared" si="54"/>
        <v>2025-06</v>
      </c>
    </row>
    <row r="872" spans="1:7" x14ac:dyDescent="0.25">
      <c r="A872" s="31">
        <v>45832</v>
      </c>
      <c r="B872" s="32">
        <v>89966.839218139736</v>
      </c>
      <c r="C872" s="33">
        <f t="shared" si="55"/>
        <v>1.4767367392113817E-2</v>
      </c>
      <c r="D872" s="32">
        <f>MAX($B$2:B872)</f>
        <v>93406.041564941435</v>
      </c>
      <c r="E872" s="34">
        <f t="shared" si="52"/>
        <v>-3.6819913243091085E-2</v>
      </c>
      <c r="F872" s="35">
        <f t="shared" si="53"/>
        <v>138.37039595667849</v>
      </c>
      <c r="G872" s="36" t="str">
        <f t="shared" si="54"/>
        <v>2025-06</v>
      </c>
    </row>
    <row r="873" spans="1:7" x14ac:dyDescent="0.25">
      <c r="A873" s="37">
        <v>45833</v>
      </c>
      <c r="B873" s="38">
        <v>90156.611938476548</v>
      </c>
      <c r="C873" s="39">
        <f t="shared" si="55"/>
        <v>2.1093629829171956E-3</v>
      </c>
      <c r="D873" s="38">
        <f>MAX($B$2:B873)</f>
        <v>93406.041564941435</v>
      </c>
      <c r="E873" s="40">
        <f t="shared" si="52"/>
        <v>-3.4788216822203011E-2</v>
      </c>
      <c r="F873" s="41">
        <f t="shared" si="53"/>
        <v>138.66226934784115</v>
      </c>
      <c r="G873" s="42" t="str">
        <f t="shared" si="54"/>
        <v>2025-06</v>
      </c>
    </row>
    <row r="874" spans="1:7" x14ac:dyDescent="0.25">
      <c r="A874" s="31">
        <v>45834</v>
      </c>
      <c r="B874" s="32">
        <v>90699.026565551772</v>
      </c>
      <c r="C874" s="33">
        <f t="shared" si="55"/>
        <v>6.0163599253859612E-3</v>
      </c>
      <c r="D874" s="32">
        <f>MAX($B$2:B874)</f>
        <v>93406.041564941435</v>
      </c>
      <c r="E874" s="34">
        <f t="shared" si="52"/>
        <v>-2.8981155330381814E-2</v>
      </c>
      <c r="F874" s="35">
        <f t="shared" si="53"/>
        <v>139.49651146830854</v>
      </c>
      <c r="G874" s="36" t="str">
        <f t="shared" si="54"/>
        <v>2025-06</v>
      </c>
    </row>
    <row r="875" spans="1:7" x14ac:dyDescent="0.25">
      <c r="A875" s="37">
        <v>45835</v>
      </c>
      <c r="B875" s="38">
        <v>91122.380828857509</v>
      </c>
      <c r="C875" s="39">
        <f t="shared" si="55"/>
        <v>4.6676825467333316E-3</v>
      </c>
      <c r="D875" s="38">
        <f>MAX($B$2:B875)</f>
        <v>93406.041564941435</v>
      </c>
      <c r="E875" s="40">
        <f t="shared" si="52"/>
        <v>-2.4448747616568123E-2</v>
      </c>
      <c r="F875" s="41">
        <f t="shared" si="53"/>
        <v>140.1476369002194</v>
      </c>
      <c r="G875" s="42" t="str">
        <f t="shared" si="54"/>
        <v>2025-06</v>
      </c>
    </row>
    <row r="876" spans="1:7" x14ac:dyDescent="0.25">
      <c r="A876" s="31">
        <v>45838</v>
      </c>
      <c r="B876" s="32">
        <v>91645.50537109375</v>
      </c>
      <c r="C876" s="33">
        <f t="shared" si="55"/>
        <v>5.7409007257915867E-3</v>
      </c>
      <c r="D876" s="32">
        <f>MAX($B$2:B876)</f>
        <v>93406.041564941435</v>
      </c>
      <c r="E876" s="34">
        <f t="shared" si="52"/>
        <v>-1.8848204723713291E-2</v>
      </c>
      <c r="F876" s="35">
        <f t="shared" si="53"/>
        <v>140.95221057061781</v>
      </c>
      <c r="G876" s="36" t="str">
        <f t="shared" si="54"/>
        <v>2025-06</v>
      </c>
    </row>
    <row r="877" spans="1:7" x14ac:dyDescent="0.25">
      <c r="A877" s="37">
        <v>45839</v>
      </c>
      <c r="B877" s="38">
        <v>90316.09169006352</v>
      </c>
      <c r="C877" s="39">
        <f t="shared" si="55"/>
        <v>-1.4506043429485471E-2</v>
      </c>
      <c r="D877" s="38">
        <f>MAX($B$2:B877)</f>
        <v>93406.041564941435</v>
      </c>
      <c r="E877" s="40">
        <f t="shared" si="52"/>
        <v>-3.3080835276908749E-2</v>
      </c>
      <c r="F877" s="41">
        <f t="shared" si="53"/>
        <v>138.90755168259844</v>
      </c>
      <c r="G877" s="42" t="str">
        <f t="shared" si="54"/>
        <v>2025-07</v>
      </c>
    </row>
    <row r="878" spans="1:7" x14ac:dyDescent="0.25">
      <c r="A878" s="31">
        <v>45840</v>
      </c>
      <c r="B878" s="32">
        <v>92476.310043334903</v>
      </c>
      <c r="C878" s="33">
        <f t="shared" si="55"/>
        <v>2.3918421544242285E-2</v>
      </c>
      <c r="D878" s="32">
        <f>MAX($B$2:B878)</f>
        <v>93406.041564941435</v>
      </c>
      <c r="E878" s="34">
        <f t="shared" si="52"/>
        <v>-9.9536550958551073E-3</v>
      </c>
      <c r="F878" s="35">
        <f t="shared" si="53"/>
        <v>142.23000105942148</v>
      </c>
      <c r="G878" s="36" t="str">
        <f t="shared" si="54"/>
        <v>2025-07</v>
      </c>
    </row>
    <row r="879" spans="1:7" x14ac:dyDescent="0.25">
      <c r="A879" s="37">
        <v>45841</v>
      </c>
      <c r="B879" s="38">
        <v>92877.640609741225</v>
      </c>
      <c r="C879" s="39">
        <f t="shared" si="55"/>
        <v>4.3398202871445246E-3</v>
      </c>
      <c r="D879" s="38">
        <f>MAX($B$2:B879)</f>
        <v>93406.041564941435</v>
      </c>
      <c r="E879" s="40">
        <f t="shared" si="52"/>
        <v>-5.6570318830269084E-3</v>
      </c>
      <c r="F879" s="41">
        <f t="shared" si="53"/>
        <v>142.84725370345973</v>
      </c>
      <c r="G879" s="42" t="str">
        <f t="shared" si="54"/>
        <v>2025-07</v>
      </c>
    </row>
    <row r="880" spans="1:7" x14ac:dyDescent="0.25">
      <c r="A880" s="31">
        <v>45845</v>
      </c>
      <c r="B880" s="32">
        <v>91034.312591552749</v>
      </c>
      <c r="C880" s="33">
        <f t="shared" si="55"/>
        <v>-1.9846843719188323E-2</v>
      </c>
      <c r="D880" s="32">
        <f>MAX($B$2:B880)</f>
        <v>93406.041564941435</v>
      </c>
      <c r="E880" s="34">
        <f t="shared" si="52"/>
        <v>-2.5391601374518347E-2</v>
      </c>
      <c r="F880" s="35">
        <f t="shared" si="53"/>
        <v>140.01218658349191</v>
      </c>
      <c r="G880" s="36" t="str">
        <f t="shared" si="54"/>
        <v>2025-07</v>
      </c>
    </row>
    <row r="881" spans="1:7" x14ac:dyDescent="0.25">
      <c r="A881" s="37">
        <v>45846</v>
      </c>
      <c r="B881" s="38">
        <v>90981.447601318374</v>
      </c>
      <c r="C881" s="39">
        <f t="shared" si="55"/>
        <v>-5.807149933846345E-4</v>
      </c>
      <c r="D881" s="38">
        <f>MAX($B$2:B881)</f>
        <v>93406.041564941435</v>
      </c>
      <c r="E881" s="40">
        <f t="shared" si="52"/>
        <v>-2.5957571084278763E-2</v>
      </c>
      <c r="F881" s="41">
        <f t="shared" si="53"/>
        <v>139.93087940748632</v>
      </c>
      <c r="G881" s="42" t="str">
        <f t="shared" si="54"/>
        <v>2025-07</v>
      </c>
    </row>
    <row r="882" spans="1:7" x14ac:dyDescent="0.25">
      <c r="A882" s="31">
        <v>45847</v>
      </c>
      <c r="B882" s="32">
        <v>91944.664001464844</v>
      </c>
      <c r="C882" s="33">
        <f t="shared" si="55"/>
        <v>1.0586953994921044E-2</v>
      </c>
      <c r="D882" s="32">
        <f>MAX($B$2:B882)</f>
        <v>93406.041564941435</v>
      </c>
      <c r="E882" s="34">
        <f t="shared" si="52"/>
        <v>-1.5645428700246877E-2</v>
      </c>
      <c r="F882" s="35">
        <f t="shared" si="53"/>
        <v>141.41232119024221</v>
      </c>
      <c r="G882" s="36" t="str">
        <f t="shared" si="54"/>
        <v>2025-07</v>
      </c>
    </row>
    <row r="883" spans="1:7" x14ac:dyDescent="0.25">
      <c r="A883" s="37">
        <v>45848</v>
      </c>
      <c r="B883" s="38">
        <v>92911.372070312544</v>
      </c>
      <c r="C883" s="39">
        <f t="shared" si="55"/>
        <v>1.0514020355028908E-2</v>
      </c>
      <c r="D883" s="38">
        <f>MAX($B$2:B883)</f>
        <v>93406.041564941435</v>
      </c>
      <c r="E883" s="40">
        <f t="shared" si="52"/>
        <v>-5.2959047010354698E-3</v>
      </c>
      <c r="F883" s="41">
        <f t="shared" si="53"/>
        <v>142.89913321368829</v>
      </c>
      <c r="G883" s="42" t="str">
        <f t="shared" si="54"/>
        <v>2025-07</v>
      </c>
    </row>
    <row r="884" spans="1:7" x14ac:dyDescent="0.25">
      <c r="A884" s="31">
        <v>45849</v>
      </c>
      <c r="B884" s="32">
        <v>93349.661254882856</v>
      </c>
      <c r="C884" s="33">
        <f t="shared" si="55"/>
        <v>4.7172824467454078E-3</v>
      </c>
      <c r="D884" s="32">
        <f>MAX($B$2:B884)</f>
        <v>93406.041564941435</v>
      </c>
      <c r="E884" s="34">
        <f t="shared" si="52"/>
        <v>-6.0360453257601865E-4</v>
      </c>
      <c r="F884" s="35">
        <f t="shared" si="53"/>
        <v>143.57322878645235</v>
      </c>
      <c r="G884" s="36" t="str">
        <f t="shared" si="54"/>
        <v>2025-07</v>
      </c>
    </row>
    <row r="885" spans="1:7" x14ac:dyDescent="0.25">
      <c r="A885" s="37">
        <v>45852</v>
      </c>
      <c r="B885" s="38">
        <v>93163.011856079072</v>
      </c>
      <c r="C885" s="39">
        <f t="shared" si="55"/>
        <v>-1.9994651967097932E-3</v>
      </c>
      <c r="D885" s="38">
        <f>MAX($B$2:B885)</f>
        <v>93406.041564941435</v>
      </c>
      <c r="E885" s="40">
        <f t="shared" si="52"/>
        <v>-2.6018628430303226E-3</v>
      </c>
      <c r="F885" s="41">
        <f t="shared" si="53"/>
        <v>143.28615911231458</v>
      </c>
      <c r="G885" s="42" t="str">
        <f t="shared" si="54"/>
        <v>2025-07</v>
      </c>
    </row>
    <row r="886" spans="1:7" x14ac:dyDescent="0.25">
      <c r="A886" s="31">
        <v>45853</v>
      </c>
      <c r="B886" s="32">
        <v>93870.953979492173</v>
      </c>
      <c r="C886" s="33">
        <f t="shared" si="55"/>
        <v>7.5989613185407645E-3</v>
      </c>
      <c r="D886" s="32">
        <f>MAX($B$2:B886)</f>
        <v>93870.953979492173</v>
      </c>
      <c r="E886" s="34">
        <f t="shared" si="52"/>
        <v>0</v>
      </c>
      <c r="F886" s="35">
        <f t="shared" si="53"/>
        <v>144.37498509289134</v>
      </c>
      <c r="G886" s="36" t="str">
        <f t="shared" si="54"/>
        <v>2025-07</v>
      </c>
    </row>
    <row r="887" spans="1:7" x14ac:dyDescent="0.25">
      <c r="A887" s="37">
        <v>45854</v>
      </c>
      <c r="B887" s="38">
        <v>94571.324844360308</v>
      </c>
      <c r="C887" s="39">
        <f t="shared" si="55"/>
        <v>7.4609965615257678E-3</v>
      </c>
      <c r="D887" s="38">
        <f>MAX($B$2:B887)</f>
        <v>94571.324844360308</v>
      </c>
      <c r="E887" s="40">
        <f t="shared" si="52"/>
        <v>0</v>
      </c>
      <c r="F887" s="41">
        <f t="shared" si="53"/>
        <v>145.45216636023977</v>
      </c>
      <c r="G887" s="42" t="str">
        <f t="shared" si="54"/>
        <v>2025-07</v>
      </c>
    </row>
    <row r="888" spans="1:7" x14ac:dyDescent="0.25">
      <c r="A888" s="31">
        <v>45855</v>
      </c>
      <c r="B888" s="32">
        <v>95312.659454345761</v>
      </c>
      <c r="C888" s="33">
        <f t="shared" si="55"/>
        <v>7.8388942018683405E-3</v>
      </c>
      <c r="D888" s="32">
        <f>MAX($B$2:B888)</f>
        <v>95312.659454345761</v>
      </c>
      <c r="E888" s="34">
        <f t="shared" si="52"/>
        <v>0</v>
      </c>
      <c r="F888" s="35">
        <f t="shared" si="53"/>
        <v>146.59235050377021</v>
      </c>
      <c r="G888" s="36" t="str">
        <f t="shared" si="54"/>
        <v>2025-07</v>
      </c>
    </row>
    <row r="889" spans="1:7" x14ac:dyDescent="0.25">
      <c r="A889" s="37">
        <v>45856</v>
      </c>
      <c r="B889" s="38">
        <v>95972.458801269633</v>
      </c>
      <c r="C889" s="39">
        <f t="shared" si="55"/>
        <v>6.9224733702861752E-3</v>
      </c>
      <c r="D889" s="38">
        <f>MAX($B$2:B889)</f>
        <v>95972.458801269633</v>
      </c>
      <c r="E889" s="40">
        <f t="shared" si="52"/>
        <v>0</v>
      </c>
      <c r="F889" s="41">
        <f t="shared" si="53"/>
        <v>147.60713214642024</v>
      </c>
      <c r="G889" s="42" t="str">
        <f t="shared" si="54"/>
        <v>2025-07</v>
      </c>
    </row>
    <row r="890" spans="1:7" x14ac:dyDescent="0.25">
      <c r="A890" s="31">
        <v>45859</v>
      </c>
      <c r="B890" s="32">
        <v>95655.264892578154</v>
      </c>
      <c r="C890" s="33">
        <f t="shared" si="55"/>
        <v>-3.3050513934241854E-3</v>
      </c>
      <c r="D890" s="32">
        <f>MAX($B$2:B890)</f>
        <v>95972.458801269633</v>
      </c>
      <c r="E890" s="34">
        <f t="shared" si="52"/>
        <v>-3.3050513934241854E-3</v>
      </c>
      <c r="F890" s="35">
        <f t="shared" si="53"/>
        <v>147.11928298864038</v>
      </c>
      <c r="G890" s="36" t="str">
        <f t="shared" si="54"/>
        <v>2025-07</v>
      </c>
    </row>
    <row r="891" spans="1:7" x14ac:dyDescent="0.25">
      <c r="A891" s="37">
        <v>45860</v>
      </c>
      <c r="B891" s="38">
        <v>94923.432006835967</v>
      </c>
      <c r="C891" s="39">
        <f t="shared" si="55"/>
        <v>-7.6507329373248778E-3</v>
      </c>
      <c r="D891" s="38">
        <f>MAX($B$2:B891)</f>
        <v>95972.458801269633</v>
      </c>
      <c r="E891" s="40">
        <f t="shared" si="52"/>
        <v>-1.0930498265193878E-2</v>
      </c>
      <c r="F891" s="41">
        <f t="shared" si="53"/>
        <v>145.99371264456354</v>
      </c>
      <c r="G891" s="42" t="str">
        <f t="shared" si="54"/>
        <v>2025-07</v>
      </c>
    </row>
    <row r="892" spans="1:7" x14ac:dyDescent="0.25">
      <c r="A892" s="31">
        <v>45861</v>
      </c>
      <c r="B892" s="32">
        <v>95480.130844116211</v>
      </c>
      <c r="C892" s="33">
        <f t="shared" si="55"/>
        <v>5.8647145969201731E-3</v>
      </c>
      <c r="D892" s="32">
        <f>MAX($B$2:B892)</f>
        <v>95972.458801269633</v>
      </c>
      <c r="E892" s="34">
        <f t="shared" si="52"/>
        <v>-5.1298879210012194E-3</v>
      </c>
      <c r="F892" s="35">
        <f t="shared" si="53"/>
        <v>146.84992410216867</v>
      </c>
      <c r="G892" s="36" t="str">
        <f t="shared" si="54"/>
        <v>2025-07</v>
      </c>
    </row>
    <row r="893" spans="1:7" x14ac:dyDescent="0.25">
      <c r="A893" s="37">
        <v>45862</v>
      </c>
      <c r="B893" s="38">
        <v>94895.622406005918</v>
      </c>
      <c r="C893" s="39">
        <f t="shared" si="55"/>
        <v>-6.1217808662681339E-3</v>
      </c>
      <c r="D893" s="38">
        <f>MAX($B$2:B893)</f>
        <v>95972.458801269633</v>
      </c>
      <c r="E893" s="40">
        <f t="shared" si="52"/>
        <v>-1.1220264737548558E-2</v>
      </c>
      <c r="F893" s="41">
        <f t="shared" si="53"/>
        <v>145.95094104658708</v>
      </c>
      <c r="G893" s="42" t="str">
        <f t="shared" si="54"/>
        <v>2025-07</v>
      </c>
    </row>
    <row r="894" spans="1:7" x14ac:dyDescent="0.25">
      <c r="A894" s="31">
        <v>45863</v>
      </c>
      <c r="B894" s="32">
        <v>95931.283340454102</v>
      </c>
      <c r="C894" s="33">
        <f t="shared" si="55"/>
        <v>1.0913685038253629E-2</v>
      </c>
      <c r="D894" s="32">
        <f>MAX($B$2:B894)</f>
        <v>95972.458801269633</v>
      </c>
      <c r="E894" s="34">
        <f t="shared" si="52"/>
        <v>-4.2903413468642349E-4</v>
      </c>
      <c r="F894" s="35">
        <f t="shared" si="53"/>
        <v>147.54380364820625</v>
      </c>
      <c r="G894" s="36" t="str">
        <f t="shared" si="54"/>
        <v>2025-07</v>
      </c>
    </row>
    <row r="895" spans="1:7" x14ac:dyDescent="0.25">
      <c r="A895" s="37">
        <v>45866</v>
      </c>
      <c r="B895" s="38">
        <v>96502.285156249956</v>
      </c>
      <c r="C895" s="39">
        <f t="shared" si="55"/>
        <v>5.9521961545057067E-3</v>
      </c>
      <c r="D895" s="38">
        <f>MAX($B$2:B895)</f>
        <v>96502.285156249956</v>
      </c>
      <c r="E895" s="40">
        <f t="shared" si="52"/>
        <v>0</v>
      </c>
      <c r="F895" s="41">
        <f t="shared" si="53"/>
        <v>148.42201330890225</v>
      </c>
      <c r="G895" s="42" t="str">
        <f t="shared" si="54"/>
        <v>2025-07</v>
      </c>
    </row>
    <row r="896" spans="1:7" x14ac:dyDescent="0.25">
      <c r="A896" s="31">
        <v>45867</v>
      </c>
      <c r="B896" s="32">
        <v>95811.799926757769</v>
      </c>
      <c r="C896" s="33">
        <f t="shared" si="55"/>
        <v>-7.1551179163705791E-3</v>
      </c>
      <c r="D896" s="32">
        <f>MAX($B$2:B896)</f>
        <v>96502.285156249956</v>
      </c>
      <c r="E896" s="34">
        <f t="shared" si="52"/>
        <v>-7.1551179163705791E-3</v>
      </c>
      <c r="F896" s="35">
        <f t="shared" si="53"/>
        <v>147.36003630229192</v>
      </c>
      <c r="G896" s="36" t="str">
        <f t="shared" si="54"/>
        <v>2025-07</v>
      </c>
    </row>
    <row r="897" spans="1:7" x14ac:dyDescent="0.25">
      <c r="A897" s="37">
        <v>45868</v>
      </c>
      <c r="B897" s="38">
        <v>96218.27766418457</v>
      </c>
      <c r="C897" s="39">
        <f t="shared" si="55"/>
        <v>4.2424600909025667E-3</v>
      </c>
      <c r="D897" s="38">
        <f>MAX($B$2:B897)</f>
        <v>96502.285156249956</v>
      </c>
      <c r="E897" s="40">
        <f t="shared" si="52"/>
        <v>-2.9430131276739768E-3</v>
      </c>
      <c r="F897" s="41">
        <f t="shared" si="53"/>
        <v>147.98520537529836</v>
      </c>
      <c r="G897" s="42" t="str">
        <f t="shared" si="54"/>
        <v>2025-07</v>
      </c>
    </row>
    <row r="898" spans="1:7" x14ac:dyDescent="0.25">
      <c r="A898" s="31">
        <v>45869</v>
      </c>
      <c r="B898" s="32">
        <v>95797.408752441392</v>
      </c>
      <c r="C898" s="33">
        <f t="shared" si="55"/>
        <v>-4.3741056477031304E-3</v>
      </c>
      <c r="D898" s="32">
        <f>MAX($B$2:B898)</f>
        <v>96502.285156249956</v>
      </c>
      <c r="E898" s="34">
        <f t="shared" ref="E898:E961" si="56">B898/D898-1</f>
        <v>-7.3042457250341863E-3</v>
      </c>
      <c r="F898" s="35">
        <f t="shared" ref="F898:F961" si="57">B898/$B$2*100</f>
        <v>147.33790245268975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93205.273056030332</v>
      </c>
      <c r="C899" s="39">
        <f t="shared" ref="C899:C962" si="59">B899/B898-1</f>
        <v>-2.7058515780000181E-2</v>
      </c>
      <c r="D899" s="38">
        <f>MAX($B$2:B899)</f>
        <v>96502.285156249956</v>
      </c>
      <c r="E899" s="40">
        <f t="shared" si="56"/>
        <v>-3.4165119456822435E-2</v>
      </c>
      <c r="F899" s="41">
        <f t="shared" si="57"/>
        <v>143.35115749418154</v>
      </c>
      <c r="G899" s="42" t="str">
        <f t="shared" si="58"/>
        <v>2025-08</v>
      </c>
    </row>
    <row r="900" spans="1:7" x14ac:dyDescent="0.25">
      <c r="A900" s="31">
        <v>45873</v>
      </c>
      <c r="B900" s="32">
        <v>95285.186157226504</v>
      </c>
      <c r="C900" s="33">
        <f t="shared" si="59"/>
        <v>2.2315401618380859E-2</v>
      </c>
      <c r="D900" s="32">
        <f>MAX($B$2:B900)</f>
        <v>96502.285156249956</v>
      </c>
      <c r="E900" s="34">
        <f t="shared" si="56"/>
        <v>-1.2612126200460483E-2</v>
      </c>
      <c r="F900" s="35">
        <f t="shared" si="57"/>
        <v>146.55009614612396</v>
      </c>
      <c r="G900" s="36" t="str">
        <f t="shared" si="58"/>
        <v>2025-08</v>
      </c>
    </row>
    <row r="901" spans="1:7" x14ac:dyDescent="0.25">
      <c r="A901" s="37">
        <v>45874</v>
      </c>
      <c r="B901" s="38">
        <v>94508.791351318403</v>
      </c>
      <c r="C901" s="39">
        <f t="shared" si="59"/>
        <v>-8.1481165878922734E-3</v>
      </c>
      <c r="D901" s="38">
        <f>MAX($B$2:B901)</f>
        <v>96502.285156249956</v>
      </c>
      <c r="E901" s="40">
        <f t="shared" si="56"/>
        <v>-2.065747771365023E-2</v>
      </c>
      <c r="F901" s="41">
        <f t="shared" si="57"/>
        <v>145.35598887675852</v>
      </c>
      <c r="G901" s="42" t="str">
        <f t="shared" si="58"/>
        <v>2025-08</v>
      </c>
    </row>
    <row r="902" spans="1:7" x14ac:dyDescent="0.25">
      <c r="A902" s="31">
        <v>45875</v>
      </c>
      <c r="B902" s="32">
        <v>95826.642456054658</v>
      </c>
      <c r="C902" s="33">
        <f t="shared" si="59"/>
        <v>1.3944217102908496E-2</v>
      </c>
      <c r="D902" s="32">
        <f>MAX($B$2:B902)</f>
        <v>96502.285156249956</v>
      </c>
      <c r="E902" s="34">
        <f t="shared" si="56"/>
        <v>-7.0013129647794603E-3</v>
      </c>
      <c r="F902" s="35">
        <f t="shared" si="57"/>
        <v>147.38286434286397</v>
      </c>
      <c r="G902" s="36" t="str">
        <f t="shared" si="58"/>
        <v>2025-08</v>
      </c>
    </row>
    <row r="903" spans="1:7" x14ac:dyDescent="0.25">
      <c r="A903" s="37">
        <v>45876</v>
      </c>
      <c r="B903" s="38">
        <v>97464.154052734448</v>
      </c>
      <c r="C903" s="39">
        <f t="shared" si="59"/>
        <v>1.7088270596882671E-2</v>
      </c>
      <c r="D903" s="38">
        <f>MAX($B$2:B903)</f>
        <v>97464.154052734448</v>
      </c>
      <c r="E903" s="40">
        <f t="shared" si="56"/>
        <v>0</v>
      </c>
      <c r="F903" s="41">
        <f t="shared" si="57"/>
        <v>149.90138261009849</v>
      </c>
      <c r="G903" s="42" t="str">
        <f t="shared" si="58"/>
        <v>2025-08</v>
      </c>
    </row>
    <row r="904" spans="1:7" x14ac:dyDescent="0.25">
      <c r="A904" s="31">
        <v>45877</v>
      </c>
      <c r="B904" s="32">
        <v>99164.467620849638</v>
      </c>
      <c r="C904" s="33">
        <f t="shared" si="59"/>
        <v>1.7445527380201886E-2</v>
      </c>
      <c r="D904" s="32">
        <f>MAX($B$2:B904)</f>
        <v>99164.467620849638</v>
      </c>
      <c r="E904" s="34">
        <f t="shared" si="56"/>
        <v>0</v>
      </c>
      <c r="F904" s="35">
        <f t="shared" si="57"/>
        <v>152.51649128475307</v>
      </c>
      <c r="G904" s="36" t="str">
        <f t="shared" si="58"/>
        <v>2025-08</v>
      </c>
    </row>
    <row r="905" spans="1:7" x14ac:dyDescent="0.25">
      <c r="A905" s="37">
        <v>45880</v>
      </c>
      <c r="B905" s="38">
        <v>99499.525451660185</v>
      </c>
      <c r="C905" s="39">
        <f t="shared" si="59"/>
        <v>3.3788093542903574E-3</v>
      </c>
      <c r="D905" s="38">
        <f>MAX($B$2:B905)</f>
        <v>99499.525451660185</v>
      </c>
      <c r="E905" s="40">
        <f t="shared" si="56"/>
        <v>0</v>
      </c>
      <c r="F905" s="41">
        <f t="shared" si="57"/>
        <v>153.03181543218955</v>
      </c>
      <c r="G905" s="42" t="str">
        <f t="shared" si="58"/>
        <v>2025-08</v>
      </c>
    </row>
    <row r="906" spans="1:7" x14ac:dyDescent="0.25">
      <c r="A906" s="31">
        <v>45881</v>
      </c>
      <c r="B906" s="32">
        <v>100485.1255798341</v>
      </c>
      <c r="C906" s="33">
        <f t="shared" si="59"/>
        <v>9.9055761693331856E-3</v>
      </c>
      <c r="D906" s="32">
        <f>MAX($B$2:B906)</f>
        <v>100485.1255798341</v>
      </c>
      <c r="E906" s="34">
        <f t="shared" si="56"/>
        <v>0</v>
      </c>
      <c r="F906" s="35">
        <f t="shared" si="57"/>
        <v>154.5476837362844</v>
      </c>
      <c r="G906" s="36" t="str">
        <f t="shared" si="58"/>
        <v>2025-08</v>
      </c>
    </row>
    <row r="907" spans="1:7" x14ac:dyDescent="0.25">
      <c r="A907" s="37">
        <v>45882</v>
      </c>
      <c r="B907" s="38">
        <v>99530.457916259824</v>
      </c>
      <c r="C907" s="39">
        <f t="shared" si="59"/>
        <v>-9.5005868586570674E-3</v>
      </c>
      <c r="D907" s="38">
        <f>MAX($B$2:B907)</f>
        <v>100485.1255798341</v>
      </c>
      <c r="E907" s="40">
        <f t="shared" si="56"/>
        <v>-9.5005868586570674E-3</v>
      </c>
      <c r="F907" s="41">
        <f t="shared" si="57"/>
        <v>153.07939004314358</v>
      </c>
      <c r="G907" s="42" t="str">
        <f t="shared" si="58"/>
        <v>2025-08</v>
      </c>
    </row>
    <row r="908" spans="1:7" x14ac:dyDescent="0.25">
      <c r="A908" s="31">
        <v>45883</v>
      </c>
      <c r="B908" s="32">
        <v>99834.224395751982</v>
      </c>
      <c r="C908" s="33">
        <f t="shared" si="59"/>
        <v>3.0519951967640235E-3</v>
      </c>
      <c r="D908" s="32">
        <f>MAX($B$2:B908)</f>
        <v>100485.1255798341</v>
      </c>
      <c r="E908" s="34">
        <f t="shared" si="56"/>
        <v>-6.4775874073520479E-3</v>
      </c>
      <c r="F908" s="35">
        <f t="shared" si="57"/>
        <v>153.54658760627885</v>
      </c>
      <c r="G908" s="36" t="str">
        <f t="shared" si="58"/>
        <v>2025-08</v>
      </c>
    </row>
    <row r="909" spans="1:7" x14ac:dyDescent="0.25">
      <c r="A909" s="37">
        <v>45884</v>
      </c>
      <c r="B909" s="38">
        <v>99386.999511718808</v>
      </c>
      <c r="C909" s="39">
        <f t="shared" si="59"/>
        <v>-4.4796750487120507E-3</v>
      </c>
      <c r="D909" s="38">
        <f>MAX($B$2:B909)</f>
        <v>100485.1255798341</v>
      </c>
      <c r="E909" s="40">
        <f t="shared" si="56"/>
        <v>-1.0928244969379497E-2</v>
      </c>
      <c r="F909" s="41">
        <f t="shared" si="57"/>
        <v>152.85874878896411</v>
      </c>
      <c r="G909" s="42" t="str">
        <f t="shared" si="58"/>
        <v>2025-08</v>
      </c>
    </row>
    <row r="910" spans="1:7" x14ac:dyDescent="0.25">
      <c r="A910" s="31">
        <v>45887</v>
      </c>
      <c r="B910" s="32">
        <v>99820.69900512688</v>
      </c>
      <c r="C910" s="33">
        <f t="shared" si="59"/>
        <v>4.363744710463191E-3</v>
      </c>
      <c r="D910" s="32">
        <f>MAX($B$2:B910)</f>
        <v>100485.1255798341</v>
      </c>
      <c r="E910" s="34">
        <f t="shared" si="56"/>
        <v>-6.6121883300961359E-3</v>
      </c>
      <c r="F910" s="35">
        <f t="shared" si="57"/>
        <v>153.52578534543997</v>
      </c>
      <c r="G910" s="36" t="str">
        <f t="shared" si="58"/>
        <v>2025-08</v>
      </c>
    </row>
    <row r="911" spans="1:7" x14ac:dyDescent="0.25">
      <c r="A911" s="37">
        <v>45888</v>
      </c>
      <c r="B911" s="38">
        <v>97621.671295166088</v>
      </c>
      <c r="C911" s="39">
        <f t="shared" si="59"/>
        <v>-2.2029776708414439E-2</v>
      </c>
      <c r="D911" s="38">
        <f>MAX($B$2:B911)</f>
        <v>100485.1255798341</v>
      </c>
      <c r="E911" s="40">
        <f t="shared" si="56"/>
        <v>-2.8496300006044528E-2</v>
      </c>
      <c r="F911" s="41">
        <f t="shared" si="57"/>
        <v>150.14364657529595</v>
      </c>
      <c r="G911" s="42" t="str">
        <f t="shared" si="58"/>
        <v>2025-08</v>
      </c>
    </row>
    <row r="912" spans="1:7" x14ac:dyDescent="0.25">
      <c r="A912" s="31">
        <v>45889</v>
      </c>
      <c r="B912" s="32">
        <v>96139.612655639663</v>
      </c>
      <c r="C912" s="33">
        <f t="shared" si="59"/>
        <v>-1.5181656079676364E-2</v>
      </c>
      <c r="D912" s="32">
        <f>MAX($B$2:B912)</f>
        <v>100485.1255798341</v>
      </c>
      <c r="E912" s="34">
        <f t="shared" si="56"/>
        <v>-4.3245335059485801E-2</v>
      </c>
      <c r="F912" s="35">
        <f t="shared" si="57"/>
        <v>147.86421737044134</v>
      </c>
      <c r="G912" s="36" t="str">
        <f t="shared" si="58"/>
        <v>2025-08</v>
      </c>
    </row>
    <row r="913" spans="1:7" x14ac:dyDescent="0.25">
      <c r="A913" s="37">
        <v>45890</v>
      </c>
      <c r="B913" s="38">
        <v>95766.043701171962</v>
      </c>
      <c r="C913" s="39">
        <f t="shared" si="59"/>
        <v>-3.8856923192085446E-3</v>
      </c>
      <c r="D913" s="38">
        <f>MAX($B$2:B913)</f>
        <v>100485.1255798341</v>
      </c>
      <c r="E913" s="40">
        <f t="shared" si="56"/>
        <v>-4.6962989312412162E-2</v>
      </c>
      <c r="F913" s="41">
        <f t="shared" si="57"/>
        <v>147.28966251671923</v>
      </c>
      <c r="G913" s="42" t="str">
        <f t="shared" si="58"/>
        <v>2025-08</v>
      </c>
    </row>
    <row r="914" spans="1:7" x14ac:dyDescent="0.25">
      <c r="A914" s="31">
        <v>45891</v>
      </c>
      <c r="B914" s="32">
        <v>98154.764862060474</v>
      </c>
      <c r="C914" s="33">
        <f t="shared" si="59"/>
        <v>2.4943300031713411E-2</v>
      </c>
      <c r="D914" s="32">
        <f>MAX($B$2:B914)</f>
        <v>100485.1255798341</v>
      </c>
      <c r="E914" s="34">
        <f t="shared" si="56"/>
        <v>-2.3191101213504317E-2</v>
      </c>
      <c r="F914" s="35">
        <f t="shared" si="57"/>
        <v>150.96355276044358</v>
      </c>
      <c r="G914" s="36" t="str">
        <f t="shared" si="58"/>
        <v>2025-08</v>
      </c>
    </row>
    <row r="915" spans="1:7" x14ac:dyDescent="0.25">
      <c r="A915" s="37">
        <v>45894</v>
      </c>
      <c r="B915" s="38">
        <v>98425.711822509751</v>
      </c>
      <c r="C915" s="39">
        <f t="shared" si="59"/>
        <v>2.7604055781709214E-3</v>
      </c>
      <c r="D915" s="38">
        <f>MAX($B$2:B915)</f>
        <v>100485.1255798341</v>
      </c>
      <c r="E915" s="40">
        <f t="shared" si="56"/>
        <v>-2.0494712480487176E-2</v>
      </c>
      <c r="F915" s="41">
        <f t="shared" si="57"/>
        <v>151.38027339358399</v>
      </c>
      <c r="G915" s="42" t="str">
        <f t="shared" si="58"/>
        <v>2025-08</v>
      </c>
    </row>
    <row r="916" spans="1:7" x14ac:dyDescent="0.25">
      <c r="A916" s="31">
        <v>45895</v>
      </c>
      <c r="B916" s="32">
        <v>99010.373001098647</v>
      </c>
      <c r="C916" s="33">
        <f t="shared" si="59"/>
        <v>5.9401264950280641E-3</v>
      </c>
      <c r="D916" s="32">
        <f>MAX($B$2:B916)</f>
        <v>100485.1255798341</v>
      </c>
      <c r="E916" s="34">
        <f t="shared" si="56"/>
        <v>-1.467632717007239E-2</v>
      </c>
      <c r="F916" s="35">
        <f t="shared" si="57"/>
        <v>152.27949136639381</v>
      </c>
      <c r="G916" s="36" t="str">
        <f t="shared" si="58"/>
        <v>2025-08</v>
      </c>
    </row>
    <row r="917" spans="1:7" x14ac:dyDescent="0.25">
      <c r="A917" s="37">
        <v>45896</v>
      </c>
      <c r="B917" s="38">
        <v>98800.85250854498</v>
      </c>
      <c r="C917" s="39">
        <f t="shared" si="59"/>
        <v>-2.1161468864615562E-3</v>
      </c>
      <c r="D917" s="38">
        <f>MAX($B$2:B917)</f>
        <v>100485.1255798341</v>
      </c>
      <c r="E917" s="40">
        <f t="shared" si="56"/>
        <v>-1.6761416792488215E-2</v>
      </c>
      <c r="F917" s="41">
        <f t="shared" si="57"/>
        <v>151.95724559486689</v>
      </c>
      <c r="G917" s="42" t="str">
        <f t="shared" si="58"/>
        <v>2025-08</v>
      </c>
    </row>
    <row r="918" spans="1:7" x14ac:dyDescent="0.25">
      <c r="A918" s="31">
        <v>45897</v>
      </c>
      <c r="B918" s="32">
        <v>99201.121673584057</v>
      </c>
      <c r="C918" s="33">
        <f t="shared" si="59"/>
        <v>4.0512723815258056E-3</v>
      </c>
      <c r="D918" s="32">
        <f>MAX($B$2:B918)</f>
        <v>100485.1255798341</v>
      </c>
      <c r="E918" s="34">
        <f t="shared" si="56"/>
        <v>-1.2778049475889008E-2</v>
      </c>
      <c r="F918" s="35">
        <f t="shared" si="57"/>
        <v>152.5728657871181</v>
      </c>
      <c r="G918" s="36" t="str">
        <f t="shared" si="58"/>
        <v>2025-08</v>
      </c>
    </row>
    <row r="919" spans="1:7" x14ac:dyDescent="0.25">
      <c r="A919" s="37">
        <v>45898</v>
      </c>
      <c r="B919" s="38">
        <v>97686.231460571333</v>
      </c>
      <c r="C919" s="39">
        <f t="shared" si="59"/>
        <v>-1.5270898024695612E-2</v>
      </c>
      <c r="D919" s="38">
        <f>MAX($B$2:B919)</f>
        <v>100485.1255798341</v>
      </c>
      <c r="E919" s="40">
        <f t="shared" si="56"/>
        <v>-2.7853815210083788E-2</v>
      </c>
      <c r="F919" s="41">
        <f t="shared" si="57"/>
        <v>150.24294111234747</v>
      </c>
      <c r="G919" s="42" t="str">
        <f t="shared" si="58"/>
        <v>2025-08</v>
      </c>
    </row>
    <row r="920" spans="1:7" x14ac:dyDescent="0.25">
      <c r="A920" s="31">
        <v>45902</v>
      </c>
      <c r="B920" s="32">
        <v>96530.787658691508</v>
      </c>
      <c r="C920" s="33">
        <f t="shared" si="59"/>
        <v>-1.18281131803738E-2</v>
      </c>
      <c r="D920" s="32">
        <f>MAX($B$2:B920)</f>
        <v>100485.1255798341</v>
      </c>
      <c r="E920" s="34">
        <f t="shared" si="56"/>
        <v>-3.9352470311647458E-2</v>
      </c>
      <c r="F920" s="35">
        <f t="shared" si="57"/>
        <v>148.46585060031839</v>
      </c>
      <c r="G920" s="36" t="str">
        <f t="shared" si="58"/>
        <v>2025-09</v>
      </c>
    </row>
    <row r="921" spans="1:7" x14ac:dyDescent="0.25">
      <c r="A921" s="37">
        <v>45903</v>
      </c>
      <c r="B921" s="38">
        <v>98132.919616699262</v>
      </c>
      <c r="C921" s="39">
        <f t="shared" si="59"/>
        <v>1.659710851705154E-2</v>
      </c>
      <c r="D921" s="38">
        <f>MAX($B$2:B921)</f>
        <v>100485.1255798341</v>
      </c>
      <c r="E921" s="40">
        <f t="shared" si="56"/>
        <v>-2.3408499014772488E-2</v>
      </c>
      <c r="F921" s="41">
        <f t="shared" si="57"/>
        <v>150.92995443380821</v>
      </c>
      <c r="G921" s="42" t="str">
        <f t="shared" si="58"/>
        <v>2025-09</v>
      </c>
    </row>
    <row r="922" spans="1:7" x14ac:dyDescent="0.25">
      <c r="A922" s="31">
        <v>45904</v>
      </c>
      <c r="B922" s="32">
        <v>99509.391784667925</v>
      </c>
      <c r="C922" s="33">
        <f t="shared" si="59"/>
        <v>1.402660975893788E-2</v>
      </c>
      <c r="D922" s="32">
        <f>MAX($B$2:B922)</f>
        <v>100485.1255798341</v>
      </c>
      <c r="E922" s="34">
        <f t="shared" si="56"/>
        <v>-9.7102311365573346E-3</v>
      </c>
      <c r="F922" s="35">
        <f t="shared" si="57"/>
        <v>153.04699000558551</v>
      </c>
      <c r="G922" s="36" t="str">
        <f t="shared" si="58"/>
        <v>2025-09</v>
      </c>
    </row>
    <row r="923" spans="1:7" x14ac:dyDescent="0.25">
      <c r="A923" s="37">
        <v>45905</v>
      </c>
      <c r="B923" s="38">
        <v>99903.710479736415</v>
      </c>
      <c r="C923" s="39">
        <f t="shared" si="59"/>
        <v>3.9626279288469402E-3</v>
      </c>
      <c r="D923" s="38">
        <f>MAX($B$2:B923)</f>
        <v>100485.1255798341</v>
      </c>
      <c r="E923" s="40">
        <f t="shared" si="56"/>
        <v>-5.7860812408077056E-3</v>
      </c>
      <c r="F923" s="41">
        <f t="shared" si="57"/>
        <v>153.6534582826076</v>
      </c>
      <c r="G923" s="42" t="str">
        <f t="shared" si="58"/>
        <v>2025-09</v>
      </c>
    </row>
    <row r="924" spans="1:7" x14ac:dyDescent="0.25">
      <c r="A924" s="31">
        <v>45908</v>
      </c>
      <c r="B924" s="32">
        <v>101357.949295044</v>
      </c>
      <c r="C924" s="33">
        <f t="shared" si="59"/>
        <v>1.4556404445083659E-2</v>
      </c>
      <c r="D924" s="32">
        <f>MAX($B$2:B924)</f>
        <v>101357.949295044</v>
      </c>
      <c r="E924" s="34">
        <f t="shared" si="56"/>
        <v>0</v>
      </c>
      <c r="F924" s="35">
        <f t="shared" si="57"/>
        <v>155.89010016575503</v>
      </c>
      <c r="G924" s="36" t="str">
        <f t="shared" si="58"/>
        <v>2025-09</v>
      </c>
    </row>
    <row r="925" spans="1:7" x14ac:dyDescent="0.25">
      <c r="A925" s="37">
        <v>45909</v>
      </c>
      <c r="B925" s="38">
        <v>102021.8354797364</v>
      </c>
      <c r="C925" s="39">
        <f t="shared" si="59"/>
        <v>6.5499172912415471E-3</v>
      </c>
      <c r="D925" s="38">
        <f>MAX($B$2:B925)</f>
        <v>102021.8354797364</v>
      </c>
      <c r="E925" s="40">
        <f t="shared" si="56"/>
        <v>0</v>
      </c>
      <c r="F925" s="41">
        <f t="shared" si="57"/>
        <v>156.91116742836411</v>
      </c>
      <c r="G925" s="42" t="str">
        <f t="shared" si="58"/>
        <v>2025-09</v>
      </c>
    </row>
    <row r="926" spans="1:7" x14ac:dyDescent="0.25">
      <c r="A926" s="31">
        <v>45910</v>
      </c>
      <c r="B926" s="32">
        <v>102383.81240844729</v>
      </c>
      <c r="C926" s="33">
        <f t="shared" si="59"/>
        <v>3.5480338793041355E-3</v>
      </c>
      <c r="D926" s="32">
        <f>MAX($B$2:B926)</f>
        <v>102383.81240844729</v>
      </c>
      <c r="E926" s="34">
        <f t="shared" si="56"/>
        <v>0</v>
      </c>
      <c r="F926" s="35">
        <f t="shared" si="57"/>
        <v>157.46789356644109</v>
      </c>
      <c r="G926" s="36" t="str">
        <f t="shared" si="58"/>
        <v>2025-09</v>
      </c>
    </row>
    <row r="927" spans="1:7" x14ac:dyDescent="0.25">
      <c r="A927" s="37">
        <v>45911</v>
      </c>
      <c r="B927" s="38">
        <v>103934.1876220703</v>
      </c>
      <c r="C927" s="39">
        <f t="shared" si="59"/>
        <v>1.5142776745194597E-2</v>
      </c>
      <c r="D927" s="38">
        <f>MAX($B$2:B927)</f>
        <v>103934.1876220703</v>
      </c>
      <c r="E927" s="40">
        <f t="shared" si="56"/>
        <v>0</v>
      </c>
      <c r="F927" s="41">
        <f t="shared" si="57"/>
        <v>159.85239472325378</v>
      </c>
      <c r="G927" s="42" t="str">
        <f t="shared" si="58"/>
        <v>2025-09</v>
      </c>
    </row>
    <row r="928" spans="1:7" x14ac:dyDescent="0.25">
      <c r="A928" s="31">
        <v>45912</v>
      </c>
      <c r="B928" s="32">
        <v>105814.8569488526</v>
      </c>
      <c r="C928" s="33">
        <f t="shared" si="59"/>
        <v>1.8094809511773668E-2</v>
      </c>
      <c r="D928" s="32">
        <f>MAX($B$2:B928)</f>
        <v>105814.8569488526</v>
      </c>
      <c r="E928" s="34">
        <f t="shared" si="56"/>
        <v>0</v>
      </c>
      <c r="F928" s="35">
        <f t="shared" si="57"/>
        <v>162.74489335577189</v>
      </c>
      <c r="G928" s="36" t="str">
        <f t="shared" si="58"/>
        <v>2025-09</v>
      </c>
    </row>
    <row r="929" spans="1:7" x14ac:dyDescent="0.25">
      <c r="A929" s="37">
        <v>45915</v>
      </c>
      <c r="B929" s="38">
        <v>107413.3389282227</v>
      </c>
      <c r="C929" s="39">
        <f t="shared" si="59"/>
        <v>1.5106404010381658E-2</v>
      </c>
      <c r="D929" s="38">
        <f>MAX($B$2:B929)</f>
        <v>107413.3389282227</v>
      </c>
      <c r="E929" s="40">
        <f t="shared" si="56"/>
        <v>0</v>
      </c>
      <c r="F929" s="41">
        <f t="shared" si="57"/>
        <v>165.20338346543068</v>
      </c>
      <c r="G929" s="42" t="str">
        <f t="shared" si="58"/>
        <v>2025-09</v>
      </c>
    </row>
    <row r="930" spans="1:7" x14ac:dyDescent="0.25">
      <c r="A930" s="31">
        <v>45916</v>
      </c>
      <c r="B930" s="32">
        <v>108017.449874878</v>
      </c>
      <c r="C930" s="33">
        <f t="shared" si="59"/>
        <v>5.6241706354458465E-3</v>
      </c>
      <c r="D930" s="32">
        <f>MAX($B$2:B930)</f>
        <v>108017.449874878</v>
      </c>
      <c r="E930" s="34">
        <f t="shared" si="56"/>
        <v>0</v>
      </c>
      <c r="F930" s="35">
        <f t="shared" si="57"/>
        <v>166.13251548359324</v>
      </c>
      <c r="G930" s="36" t="str">
        <f t="shared" si="58"/>
        <v>2025-09</v>
      </c>
    </row>
    <row r="931" spans="1:7" x14ac:dyDescent="0.25">
      <c r="A931" s="37">
        <v>45917</v>
      </c>
      <c r="B931" s="38">
        <v>108125.7846832276</v>
      </c>
      <c r="C931" s="39">
        <f t="shared" si="59"/>
        <v>1.0029380296894264E-3</v>
      </c>
      <c r="D931" s="38">
        <f>MAX($B$2:B931)</f>
        <v>108125.7846832276</v>
      </c>
      <c r="E931" s="40">
        <f t="shared" si="56"/>
        <v>0</v>
      </c>
      <c r="F931" s="41">
        <f t="shared" si="57"/>
        <v>166.29913610133971</v>
      </c>
      <c r="G931" s="42" t="str">
        <f t="shared" si="58"/>
        <v>2025-09</v>
      </c>
    </row>
    <row r="932" spans="1:7" x14ac:dyDescent="0.25">
      <c r="A932" s="31">
        <v>45918</v>
      </c>
      <c r="B932" s="32">
        <v>108820.58563232431</v>
      </c>
      <c r="C932" s="33">
        <f t="shared" si="59"/>
        <v>6.4258580978833191E-3</v>
      </c>
      <c r="D932" s="32">
        <f>MAX($B$2:B932)</f>
        <v>108820.58563232431</v>
      </c>
      <c r="E932" s="34">
        <f t="shared" si="56"/>
        <v>0</v>
      </c>
      <c r="F932" s="35">
        <f t="shared" si="57"/>
        <v>167.36775075172753</v>
      </c>
      <c r="G932" s="36" t="str">
        <f t="shared" si="58"/>
        <v>2025-09</v>
      </c>
    </row>
    <row r="933" spans="1:7" x14ac:dyDescent="0.25">
      <c r="A933" s="37">
        <v>45919</v>
      </c>
      <c r="B933" s="38">
        <v>110048.9755249023</v>
      </c>
      <c r="C933" s="39">
        <f t="shared" si="59"/>
        <v>1.1288212477815529E-2</v>
      </c>
      <c r="D933" s="38">
        <f>MAX($B$2:B933)</f>
        <v>110048.9755249023</v>
      </c>
      <c r="E933" s="40">
        <f t="shared" si="56"/>
        <v>0</v>
      </c>
      <c r="F933" s="41">
        <f t="shared" si="57"/>
        <v>169.25703348414706</v>
      </c>
      <c r="G933" s="42" t="str">
        <f t="shared" si="58"/>
        <v>2025-09</v>
      </c>
    </row>
    <row r="934" spans="1:7" x14ac:dyDescent="0.25">
      <c r="A934" s="31">
        <v>45922</v>
      </c>
      <c r="B934" s="32">
        <v>111572.2743988038</v>
      </c>
      <c r="C934" s="33">
        <f t="shared" si="59"/>
        <v>1.3842008675099438E-2</v>
      </c>
      <c r="D934" s="32">
        <f>MAX($B$2:B934)</f>
        <v>111572.2743988038</v>
      </c>
      <c r="E934" s="34">
        <f t="shared" si="56"/>
        <v>0</v>
      </c>
      <c r="F934" s="35">
        <f t="shared" si="57"/>
        <v>171.59989080995624</v>
      </c>
      <c r="G934" s="36" t="str">
        <f t="shared" si="58"/>
        <v>2025-09</v>
      </c>
    </row>
    <row r="935" spans="1:7" x14ac:dyDescent="0.25">
      <c r="A935" s="37">
        <v>45923</v>
      </c>
      <c r="B935" s="38">
        <v>111119.56916809081</v>
      </c>
      <c r="C935" s="39">
        <f t="shared" si="59"/>
        <v>-4.057506519001719E-3</v>
      </c>
      <c r="D935" s="38">
        <f>MAX($B$2:B935)</f>
        <v>111572.2743988038</v>
      </c>
      <c r="E935" s="40">
        <f t="shared" si="56"/>
        <v>-4.057506519001719E-3</v>
      </c>
      <c r="F935" s="41">
        <f t="shared" si="57"/>
        <v>170.90362313433485</v>
      </c>
      <c r="G935" s="42" t="str">
        <f t="shared" si="58"/>
        <v>2025-09</v>
      </c>
    </row>
    <row r="936" spans="1:7" x14ac:dyDescent="0.25">
      <c r="A936" s="31">
        <v>45924</v>
      </c>
      <c r="B936" s="32">
        <v>111296.92932128911</v>
      </c>
      <c r="C936" s="33">
        <f t="shared" si="59"/>
        <v>1.5961198781289099E-3</v>
      </c>
      <c r="D936" s="32">
        <f>MAX($B$2:B936)</f>
        <v>111572.2743988038</v>
      </c>
      <c r="E936" s="34">
        <f t="shared" si="56"/>
        <v>-2.4678629076835268E-3</v>
      </c>
      <c r="F936" s="35">
        <f t="shared" si="57"/>
        <v>171.1764058044638</v>
      </c>
      <c r="G936" s="36" t="str">
        <f t="shared" si="58"/>
        <v>2025-09</v>
      </c>
    </row>
    <row r="937" spans="1:7" x14ac:dyDescent="0.25">
      <c r="A937" s="37">
        <v>45925</v>
      </c>
      <c r="B937" s="38">
        <v>109751.81571960451</v>
      </c>
      <c r="C937" s="39">
        <f t="shared" si="59"/>
        <v>-1.3882805312842028E-2</v>
      </c>
      <c r="D937" s="38">
        <f>MAX($B$2:B937)</f>
        <v>111572.2743988038</v>
      </c>
      <c r="E937" s="40">
        <f t="shared" si="56"/>
        <v>-1.6316407360239427E-2</v>
      </c>
      <c r="F937" s="41">
        <f t="shared" si="57"/>
        <v>168.79999708852839</v>
      </c>
      <c r="G937" s="42" t="str">
        <f t="shared" si="58"/>
        <v>2025-09</v>
      </c>
    </row>
    <row r="938" spans="1:7" x14ac:dyDescent="0.25">
      <c r="A938" s="31">
        <v>45926</v>
      </c>
      <c r="B938" s="32">
        <v>110476.94618225101</v>
      </c>
      <c r="C938" s="33">
        <f t="shared" si="59"/>
        <v>6.6070019697812565E-3</v>
      </c>
      <c r="D938" s="32">
        <f>MAX($B$2:B938)</f>
        <v>111572.2743988038</v>
      </c>
      <c r="E938" s="34">
        <f t="shared" si="56"/>
        <v>-9.8172079260269163E-3</v>
      </c>
      <c r="F938" s="35">
        <f t="shared" si="57"/>
        <v>169.91525900179136</v>
      </c>
      <c r="G938" s="36" t="str">
        <f t="shared" si="58"/>
        <v>2025-09</v>
      </c>
    </row>
    <row r="939" spans="1:7" x14ac:dyDescent="0.25">
      <c r="A939" s="37">
        <v>45929</v>
      </c>
      <c r="B939" s="38">
        <v>112286.9916534424</v>
      </c>
      <c r="C939" s="39">
        <f t="shared" si="59"/>
        <v>1.6383920209066982E-2</v>
      </c>
      <c r="D939" s="38">
        <f>MAX($B$2:B939)</f>
        <v>112286.9916534424</v>
      </c>
      <c r="E939" s="40">
        <f t="shared" si="56"/>
        <v>0</v>
      </c>
      <c r="F939" s="41">
        <f t="shared" si="57"/>
        <v>172.69913704757965</v>
      </c>
      <c r="G939" s="42" t="str">
        <f t="shared" si="58"/>
        <v>2025-09</v>
      </c>
    </row>
    <row r="940" spans="1:7" x14ac:dyDescent="0.25">
      <c r="A940" s="31">
        <v>45930</v>
      </c>
      <c r="B940" s="32">
        <v>113609.1753387451</v>
      </c>
      <c r="C940" s="33">
        <f t="shared" si="59"/>
        <v>1.1775038816459027E-2</v>
      </c>
      <c r="D940" s="32">
        <f>MAX($B$2:B940)</f>
        <v>113609.1753387451</v>
      </c>
      <c r="E940" s="34">
        <f t="shared" si="56"/>
        <v>0</v>
      </c>
      <c r="F940" s="35">
        <f t="shared" si="57"/>
        <v>174.73267608988391</v>
      </c>
      <c r="G940" s="36" t="str">
        <f t="shared" si="58"/>
        <v>2025-09</v>
      </c>
    </row>
    <row r="941" spans="1:7" x14ac:dyDescent="0.25">
      <c r="A941" s="37">
        <v>45931</v>
      </c>
      <c r="B941" s="38">
        <v>115289.2166137695</v>
      </c>
      <c r="C941" s="39">
        <f t="shared" si="59"/>
        <v>1.4787901329404773E-2</v>
      </c>
      <c r="D941" s="38">
        <f>MAX($B$2:B941)</f>
        <v>115289.2166137695</v>
      </c>
      <c r="E941" s="40">
        <f t="shared" si="56"/>
        <v>0</v>
      </c>
      <c r="F941" s="41">
        <f t="shared" si="57"/>
        <v>177.31660566292396</v>
      </c>
      <c r="G941" s="42" t="str">
        <f t="shared" si="58"/>
        <v>2025-10</v>
      </c>
    </row>
    <row r="942" spans="1:7" x14ac:dyDescent="0.25">
      <c r="A942" s="31">
        <v>45932</v>
      </c>
      <c r="B942" s="32">
        <v>114908.6851501464</v>
      </c>
      <c r="C942" s="33">
        <f t="shared" si="59"/>
        <v>-3.3006683087970501E-3</v>
      </c>
      <c r="D942" s="32">
        <f>MAX($B$2:B942)</f>
        <v>115289.2166137695</v>
      </c>
      <c r="E942" s="34">
        <f t="shared" si="56"/>
        <v>-3.3006683087970501E-3</v>
      </c>
      <c r="F942" s="35">
        <f t="shared" si="57"/>
        <v>176.73134236198885</v>
      </c>
      <c r="G942" s="36" t="str">
        <f t="shared" si="58"/>
        <v>2025-10</v>
      </c>
    </row>
    <row r="943" spans="1:7" x14ac:dyDescent="0.25">
      <c r="A943" s="37">
        <v>45933</v>
      </c>
      <c r="B943" s="38">
        <v>115213.88832092279</v>
      </c>
      <c r="C943" s="39">
        <f t="shared" si="59"/>
        <v>2.6560496308665194E-3</v>
      </c>
      <c r="D943" s="38">
        <f>MAX($B$2:B943)</f>
        <v>115289.2166137695</v>
      </c>
      <c r="E943" s="40">
        <f t="shared" si="56"/>
        <v>-6.5338541677373296E-4</v>
      </c>
      <c r="F943" s="41">
        <f t="shared" si="57"/>
        <v>177.20074957863196</v>
      </c>
      <c r="G943" s="42" t="str">
        <f t="shared" si="58"/>
        <v>2025-10</v>
      </c>
    </row>
    <row r="944" spans="1:7" x14ac:dyDescent="0.25">
      <c r="A944" s="31">
        <v>45936</v>
      </c>
      <c r="B944" s="32">
        <v>117078.93478393561</v>
      </c>
      <c r="C944" s="33">
        <f t="shared" si="59"/>
        <v>1.618768787507463E-2</v>
      </c>
      <c r="D944" s="32">
        <f>MAX($B$2:B944)</f>
        <v>117078.93478393561</v>
      </c>
      <c r="E944" s="34">
        <f t="shared" si="56"/>
        <v>0</v>
      </c>
      <c r="F944" s="35">
        <f t="shared" si="57"/>
        <v>180.06922000404012</v>
      </c>
      <c r="G944" s="36" t="str">
        <f t="shared" si="58"/>
        <v>2025-10</v>
      </c>
    </row>
    <row r="945" spans="1:7" x14ac:dyDescent="0.25">
      <c r="A945" s="37">
        <v>45937</v>
      </c>
      <c r="B945" s="38">
        <v>115206.8474578857</v>
      </c>
      <c r="C945" s="39">
        <f t="shared" si="59"/>
        <v>-1.5989958650587055E-2</v>
      </c>
      <c r="D945" s="38">
        <f>MAX($B$2:B945)</f>
        <v>117078.93478393561</v>
      </c>
      <c r="E945" s="40">
        <f t="shared" si="56"/>
        <v>-1.5989958650587055E-2</v>
      </c>
      <c r="F945" s="41">
        <f t="shared" si="57"/>
        <v>177.18992062193206</v>
      </c>
      <c r="G945" s="42" t="str">
        <f t="shared" si="58"/>
        <v>2025-10</v>
      </c>
    </row>
    <row r="946" spans="1:7" x14ac:dyDescent="0.25">
      <c r="A946" s="31">
        <v>45938</v>
      </c>
      <c r="B946" s="32">
        <v>117330.26214599609</v>
      </c>
      <c r="C946" s="33">
        <f t="shared" si="59"/>
        <v>1.8431323614567452E-2</v>
      </c>
      <c r="D946" s="32">
        <f>MAX($B$2:B946)</f>
        <v>117330.26214599609</v>
      </c>
      <c r="E946" s="34">
        <f t="shared" si="56"/>
        <v>0</v>
      </c>
      <c r="F946" s="35">
        <f t="shared" si="57"/>
        <v>180.45576539015443</v>
      </c>
      <c r="G946" s="36" t="str">
        <f t="shared" si="58"/>
        <v>2025-10</v>
      </c>
    </row>
    <row r="947" spans="1:7" x14ac:dyDescent="0.25">
      <c r="A947" s="37">
        <v>45939</v>
      </c>
      <c r="B947" s="38">
        <v>116696.787033081</v>
      </c>
      <c r="C947" s="39">
        <f t="shared" si="59"/>
        <v>-5.3990769416917272E-3</v>
      </c>
      <c r="D947" s="38">
        <f>MAX($B$2:B947)</f>
        <v>117330.26214599609</v>
      </c>
      <c r="E947" s="40">
        <f t="shared" si="56"/>
        <v>-5.3990769416917272E-3</v>
      </c>
      <c r="F947" s="41">
        <f t="shared" si="57"/>
        <v>179.48147082824107</v>
      </c>
      <c r="G947" s="42" t="str">
        <f t="shared" si="58"/>
        <v>2025-10</v>
      </c>
    </row>
    <row r="948" spans="1:7" x14ac:dyDescent="0.25">
      <c r="A948" s="31">
        <v>45940</v>
      </c>
      <c r="B948" s="32">
        <v>111183.1558990479</v>
      </c>
      <c r="C948" s="33">
        <f t="shared" si="59"/>
        <v>-4.7247497332296828E-2</v>
      </c>
      <c r="D948" s="32">
        <f>MAX($B$2:B948)</f>
        <v>117330.26214599609</v>
      </c>
      <c r="E948" s="34">
        <f t="shared" si="56"/>
        <v>-5.2391481400589135E-2</v>
      </c>
      <c r="F948" s="35">
        <f t="shared" si="57"/>
        <v>171.00142051408707</v>
      </c>
      <c r="G948" s="36" t="str">
        <f t="shared" si="58"/>
        <v>2025-10</v>
      </c>
    </row>
    <row r="949" spans="1:7" x14ac:dyDescent="0.25">
      <c r="A949" s="37">
        <v>45943</v>
      </c>
      <c r="B949" s="38">
        <v>114888.0032348633</v>
      </c>
      <c r="C949" s="39">
        <f t="shared" si="59"/>
        <v>3.3322019921608659E-2</v>
      </c>
      <c r="D949" s="38">
        <f>MAX($B$2:B949)</f>
        <v>117330.26214599609</v>
      </c>
      <c r="E949" s="40">
        <f t="shared" si="56"/>
        <v>-2.0815251465933438E-2</v>
      </c>
      <c r="F949" s="41">
        <f t="shared" si="57"/>
        <v>176.69953325508087</v>
      </c>
      <c r="G949" s="42" t="str">
        <f t="shared" si="58"/>
        <v>2025-10</v>
      </c>
    </row>
    <row r="950" spans="1:7" x14ac:dyDescent="0.25">
      <c r="A950" s="31">
        <v>45944</v>
      </c>
      <c r="B950" s="32">
        <v>113030.9680175781</v>
      </c>
      <c r="C950" s="33">
        <f t="shared" si="59"/>
        <v>-1.6163874077338547E-2</v>
      </c>
      <c r="D950" s="32">
        <f>MAX($B$2:B950)</f>
        <v>117330.26214599609</v>
      </c>
      <c r="E950" s="34">
        <f t="shared" si="56"/>
        <v>-3.6642670439688496E-2</v>
      </c>
      <c r="F950" s="35">
        <f t="shared" si="57"/>
        <v>173.84338425002124</v>
      </c>
      <c r="G950" s="36" t="str">
        <f t="shared" si="58"/>
        <v>2025-10</v>
      </c>
    </row>
    <row r="951" spans="1:7" x14ac:dyDescent="0.25">
      <c r="A951" s="37">
        <v>45945</v>
      </c>
      <c r="B951" s="38">
        <v>114155.235671997</v>
      </c>
      <c r="C951" s="39">
        <f t="shared" si="59"/>
        <v>9.94654539492279E-3</v>
      </c>
      <c r="D951" s="38">
        <f>MAX($B$2:B951)</f>
        <v>117330.26214599609</v>
      </c>
      <c r="E951" s="40">
        <f t="shared" si="56"/>
        <v>-2.7060593029685331E-2</v>
      </c>
      <c r="F951" s="41">
        <f t="shared" si="57"/>
        <v>175.57252536307107</v>
      </c>
      <c r="G951" s="42" t="str">
        <f t="shared" si="58"/>
        <v>2025-10</v>
      </c>
    </row>
    <row r="952" spans="1:7" x14ac:dyDescent="0.25">
      <c r="A952" s="31">
        <v>45946</v>
      </c>
      <c r="B952" s="32">
        <v>113703.4037017822</v>
      </c>
      <c r="C952" s="33">
        <f t="shared" si="59"/>
        <v>-3.9580485954499034E-3</v>
      </c>
      <c r="D952" s="32">
        <f>MAX($B$2:B952)</f>
        <v>117330.26214599609</v>
      </c>
      <c r="E952" s="34">
        <f t="shared" si="56"/>
        <v>-3.091153448290207E-2</v>
      </c>
      <c r="F952" s="35">
        <f t="shared" si="57"/>
        <v>174.87760077565818</v>
      </c>
      <c r="G952" s="36" t="str">
        <f t="shared" si="58"/>
        <v>2025-10</v>
      </c>
    </row>
    <row r="953" spans="1:7" x14ac:dyDescent="0.25">
      <c r="A953" s="37">
        <v>45947</v>
      </c>
      <c r="B953" s="38">
        <v>114250.1247406006</v>
      </c>
      <c r="C953" s="39">
        <f t="shared" si="59"/>
        <v>4.8083084676366905E-3</v>
      </c>
      <c r="D953" s="38">
        <f>MAX($B$2:B953)</f>
        <v>117330.26214599609</v>
      </c>
      <c r="E953" s="40">
        <f t="shared" si="56"/>
        <v>-2.6251858208267032E-2</v>
      </c>
      <c r="F953" s="41">
        <f t="shared" si="57"/>
        <v>175.71846622426776</v>
      </c>
      <c r="G953" s="42" t="str">
        <f t="shared" si="58"/>
        <v>2025-10</v>
      </c>
    </row>
    <row r="954" spans="1:7" x14ac:dyDescent="0.25">
      <c r="A954" s="31">
        <v>45950</v>
      </c>
      <c r="B954" s="32">
        <v>116315.830078125</v>
      </c>
      <c r="C954" s="33">
        <f t="shared" si="59"/>
        <v>1.8080552141316986E-2</v>
      </c>
      <c r="D954" s="32">
        <f>MAX($B$2:B954)</f>
        <v>117330.26214599609</v>
      </c>
      <c r="E954" s="34">
        <f t="shared" si="56"/>
        <v>-8.645954158091107E-3</v>
      </c>
      <c r="F954" s="35">
        <f t="shared" si="57"/>
        <v>178.89555311502789</v>
      </c>
      <c r="G954" s="36" t="str">
        <f t="shared" si="58"/>
        <v>2025-10</v>
      </c>
    </row>
    <row r="955" spans="1:7" x14ac:dyDescent="0.25">
      <c r="A955" s="37">
        <v>45951</v>
      </c>
      <c r="B955" s="38">
        <v>115374.69917297371</v>
      </c>
      <c r="C955" s="39">
        <f t="shared" si="59"/>
        <v>-8.0911678532420428E-3</v>
      </c>
      <c r="D955" s="38">
        <f>MAX($B$2:B955)</f>
        <v>117330.26214599609</v>
      </c>
      <c r="E955" s="40">
        <f t="shared" si="56"/>
        <v>-1.6667166144988643E-2</v>
      </c>
      <c r="F955" s="41">
        <f t="shared" si="57"/>
        <v>177.44807916657561</v>
      </c>
      <c r="G955" s="42" t="str">
        <f t="shared" si="58"/>
        <v>2025-10</v>
      </c>
    </row>
    <row r="956" spans="1:7" x14ac:dyDescent="0.25">
      <c r="A956" s="31">
        <v>45952</v>
      </c>
      <c r="B956" s="32">
        <v>114114.47151184081</v>
      </c>
      <c r="C956" s="33">
        <f t="shared" si="59"/>
        <v>-1.0922911783661671E-2</v>
      </c>
      <c r="D956" s="32">
        <f>MAX($B$2:B956)</f>
        <v>117330.26214599609</v>
      </c>
      <c r="E956" s="34">
        <f t="shared" si="56"/>
        <v>-2.7408023943164994E-2</v>
      </c>
      <c r="F956" s="35">
        <f t="shared" si="57"/>
        <v>175.5098294516589</v>
      </c>
      <c r="G956" s="36" t="str">
        <f t="shared" si="58"/>
        <v>2025-10</v>
      </c>
    </row>
    <row r="957" spans="1:7" x14ac:dyDescent="0.25">
      <c r="A957" s="37">
        <v>45953</v>
      </c>
      <c r="B957" s="38">
        <v>115869.04411315919</v>
      </c>
      <c r="C957" s="39">
        <f t="shared" si="59"/>
        <v>1.537554858794854E-2</v>
      </c>
      <c r="D957" s="38">
        <f>MAX($B$2:B957)</f>
        <v>117330.26214599609</v>
      </c>
      <c r="E957" s="40">
        <f t="shared" si="56"/>
        <v>-1.2453888759054177E-2</v>
      </c>
      <c r="F957" s="41">
        <f t="shared" si="57"/>
        <v>178.20838936205544</v>
      </c>
      <c r="G957" s="42" t="str">
        <f t="shared" si="58"/>
        <v>2025-10</v>
      </c>
    </row>
    <row r="958" spans="1:7" x14ac:dyDescent="0.25">
      <c r="A958" s="31">
        <v>45954</v>
      </c>
      <c r="B958" s="32">
        <v>117194.326171875</v>
      </c>
      <c r="C958" s="33">
        <f t="shared" si="59"/>
        <v>1.1437757762302159E-2</v>
      </c>
      <c r="D958" s="32">
        <f>MAX($B$2:B958)</f>
        <v>117330.26214599609</v>
      </c>
      <c r="E958" s="34">
        <f t="shared" si="56"/>
        <v>-1.1585755595768799E-3</v>
      </c>
      <c r="F958" s="35">
        <f t="shared" si="57"/>
        <v>180.24669375078867</v>
      </c>
      <c r="G958" s="36" t="str">
        <f t="shared" si="58"/>
        <v>2025-10</v>
      </c>
    </row>
    <row r="959" spans="1:7" x14ac:dyDescent="0.25">
      <c r="A959" s="37">
        <v>45957</v>
      </c>
      <c r="B959" s="38">
        <v>120087.5022888184</v>
      </c>
      <c r="C959" s="39">
        <f t="shared" si="59"/>
        <v>2.468699818027309E-2</v>
      </c>
      <c r="D959" s="38">
        <f>MAX($B$2:B959)</f>
        <v>120087.5022888184</v>
      </c>
      <c r="E959" s="40">
        <f t="shared" si="56"/>
        <v>0</v>
      </c>
      <c r="F959" s="41">
        <f t="shared" si="57"/>
        <v>184.6964435514146</v>
      </c>
      <c r="G959" s="42" t="str">
        <f t="shared" si="58"/>
        <v>2025-10</v>
      </c>
    </row>
    <row r="960" spans="1:7" x14ac:dyDescent="0.25">
      <c r="A960" s="31">
        <v>45958</v>
      </c>
      <c r="B960" s="32">
        <v>121648.5049438477</v>
      </c>
      <c r="C960" s="33">
        <f t="shared" si="59"/>
        <v>1.2998876862930997E-2</v>
      </c>
      <c r="D960" s="32">
        <f>MAX($B$2:B960)</f>
        <v>121648.5049438477</v>
      </c>
      <c r="E960" s="34">
        <f t="shared" si="56"/>
        <v>0</v>
      </c>
      <c r="F960" s="35">
        <f t="shared" si="57"/>
        <v>187.09728987816072</v>
      </c>
      <c r="G960" s="36" t="str">
        <f t="shared" si="58"/>
        <v>2025-10</v>
      </c>
    </row>
    <row r="961" spans="1:7" x14ac:dyDescent="0.25">
      <c r="A961" s="37">
        <v>45959</v>
      </c>
      <c r="B961" s="38">
        <v>122559.4645690919</v>
      </c>
      <c r="C961" s="39">
        <f t="shared" si="59"/>
        <v>7.4884572207829514E-3</v>
      </c>
      <c r="D961" s="38">
        <f>MAX($B$2:B961)</f>
        <v>122559.4645690919</v>
      </c>
      <c r="E961" s="40">
        <f t="shared" si="56"/>
        <v>0</v>
      </c>
      <c r="F961" s="41">
        <f t="shared" si="57"/>
        <v>188.49835992953777</v>
      </c>
      <c r="G961" s="42" t="str">
        <f t="shared" si="58"/>
        <v>2025-10</v>
      </c>
    </row>
    <row r="962" spans="1:7" x14ac:dyDescent="0.25">
      <c r="A962" s="31">
        <v>45960</v>
      </c>
      <c r="B962" s="32">
        <v>120135.884552002</v>
      </c>
      <c r="C962" s="33">
        <f t="shared" si="59"/>
        <v>-1.9774727521950197E-2</v>
      </c>
      <c r="D962" s="32">
        <f>MAX($B$2:B962)</f>
        <v>122559.4645690919</v>
      </c>
      <c r="E962" s="34">
        <f t="shared" ref="E962:E1025" si="60">B962/D962-1</f>
        <v>-1.9774727521950197E-2</v>
      </c>
      <c r="F962" s="35">
        <f t="shared" ref="F962:F1025" si="61">B962/$B$2*100</f>
        <v>184.77085622359667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121644.61135864261</v>
      </c>
      <c r="C963" s="39">
        <f t="shared" ref="C963:C1026" si="63">B963/B962-1</f>
        <v>1.255850250128665E-2</v>
      </c>
      <c r="D963" s="38">
        <f>MAX($B$2:B963)</f>
        <v>122559.4645690919</v>
      </c>
      <c r="E963" s="40">
        <f t="shared" si="60"/>
        <v>-7.4645659857101032E-3</v>
      </c>
      <c r="F963" s="41">
        <f t="shared" si="61"/>
        <v>187.09130148364557</v>
      </c>
      <c r="G963" s="42" t="str">
        <f t="shared" si="62"/>
        <v>2025-10</v>
      </c>
    </row>
    <row r="964" spans="1:7" x14ac:dyDescent="0.25">
      <c r="A964" s="31">
        <v>45964</v>
      </c>
      <c r="B964" s="32">
        <v>123369.6612548829</v>
      </c>
      <c r="C964" s="33">
        <f t="shared" si="63"/>
        <v>1.418106299139188E-2</v>
      </c>
      <c r="D964" s="32">
        <f>MAX($B$2:B964)</f>
        <v>123369.6612548829</v>
      </c>
      <c r="E964" s="34">
        <f t="shared" si="60"/>
        <v>0</v>
      </c>
      <c r="F964" s="35">
        <f t="shared" si="61"/>
        <v>189.74445501512665</v>
      </c>
      <c r="G964" s="36" t="str">
        <f t="shared" si="62"/>
        <v>2025-11</v>
      </c>
    </row>
    <row r="965" spans="1:7" x14ac:dyDescent="0.25">
      <c r="A965" s="37">
        <v>45965</v>
      </c>
      <c r="B965" s="38">
        <v>119392.8190612793</v>
      </c>
      <c r="C965" s="39">
        <f t="shared" si="63"/>
        <v>-3.2235171541789454E-2</v>
      </c>
      <c r="D965" s="38">
        <f>MAX($B$2:B965)</f>
        <v>123369.6612548829</v>
      </c>
      <c r="E965" s="40">
        <f t="shared" si="60"/>
        <v>-3.2235171541789454E-2</v>
      </c>
      <c r="F965" s="41">
        <f t="shared" si="61"/>
        <v>183.62800995861068</v>
      </c>
      <c r="G965" s="42" t="str">
        <f t="shared" si="62"/>
        <v>2025-11</v>
      </c>
    </row>
    <row r="966" spans="1:7" x14ac:dyDescent="0.25">
      <c r="A966" s="31">
        <v>45966</v>
      </c>
      <c r="B966" s="32">
        <v>121214.55093383791</v>
      </c>
      <c r="C966" s="33">
        <f t="shared" si="63"/>
        <v>1.5258303530161221E-2</v>
      </c>
      <c r="D966" s="32">
        <f>MAX($B$2:B966)</f>
        <v>123369.6612548829</v>
      </c>
      <c r="E966" s="34">
        <f t="shared" si="60"/>
        <v>-1.7468722043359697E-2</v>
      </c>
      <c r="F966" s="35">
        <f t="shared" si="61"/>
        <v>186.4298618711986</v>
      </c>
      <c r="G966" s="36" t="str">
        <f t="shared" si="62"/>
        <v>2025-11</v>
      </c>
    </row>
    <row r="967" spans="1:7" x14ac:dyDescent="0.25">
      <c r="A967" s="37">
        <v>45967</v>
      </c>
      <c r="B967" s="38">
        <v>118070.93231201181</v>
      </c>
      <c r="C967" s="39">
        <f t="shared" si="63"/>
        <v>-2.5934333771050033E-2</v>
      </c>
      <c r="D967" s="38">
        <f>MAX($B$2:B967)</f>
        <v>123369.6612548829</v>
      </c>
      <c r="E967" s="40">
        <f t="shared" si="60"/>
        <v>-4.2950016146383607E-2</v>
      </c>
      <c r="F967" s="41">
        <f t="shared" si="61"/>
        <v>181.59492760854019</v>
      </c>
      <c r="G967" s="42" t="str">
        <f t="shared" si="62"/>
        <v>2025-11</v>
      </c>
    </row>
    <row r="968" spans="1:7" x14ac:dyDescent="0.25">
      <c r="A968" s="31">
        <v>45968</v>
      </c>
      <c r="B968" s="32">
        <v>117178.7644958497</v>
      </c>
      <c r="C968" s="33">
        <f t="shared" si="63"/>
        <v>-7.5562020108767003E-3</v>
      </c>
      <c r="D968" s="32">
        <f>MAX($B$2:B968)</f>
        <v>123369.6612548829</v>
      </c>
      <c r="E968" s="34">
        <f t="shared" si="60"/>
        <v>-5.0181679158887826E-2</v>
      </c>
      <c r="F968" s="35">
        <f t="shared" si="61"/>
        <v>180.22275965137953</v>
      </c>
      <c r="G968" s="36" t="str">
        <f t="shared" si="62"/>
        <v>2025-11</v>
      </c>
    </row>
    <row r="969" spans="1:7" x14ac:dyDescent="0.25">
      <c r="A969" s="37">
        <v>45971</v>
      </c>
      <c r="B969" s="38">
        <v>120916.2292480469</v>
      </c>
      <c r="C969" s="39">
        <f t="shared" si="63"/>
        <v>3.1895410130643453E-2</v>
      </c>
      <c r="D969" s="38">
        <f>MAX($B$2:B969)</f>
        <v>123369.6612548829</v>
      </c>
      <c r="E969" s="40">
        <f t="shared" si="60"/>
        <v>-1.9886834266061415E-2</v>
      </c>
      <c r="F969" s="41">
        <f t="shared" si="61"/>
        <v>185.97103848533666</v>
      </c>
      <c r="G969" s="42" t="str">
        <f t="shared" si="62"/>
        <v>2025-11</v>
      </c>
    </row>
    <row r="970" spans="1:7" x14ac:dyDescent="0.25">
      <c r="A970" s="31">
        <v>45972</v>
      </c>
      <c r="B970" s="32">
        <v>119861.0626220703</v>
      </c>
      <c r="C970" s="33">
        <f t="shared" si="63"/>
        <v>-8.7264268207706275E-3</v>
      </c>
      <c r="D970" s="32">
        <f>MAX($B$2:B970)</f>
        <v>123369.6612548829</v>
      </c>
      <c r="E970" s="34">
        <f t="shared" si="60"/>
        <v>-2.8439720082912512E-2</v>
      </c>
      <c r="F970" s="35">
        <f t="shared" si="61"/>
        <v>184.34817582721166</v>
      </c>
      <c r="G970" s="36" t="str">
        <f t="shared" si="62"/>
        <v>2025-11</v>
      </c>
    </row>
    <row r="971" spans="1:7" x14ac:dyDescent="0.25">
      <c r="A971" s="37">
        <v>45973</v>
      </c>
      <c r="B971" s="38">
        <v>119376.072845459</v>
      </c>
      <c r="C971" s="39">
        <f t="shared" si="63"/>
        <v>-4.0462662853282261E-3</v>
      </c>
      <c r="D971" s="38">
        <f>MAX($B$2:B971)</f>
        <v>123369.6612548829</v>
      </c>
      <c r="E971" s="40">
        <f t="shared" si="60"/>
        <v>-3.2370911687705006E-2</v>
      </c>
      <c r="F971" s="41">
        <f t="shared" si="61"/>
        <v>183.60225401860026</v>
      </c>
      <c r="G971" s="42" t="str">
        <f t="shared" si="62"/>
        <v>2025-11</v>
      </c>
    </row>
    <row r="972" spans="1:7" x14ac:dyDescent="0.25">
      <c r="A972" s="31">
        <v>45974</v>
      </c>
      <c r="B972" s="32">
        <v>115222.744140625</v>
      </c>
      <c r="C972" s="33">
        <f t="shared" si="63"/>
        <v>-3.4791969662218536E-2</v>
      </c>
      <c r="D972" s="32">
        <f>MAX($B$2:B972)</f>
        <v>123369.6612548829</v>
      </c>
      <c r="E972" s="34">
        <f t="shared" si="60"/>
        <v>-6.6036633572546632E-2</v>
      </c>
      <c r="F972" s="35">
        <f t="shared" si="61"/>
        <v>177.21436996687018</v>
      </c>
      <c r="G972" s="36" t="str">
        <f t="shared" si="62"/>
        <v>2025-11</v>
      </c>
    </row>
    <row r="973" spans="1:7" x14ac:dyDescent="0.25">
      <c r="A973" s="37">
        <v>45975</v>
      </c>
      <c r="B973" s="38">
        <v>116189.0490722657</v>
      </c>
      <c r="C973" s="39">
        <f t="shared" si="63"/>
        <v>8.3864078993063362E-3</v>
      </c>
      <c r="D973" s="38">
        <f>MAX($B$2:B973)</f>
        <v>123369.6612548829</v>
      </c>
      <c r="E973" s="40">
        <f t="shared" si="60"/>
        <v>-5.8204035818676614E-2</v>
      </c>
      <c r="F973" s="41">
        <f t="shared" si="61"/>
        <v>178.70056195903095</v>
      </c>
      <c r="G973" s="42" t="str">
        <f t="shared" si="62"/>
        <v>2025-11</v>
      </c>
    </row>
    <row r="974" spans="1:7" x14ac:dyDescent="0.25">
      <c r="A974" s="31">
        <v>45978</v>
      </c>
      <c r="B974" s="32">
        <v>115188.4356689453</v>
      </c>
      <c r="C974" s="33">
        <f t="shared" si="63"/>
        <v>-8.6119424447483883E-3</v>
      </c>
      <c r="D974" s="32">
        <f>MAX($B$2:B974)</f>
        <v>123369.6612548829</v>
      </c>
      <c r="E974" s="34">
        <f t="shared" si="60"/>
        <v>-6.631472845690245E-2</v>
      </c>
      <c r="F974" s="35">
        <f t="shared" si="61"/>
        <v>177.16160300459558</v>
      </c>
      <c r="G974" s="36" t="str">
        <f t="shared" si="62"/>
        <v>2025-11</v>
      </c>
    </row>
    <row r="975" spans="1:7" x14ac:dyDescent="0.25">
      <c r="A975" s="37">
        <v>45979</v>
      </c>
      <c r="B975" s="38">
        <v>112805.5317687988</v>
      </c>
      <c r="C975" s="39">
        <f t="shared" si="63"/>
        <v>-2.0687006350142867E-2</v>
      </c>
      <c r="D975" s="38">
        <f>MAX($B$2:B975)</f>
        <v>123369.6612548829</v>
      </c>
      <c r="E975" s="40">
        <f t="shared" si="60"/>
        <v>-8.5629881598349389E-2</v>
      </c>
      <c r="F975" s="41">
        <f t="shared" si="61"/>
        <v>173.496659798238</v>
      </c>
      <c r="G975" s="42" t="str">
        <f t="shared" si="62"/>
        <v>2025-11</v>
      </c>
    </row>
    <row r="976" spans="1:7" x14ac:dyDescent="0.25">
      <c r="A976" s="31">
        <v>45980</v>
      </c>
      <c r="B976" s="32">
        <v>113739.6884155273</v>
      </c>
      <c r="C976" s="33">
        <f t="shared" si="63"/>
        <v>8.2811244455911481E-3</v>
      </c>
      <c r="D976" s="32">
        <f>MAX($B$2:B976)</f>
        <v>123369.6612548829</v>
      </c>
      <c r="E976" s="34">
        <f t="shared" si="60"/>
        <v>-7.8057868858535495E-2</v>
      </c>
      <c r="F976" s="35">
        <f t="shared" si="61"/>
        <v>174.9334072289216</v>
      </c>
      <c r="G976" s="36" t="str">
        <f t="shared" si="62"/>
        <v>2025-11</v>
      </c>
    </row>
    <row r="977" spans="1:7" x14ac:dyDescent="0.25">
      <c r="A977" s="37">
        <v>45981</v>
      </c>
      <c r="B977" s="38">
        <v>110116.8824768067</v>
      </c>
      <c r="C977" s="39">
        <f t="shared" si="63"/>
        <v>-3.1851730817877177E-2</v>
      </c>
      <c r="D977" s="38">
        <f>MAX($B$2:B977)</f>
        <v>123369.6612548829</v>
      </c>
      <c r="E977" s="40">
        <f t="shared" si="60"/>
        <v>-0.10742332144931344</v>
      </c>
      <c r="F977" s="41">
        <f t="shared" si="61"/>
        <v>169.36147543081188</v>
      </c>
      <c r="G977" s="42" t="str">
        <f t="shared" si="62"/>
        <v>2025-11</v>
      </c>
    </row>
    <row r="978" spans="1:7" x14ac:dyDescent="0.25">
      <c r="A978" s="31">
        <v>45982</v>
      </c>
      <c r="B978" s="32">
        <v>110562.23251342781</v>
      </c>
      <c r="C978" s="33">
        <f t="shared" si="63"/>
        <v>4.0443393111397885E-3</v>
      </c>
      <c r="D978" s="32">
        <f>MAX($B$2:B978)</f>
        <v>123369.6612548829</v>
      </c>
      <c r="E978" s="34">
        <f t="shared" si="60"/>
        <v>-0.10381343850004432</v>
      </c>
      <c r="F978" s="35">
        <f t="shared" si="61"/>
        <v>170.04643070368934</v>
      </c>
      <c r="G978" s="36" t="str">
        <f t="shared" si="62"/>
        <v>2025-11</v>
      </c>
    </row>
    <row r="979" spans="1:7" x14ac:dyDescent="0.25">
      <c r="A979" s="37">
        <v>45985</v>
      </c>
      <c r="B979" s="38">
        <v>114913.56689453121</v>
      </c>
      <c r="C979" s="39">
        <f t="shared" si="63"/>
        <v>3.9356426531771849E-2</v>
      </c>
      <c r="D979" s="38">
        <f>MAX($B$2:B979)</f>
        <v>123369.6612548829</v>
      </c>
      <c r="E979" s="40">
        <f t="shared" si="60"/>
        <v>-6.8542737933610098E-2</v>
      </c>
      <c r="F979" s="41">
        <f t="shared" si="61"/>
        <v>176.73885056066914</v>
      </c>
      <c r="G979" s="42" t="str">
        <f t="shared" si="62"/>
        <v>2025-11</v>
      </c>
    </row>
    <row r="980" spans="1:7" x14ac:dyDescent="0.25">
      <c r="A980" s="31">
        <v>45986</v>
      </c>
      <c r="B980" s="32">
        <v>115277.8482055663</v>
      </c>
      <c r="C980" s="33">
        <f t="shared" si="63"/>
        <v>3.1700461562509386E-3</v>
      </c>
      <c r="D980" s="32">
        <f>MAX($B$2:B980)</f>
        <v>123369.6612548829</v>
      </c>
      <c r="E980" s="34">
        <f t="shared" si="60"/>
        <v>-6.5589975420284552E-2</v>
      </c>
      <c r="F980" s="35">
        <f t="shared" si="61"/>
        <v>177.2991208745492</v>
      </c>
      <c r="G980" s="36" t="str">
        <f t="shared" si="62"/>
        <v>2025-11</v>
      </c>
    </row>
    <row r="981" spans="1:7" x14ac:dyDescent="0.25">
      <c r="A981" s="37">
        <v>45987</v>
      </c>
      <c r="B981" s="38">
        <v>117486.74789428709</v>
      </c>
      <c r="C981" s="39">
        <f t="shared" si="63"/>
        <v>1.9161527761880404E-2</v>
      </c>
      <c r="D981" s="38">
        <f>MAX($B$2:B981)</f>
        <v>123369.6612548829</v>
      </c>
      <c r="E981" s="40">
        <f t="shared" si="60"/>
        <v>-4.7685251793320949E-2</v>
      </c>
      <c r="F981" s="41">
        <f t="shared" si="61"/>
        <v>180.69644290134386</v>
      </c>
      <c r="G981" s="42" t="str">
        <f t="shared" si="62"/>
        <v>2025-11</v>
      </c>
    </row>
    <row r="982" spans="1:7" x14ac:dyDescent="0.25">
      <c r="A982" s="31">
        <v>45989</v>
      </c>
      <c r="B982" s="32">
        <v>118308.82385253911</v>
      </c>
      <c r="C982" s="33">
        <f t="shared" si="63"/>
        <v>6.9971803031920743E-3</v>
      </c>
      <c r="D982" s="32">
        <f>MAX($B$2:B982)</f>
        <v>123369.6612548829</v>
      </c>
      <c r="E982" s="34">
        <f t="shared" si="60"/>
        <v>-4.1021733794729731E-2</v>
      </c>
      <c r="F982" s="35">
        <f t="shared" si="61"/>
        <v>181.96080849247002</v>
      </c>
      <c r="G982" s="36" t="str">
        <f t="shared" si="62"/>
        <v>2025-11</v>
      </c>
    </row>
    <row r="983" spans="1:7" x14ac:dyDescent="0.25">
      <c r="A983" s="37">
        <v>45992</v>
      </c>
      <c r="B983" s="38">
        <v>117863.02749633801</v>
      </c>
      <c r="C983" s="39">
        <f t="shared" si="63"/>
        <v>-3.7680736033411932E-3</v>
      </c>
      <c r="D983" s="38">
        <f>MAX($B$2:B983)</f>
        <v>123369.6612548829</v>
      </c>
      <c r="E983" s="40">
        <f t="shared" si="60"/>
        <v>-4.4635234485795761E-2</v>
      </c>
      <c r="F983" s="41">
        <f t="shared" si="61"/>
        <v>181.27516677314694</v>
      </c>
      <c r="G983" s="42" t="str">
        <f t="shared" si="62"/>
        <v>2025-12</v>
      </c>
    </row>
    <row r="984" spans="1:7" x14ac:dyDescent="0.25">
      <c r="A984" s="31">
        <v>45993</v>
      </c>
      <c r="B984" s="32">
        <v>118681.3272094726</v>
      </c>
      <c r="C984" s="33">
        <f t="shared" si="63"/>
        <v>6.9428024251287912E-3</v>
      </c>
      <c r="D984" s="32">
        <f>MAX($B$2:B984)</f>
        <v>123369.6612548829</v>
      </c>
      <c r="E984" s="34">
        <f t="shared" si="60"/>
        <v>-3.8002325674901249E-2</v>
      </c>
      <c r="F984" s="35">
        <f t="shared" si="61"/>
        <v>182.53372444063515</v>
      </c>
      <c r="G984" s="36" t="str">
        <f t="shared" si="62"/>
        <v>2025-12</v>
      </c>
    </row>
    <row r="985" spans="1:7" x14ac:dyDescent="0.25">
      <c r="A985" s="37">
        <v>45994</v>
      </c>
      <c r="B985" s="38">
        <v>119422.4200439454</v>
      </c>
      <c r="C985" s="39">
        <f t="shared" si="63"/>
        <v>6.2443928787951908E-3</v>
      </c>
      <c r="D985" s="38">
        <f>MAX($B$2:B985)</f>
        <v>123369.6612548829</v>
      </c>
      <c r="E985" s="40">
        <f t="shared" si="60"/>
        <v>-3.1995234247927939E-2</v>
      </c>
      <c r="F985" s="41">
        <f t="shared" si="61"/>
        <v>183.67353672967224</v>
      </c>
      <c r="G985" s="42" t="str">
        <f t="shared" si="62"/>
        <v>2025-12</v>
      </c>
    </row>
    <row r="986" spans="1:7" x14ac:dyDescent="0.25">
      <c r="A986" s="31">
        <v>45995</v>
      </c>
      <c r="B986" s="32">
        <v>119549.18869018561</v>
      </c>
      <c r="C986" s="33">
        <f t="shared" si="63"/>
        <v>1.061514631788274E-3</v>
      </c>
      <c r="D986" s="32">
        <f>MAX($B$2:B986)</f>
        <v>123369.6612548829</v>
      </c>
      <c r="E986" s="34">
        <f t="shared" si="60"/>
        <v>-3.0967683025441395E-2</v>
      </c>
      <c r="F986" s="35">
        <f t="shared" si="61"/>
        <v>183.86850887638306</v>
      </c>
      <c r="G986" s="36" t="str">
        <f t="shared" si="62"/>
        <v>2025-12</v>
      </c>
    </row>
    <row r="987" spans="1:7" x14ac:dyDescent="0.25">
      <c r="A987" s="37">
        <v>45996</v>
      </c>
      <c r="B987" s="38">
        <v>119749.1313171386</v>
      </c>
      <c r="C987" s="39">
        <f t="shared" si="63"/>
        <v>1.6724716340079659E-3</v>
      </c>
      <c r="D987" s="38">
        <f>MAX($B$2:B987)</f>
        <v>123369.6612548829</v>
      </c>
      <c r="E987" s="40">
        <f t="shared" si="60"/>
        <v>-2.9347003962864493E-2</v>
      </c>
      <c r="F987" s="41">
        <f t="shared" si="61"/>
        <v>184.17602374186615</v>
      </c>
      <c r="G987" s="42" t="str">
        <f t="shared" si="62"/>
        <v>2025-12</v>
      </c>
    </row>
    <row r="988" spans="1:7" x14ac:dyDescent="0.25">
      <c r="A988" s="31">
        <v>45999</v>
      </c>
      <c r="B988" s="32">
        <v>120272.23739624031</v>
      </c>
      <c r="C988" s="33">
        <f t="shared" si="63"/>
        <v>4.3683496769286734E-3</v>
      </c>
      <c r="D988" s="32">
        <f>MAX($B$2:B988)</f>
        <v>123369.6612548829</v>
      </c>
      <c r="E988" s="34">
        <f t="shared" si="60"/>
        <v>-2.5106852261215895E-2</v>
      </c>
      <c r="F988" s="35">
        <f t="shared" si="61"/>
        <v>184.98056901567693</v>
      </c>
      <c r="G988" s="36" t="str">
        <f t="shared" si="62"/>
        <v>2025-12</v>
      </c>
    </row>
    <row r="989" spans="1:7" x14ac:dyDescent="0.25">
      <c r="A989" s="37">
        <v>46000</v>
      </c>
      <c r="B989" s="38">
        <v>120886.7280578613</v>
      </c>
      <c r="C989" s="39">
        <f t="shared" si="63"/>
        <v>5.1091646328698115E-3</v>
      </c>
      <c r="D989" s="38">
        <f>MAX($B$2:B989)</f>
        <v>123369.6612548829</v>
      </c>
      <c r="E989" s="40">
        <f t="shared" si="60"/>
        <v>-2.0125962669961805E-2</v>
      </c>
      <c r="F989" s="41">
        <f t="shared" si="61"/>
        <v>185.92566519665996</v>
      </c>
      <c r="G989" s="42" t="str">
        <f t="shared" si="62"/>
        <v>2025-12</v>
      </c>
    </row>
    <row r="990" spans="1:7" x14ac:dyDescent="0.25">
      <c r="A990" s="31">
        <v>46001</v>
      </c>
      <c r="B990" s="32">
        <v>121709.4015502929</v>
      </c>
      <c r="C990" s="33">
        <f t="shared" si="63"/>
        <v>6.8053251638826584E-3</v>
      </c>
      <c r="D990" s="32">
        <f>MAX($B$2:B990)</f>
        <v>123369.6612548829</v>
      </c>
      <c r="E990" s="34">
        <f t="shared" si="60"/>
        <v>-1.3457601226284366E-2</v>
      </c>
      <c r="F990" s="35">
        <f t="shared" si="61"/>
        <v>187.19094980463439</v>
      </c>
      <c r="G990" s="36" t="str">
        <f t="shared" si="62"/>
        <v>2025-12</v>
      </c>
    </row>
    <row r="991" spans="1:7" x14ac:dyDescent="0.25">
      <c r="A991" s="37">
        <v>46002</v>
      </c>
      <c r="B991" s="38">
        <v>119759.54788208011</v>
      </c>
      <c r="C991" s="39">
        <f t="shared" si="63"/>
        <v>-1.6020567379152473E-2</v>
      </c>
      <c r="D991" s="38">
        <f>MAX($B$2:B991)</f>
        <v>123369.6612548829</v>
      </c>
      <c r="E991" s="40">
        <f t="shared" si="60"/>
        <v>-2.9262570198229421E-2</v>
      </c>
      <c r="F991" s="41">
        <f t="shared" si="61"/>
        <v>184.19204458052172</v>
      </c>
      <c r="G991" s="42" t="str">
        <f t="shared" si="62"/>
        <v>2025-12</v>
      </c>
    </row>
    <row r="992" spans="1:7" x14ac:dyDescent="0.25">
      <c r="A992" s="31">
        <v>46003</v>
      </c>
      <c r="B992" s="32">
        <v>117889.7937011719</v>
      </c>
      <c r="C992" s="33">
        <f t="shared" si="63"/>
        <v>-1.5612568801188442E-2</v>
      </c>
      <c r="D992" s="32">
        <f>MAX($B$2:B992)</f>
        <v>123369.6612548829</v>
      </c>
      <c r="E992" s="34">
        <f t="shared" si="60"/>
        <v>-4.4418275108898397E-2</v>
      </c>
      <c r="F992" s="35">
        <f t="shared" si="61"/>
        <v>181.31633361187673</v>
      </c>
      <c r="G992" s="36" t="str">
        <f t="shared" si="62"/>
        <v>2025-12</v>
      </c>
    </row>
    <row r="993" spans="1:7" x14ac:dyDescent="0.25">
      <c r="A993" s="37">
        <v>46006</v>
      </c>
      <c r="B993" s="38">
        <v>117424.6179199219</v>
      </c>
      <c r="C993" s="39">
        <f t="shared" si="63"/>
        <v>-3.9458528736519005E-3</v>
      </c>
      <c r="D993" s="38">
        <f>MAX($B$2:B993)</f>
        <v>123369.6612548829</v>
      </c>
      <c r="E993" s="40">
        <f t="shared" si="60"/>
        <v>-4.8188860004069189E-2</v>
      </c>
      <c r="F993" s="41">
        <f t="shared" si="61"/>
        <v>180.6008860358543</v>
      </c>
      <c r="G993" s="42" t="str">
        <f t="shared" si="62"/>
        <v>2025-12</v>
      </c>
    </row>
    <row r="994" spans="1:7" x14ac:dyDescent="0.25">
      <c r="A994" s="31">
        <v>46007</v>
      </c>
      <c r="B994" s="32">
        <v>118271.2341308594</v>
      </c>
      <c r="C994" s="33">
        <f t="shared" si="63"/>
        <v>7.2098698376421577E-3</v>
      </c>
      <c r="D994" s="32">
        <f>MAX($B$2:B994)</f>
        <v>123369.6612548829</v>
      </c>
      <c r="E994" s="34">
        <f t="shared" si="60"/>
        <v>-4.1326425574680803E-2</v>
      </c>
      <c r="F994" s="35">
        <f t="shared" si="61"/>
        <v>181.90299491673565</v>
      </c>
      <c r="G994" s="36" t="str">
        <f t="shared" si="62"/>
        <v>2025-12</v>
      </c>
    </row>
    <row r="995" spans="1:7" x14ac:dyDescent="0.25">
      <c r="A995" s="37">
        <v>46008</v>
      </c>
      <c r="B995" s="38">
        <v>115245.4821777344</v>
      </c>
      <c r="C995" s="39">
        <f t="shared" si="63"/>
        <v>-2.5583160397034566E-2</v>
      </c>
      <c r="D995" s="38">
        <f>MAX($B$2:B995)</f>
        <v>123369.6612548829</v>
      </c>
      <c r="E995" s="40">
        <f t="shared" si="60"/>
        <v>-6.5852325397602107E-2</v>
      </c>
      <c r="F995" s="41">
        <f t="shared" si="61"/>
        <v>177.24934142107983</v>
      </c>
      <c r="G995" s="42" t="str">
        <f t="shared" si="62"/>
        <v>2025-12</v>
      </c>
    </row>
    <row r="996" spans="1:7" x14ac:dyDescent="0.25">
      <c r="A996" s="31">
        <v>46009</v>
      </c>
      <c r="B996" s="32">
        <v>118281.2034606934</v>
      </c>
      <c r="C996" s="33">
        <f t="shared" si="63"/>
        <v>2.6341347405508087E-2</v>
      </c>
      <c r="D996" s="32">
        <f>MAX($B$2:B996)</f>
        <v>123369.6612548829</v>
      </c>
      <c r="E996" s="34">
        <f t="shared" si="60"/>
        <v>-4.1245616972852783E-2</v>
      </c>
      <c r="F996" s="35">
        <f t="shared" si="61"/>
        <v>181.91832790085002</v>
      </c>
      <c r="G996" s="36" t="str">
        <f t="shared" si="62"/>
        <v>2025-12</v>
      </c>
    </row>
    <row r="997" spans="1:7" x14ac:dyDescent="0.25">
      <c r="A997" s="37">
        <v>46010</v>
      </c>
      <c r="B997" s="38">
        <v>120136.5892028808</v>
      </c>
      <c r="C997" s="39">
        <f t="shared" si="63"/>
        <v>1.5686226449361129E-2</v>
      </c>
      <c r="D997" s="38">
        <f>MAX($B$2:B997)</f>
        <v>123369.6612548829</v>
      </c>
      <c r="E997" s="40">
        <f t="shared" si="60"/>
        <v>-2.6206378611371428E-2</v>
      </c>
      <c r="F997" s="41">
        <f t="shared" si="61"/>
        <v>184.77193998759191</v>
      </c>
      <c r="G997" s="42" t="str">
        <f t="shared" si="62"/>
        <v>2025-12</v>
      </c>
    </row>
    <row r="998" spans="1:7" x14ac:dyDescent="0.25">
      <c r="A998" s="31">
        <v>46013</v>
      </c>
      <c r="B998" s="32">
        <v>121277.7038574219</v>
      </c>
      <c r="C998" s="33">
        <f t="shared" si="63"/>
        <v>9.4984772092543412E-3</v>
      </c>
      <c r="D998" s="32">
        <f>MAX($B$2:B998)</f>
        <v>123369.6612548829</v>
      </c>
      <c r="E998" s="34">
        <f t="shared" si="60"/>
        <v>-1.695682209209437E-2</v>
      </c>
      <c r="F998" s="35">
        <f t="shared" si="61"/>
        <v>186.52699204847374</v>
      </c>
      <c r="G998" s="36" t="str">
        <f t="shared" si="62"/>
        <v>2025-12</v>
      </c>
    </row>
    <row r="999" spans="1:7" x14ac:dyDescent="0.25">
      <c r="A999" s="37">
        <v>46014</v>
      </c>
      <c r="B999" s="38">
        <v>121859.4885253907</v>
      </c>
      <c r="C999" s="39">
        <f t="shared" si="63"/>
        <v>4.7971279919081233E-3</v>
      </c>
      <c r="D999" s="38">
        <f>MAX($B$2:B999)</f>
        <v>123369.6612548829</v>
      </c>
      <c r="E999" s="40">
        <f t="shared" si="60"/>
        <v>-1.2241038146097893E-2</v>
      </c>
      <c r="F999" s="41">
        <f t="shared" si="61"/>
        <v>187.42178590327592</v>
      </c>
      <c r="G999" s="42" t="str">
        <f t="shared" si="62"/>
        <v>2025-12</v>
      </c>
    </row>
    <row r="1000" spans="1:7" x14ac:dyDescent="0.25">
      <c r="A1000" s="31">
        <v>46015</v>
      </c>
      <c r="B1000" s="32">
        <v>122487.1461486816</v>
      </c>
      <c r="C1000" s="33">
        <f t="shared" si="63"/>
        <v>5.1506668121301669E-3</v>
      </c>
      <c r="D1000" s="32">
        <f>MAX($B$2:B1000)</f>
        <v>123369.6612548829</v>
      </c>
      <c r="E1000" s="34">
        <f t="shared" si="60"/>
        <v>-7.1534208428928325E-3</v>
      </c>
      <c r="F1000" s="35">
        <f t="shared" si="61"/>
        <v>188.38713307579812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122031.3275146485</v>
      </c>
      <c r="C1001" s="39">
        <f t="shared" si="63"/>
        <v>-3.7213589210397524E-3</v>
      </c>
      <c r="D1001" s="38">
        <f>MAX($B$2:B1001)</f>
        <v>123369.6612548829</v>
      </c>
      <c r="E1001" s="40">
        <f t="shared" si="60"/>
        <v>-1.0848159317462969E-2</v>
      </c>
      <c r="F1001" s="41">
        <f t="shared" si="61"/>
        <v>187.68607693751738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121428.31954956061</v>
      </c>
      <c r="C1002" s="33">
        <f t="shared" si="63"/>
        <v>-4.9414193663959161E-3</v>
      </c>
      <c r="D1002" s="32">
        <f>MAX($B$2:B1002)</f>
        <v>123369.6612548829</v>
      </c>
      <c r="E1002" s="34">
        <f t="shared" si="60"/>
        <v>-1.5735973379317869E-2</v>
      </c>
      <c r="F1002" s="35">
        <f t="shared" si="61"/>
        <v>186.75864132213545</v>
      </c>
      <c r="G1002" s="36" t="str">
        <f t="shared" si="62"/>
        <v>2025-12</v>
      </c>
    </row>
    <row r="1003" spans="1:7" x14ac:dyDescent="0.25">
      <c r="A1003" s="37">
        <v>46021</v>
      </c>
      <c r="B1003" s="38">
        <v>120856.9584655762</v>
      </c>
      <c r="C1003" s="39">
        <f t="shared" si="63"/>
        <v>-4.705336334257737E-3</v>
      </c>
      <c r="D1003" s="38">
        <f>MAX($B$2:B1003)</f>
        <v>123369.6612548829</v>
      </c>
      <c r="E1003" s="40">
        <f t="shared" si="60"/>
        <v>-2.0367266666278971E-2</v>
      </c>
      <c r="F1003" s="41">
        <f t="shared" si="61"/>
        <v>185.8798791013858</v>
      </c>
      <c r="G1003" s="42" t="str">
        <f t="shared" si="62"/>
        <v>2025-12</v>
      </c>
    </row>
    <row r="1004" spans="1:7" x14ac:dyDescent="0.25">
      <c r="A1004" s="31">
        <v>46022</v>
      </c>
      <c r="B1004" s="32">
        <v>120044.4366455078</v>
      </c>
      <c r="C1004" s="33">
        <f t="shared" si="63"/>
        <v>-6.7230040403493119E-3</v>
      </c>
      <c r="D1004" s="32">
        <f>MAX($B$2:B1004)</f>
        <v>123369.6612548829</v>
      </c>
      <c r="E1004" s="34">
        <f t="shared" si="60"/>
        <v>-2.6953341490539962E-2</v>
      </c>
      <c r="F1004" s="35">
        <f t="shared" si="61"/>
        <v>184.63020792316755</v>
      </c>
      <c r="G1004" s="36" t="str">
        <f t="shared" si="62"/>
        <v>2025-12</v>
      </c>
    </row>
    <row r="1005" spans="1:7" x14ac:dyDescent="0.25">
      <c r="A1005" s="37">
        <v>46024</v>
      </c>
      <c r="B1005" s="38">
        <v>121335.7354736328</v>
      </c>
      <c r="C1005" s="39">
        <f t="shared" si="63"/>
        <v>1.0756840251899602E-2</v>
      </c>
      <c r="D1005" s="38">
        <f>MAX($B$2:B1005)</f>
        <v>123369.6612548829</v>
      </c>
      <c r="E1005" s="40">
        <f t="shared" si="60"/>
        <v>-1.6486434027309094E-2</v>
      </c>
      <c r="F1005" s="41">
        <f t="shared" si="61"/>
        <v>186.61624557547202</v>
      </c>
      <c r="G1005" s="42" t="str">
        <f t="shared" si="62"/>
        <v>2026-01</v>
      </c>
    </row>
    <row r="1006" spans="1:7" x14ac:dyDescent="0.25">
      <c r="A1006" s="31">
        <v>46027</v>
      </c>
      <c r="B1006" s="32">
        <v>122584.60906982431</v>
      </c>
      <c r="C1006" s="33">
        <f t="shared" si="63"/>
        <v>1.0292710480688472E-2</v>
      </c>
      <c r="D1006" s="32">
        <f>MAX($B$2:B1006)</f>
        <v>123369.6612548829</v>
      </c>
      <c r="E1006" s="34">
        <f t="shared" si="60"/>
        <v>-6.363413638922677E-3</v>
      </c>
      <c r="F1006" s="35">
        <f t="shared" si="61"/>
        <v>188.53703256217344</v>
      </c>
      <c r="G1006" s="36" t="str">
        <f t="shared" si="62"/>
        <v>2026-01</v>
      </c>
    </row>
    <row r="1007" spans="1:7" x14ac:dyDescent="0.25">
      <c r="A1007" s="37">
        <v>46028</v>
      </c>
      <c r="B1007" s="38">
        <v>123200.7614135742</v>
      </c>
      <c r="C1007" s="39">
        <f t="shared" si="63"/>
        <v>5.0263434245561012E-3</v>
      </c>
      <c r="D1007" s="38">
        <f>MAX($B$2:B1007)</f>
        <v>123369.6612548829</v>
      </c>
      <c r="E1007" s="40">
        <f t="shared" si="60"/>
        <v>-1.3690549166682775E-3</v>
      </c>
      <c r="F1007" s="41">
        <f t="shared" si="61"/>
        <v>189.48468443607766</v>
      </c>
      <c r="G1007" s="42" t="str">
        <f t="shared" si="62"/>
        <v>2026-01</v>
      </c>
    </row>
    <row r="1008" spans="1:7" x14ac:dyDescent="0.25">
      <c r="A1008" s="31">
        <v>46029</v>
      </c>
      <c r="B1008" s="32">
        <v>122573.98468017569</v>
      </c>
      <c r="C1008" s="33">
        <f t="shared" si="63"/>
        <v>-5.0874420434341427E-3</v>
      </c>
      <c r="D1008" s="32">
        <f>MAX($B$2:B1008)</f>
        <v>123369.6612548829</v>
      </c>
      <c r="E1008" s="34">
        <f t="shared" si="60"/>
        <v>-6.4495319725594857E-3</v>
      </c>
      <c r="F1008" s="35">
        <f t="shared" si="61"/>
        <v>188.52069208589072</v>
      </c>
      <c r="G1008" s="36" t="str">
        <f t="shared" si="62"/>
        <v>2026-01</v>
      </c>
    </row>
    <row r="1009" spans="1:7" x14ac:dyDescent="0.25">
      <c r="A1009" s="37">
        <v>46030</v>
      </c>
      <c r="B1009" s="38">
        <v>121876.36917114251</v>
      </c>
      <c r="C1009" s="39">
        <f t="shared" si="63"/>
        <v>-5.6913831336513621E-3</v>
      </c>
      <c r="D1009" s="38">
        <f>MAX($B$2:B1009)</f>
        <v>123369.6612548829</v>
      </c>
      <c r="E1009" s="40">
        <f t="shared" si="60"/>
        <v>-1.2104208348722278E-2</v>
      </c>
      <c r="F1009" s="41">
        <f t="shared" si="61"/>
        <v>187.44774859860877</v>
      </c>
      <c r="G1009" s="42" t="str">
        <f t="shared" si="62"/>
        <v>2026-01</v>
      </c>
    </row>
    <row r="1010" spans="1:7" x14ac:dyDescent="0.25">
      <c r="A1010" s="31">
        <v>46031</v>
      </c>
      <c r="B1010" s="32">
        <v>123510.7044982909</v>
      </c>
      <c r="C1010" s="33">
        <f t="shared" si="63"/>
        <v>1.3409780240937419E-2</v>
      </c>
      <c r="D1010" s="32">
        <f>MAX($B$2:B1010)</f>
        <v>123510.7044982909</v>
      </c>
      <c r="E1010" s="34">
        <f t="shared" si="60"/>
        <v>0</v>
      </c>
      <c r="F1010" s="35">
        <f t="shared" si="61"/>
        <v>189.96138171397462</v>
      </c>
      <c r="G1010" s="36" t="str">
        <f t="shared" si="62"/>
        <v>2026-01</v>
      </c>
    </row>
    <row r="1011" spans="1:7" x14ac:dyDescent="0.25">
      <c r="A1011" s="37">
        <v>46034</v>
      </c>
      <c r="B1011" s="38">
        <v>124405.8091735839</v>
      </c>
      <c r="C1011" s="39">
        <f t="shared" si="63"/>
        <v>7.2471829784226394E-3</v>
      </c>
      <c r="D1011" s="38">
        <f>MAX($B$2:B1011)</f>
        <v>124405.8091735839</v>
      </c>
      <c r="E1011" s="40">
        <f t="shared" si="60"/>
        <v>0</v>
      </c>
      <c r="F1011" s="41">
        <f t="shared" si="61"/>
        <v>191.3380666060898</v>
      </c>
      <c r="G1011" s="42" t="str">
        <f t="shared" si="62"/>
        <v>2026-01</v>
      </c>
    </row>
    <row r="1012" spans="1:7" x14ac:dyDescent="0.25">
      <c r="A1012" s="31">
        <v>46035</v>
      </c>
      <c r="B1012" s="32">
        <v>124063.77334594729</v>
      </c>
      <c r="C1012" s="33">
        <f t="shared" si="63"/>
        <v>-2.7493557568469829E-3</v>
      </c>
      <c r="D1012" s="32">
        <f>MAX($B$2:B1012)</f>
        <v>124405.8091735839</v>
      </c>
      <c r="E1012" s="34">
        <f t="shared" si="60"/>
        <v>-2.7493557568469829E-3</v>
      </c>
      <c r="F1012" s="35">
        <f t="shared" si="61"/>
        <v>190.81201019116236</v>
      </c>
      <c r="G1012" s="36" t="str">
        <f t="shared" si="62"/>
        <v>2026-01</v>
      </c>
    </row>
    <row r="1013" spans="1:7" x14ac:dyDescent="0.25">
      <c r="A1013" s="37">
        <v>46036</v>
      </c>
      <c r="B1013" s="38">
        <v>122411.4547729492</v>
      </c>
      <c r="C1013" s="39">
        <f t="shared" si="63"/>
        <v>-1.3318300164792296E-2</v>
      </c>
      <c r="D1013" s="38">
        <f>MAX($B$2:B1013)</f>
        <v>124405.8091735839</v>
      </c>
      <c r="E1013" s="40">
        <f t="shared" si="60"/>
        <v>-1.6031039176409911E-2</v>
      </c>
      <c r="F1013" s="41">
        <f t="shared" si="61"/>
        <v>188.27071856438903</v>
      </c>
      <c r="G1013" s="42" t="str">
        <f t="shared" si="62"/>
        <v>2026-01</v>
      </c>
    </row>
    <row r="1014" spans="1:7" x14ac:dyDescent="0.25">
      <c r="A1014" s="31">
        <v>46037</v>
      </c>
      <c r="B1014" s="32">
        <v>122484.7705078125</v>
      </c>
      <c r="C1014" s="33">
        <f t="shared" si="63"/>
        <v>5.989287113634667E-4</v>
      </c>
      <c r="D1014" s="32">
        <f>MAX($B$2:B1014)</f>
        <v>124405.8091735839</v>
      </c>
      <c r="E1014" s="34">
        <f t="shared" si="60"/>
        <v>-1.5441711914682132E-2</v>
      </c>
      <c r="F1014" s="35">
        <f t="shared" si="61"/>
        <v>188.3834793032463</v>
      </c>
      <c r="G1014" s="36" t="str">
        <f t="shared" si="62"/>
        <v>2026-01</v>
      </c>
    </row>
    <row r="1015" spans="1:7" x14ac:dyDescent="0.25">
      <c r="A1015" s="37">
        <v>46038</v>
      </c>
      <c r="B1015" s="38">
        <v>123250.77438354499</v>
      </c>
      <c r="C1015" s="39">
        <f t="shared" si="63"/>
        <v>6.2538703592023293E-3</v>
      </c>
      <c r="D1015" s="38">
        <f>MAX($B$2:B1015)</f>
        <v>124405.8091735839</v>
      </c>
      <c r="E1015" s="40">
        <f t="shared" si="60"/>
        <v>-9.2844120199184754E-3</v>
      </c>
      <c r="F1015" s="41">
        <f t="shared" si="61"/>
        <v>189.56160516062425</v>
      </c>
      <c r="G1015" s="42" t="str">
        <f t="shared" si="62"/>
        <v>2026-01</v>
      </c>
    </row>
    <row r="1016" spans="1:7" x14ac:dyDescent="0.25">
      <c r="A1016" s="31">
        <v>46042</v>
      </c>
      <c r="B1016" s="32">
        <v>119776.58493041989</v>
      </c>
      <c r="C1016" s="33">
        <f t="shared" si="63"/>
        <v>-2.8187972615196233E-2</v>
      </c>
      <c r="D1016" s="32">
        <f>MAX($B$2:B1016)</f>
        <v>124405.8091735839</v>
      </c>
      <c r="E1016" s="34">
        <f t="shared" si="60"/>
        <v>-3.7210675883349031E-2</v>
      </c>
      <c r="F1016" s="35">
        <f t="shared" si="61"/>
        <v>184.21824782546392</v>
      </c>
      <c r="G1016" s="36" t="str">
        <f t="shared" si="62"/>
        <v>2026-01</v>
      </c>
    </row>
    <row r="1017" spans="1:7" x14ac:dyDescent="0.25">
      <c r="A1017" s="37">
        <v>46043</v>
      </c>
      <c r="B1017" s="38">
        <v>121380.2540588378</v>
      </c>
      <c r="C1017" s="39">
        <f t="shared" si="63"/>
        <v>1.3388836635720658E-2</v>
      </c>
      <c r="D1017" s="38">
        <f>MAX($B$2:B1017)</f>
        <v>124405.8091735839</v>
      </c>
      <c r="E1017" s="40">
        <f t="shared" si="60"/>
        <v>-2.4320046908135384E-2</v>
      </c>
      <c r="F1017" s="41">
        <f t="shared" si="61"/>
        <v>186.68471585091777</v>
      </c>
      <c r="G1017" s="42" t="str">
        <f t="shared" si="62"/>
        <v>2026-01</v>
      </c>
    </row>
    <row r="1018" spans="1:7" x14ac:dyDescent="0.25">
      <c r="A1018" s="31">
        <v>46044</v>
      </c>
      <c r="B1018" s="32">
        <v>123184.2915344239</v>
      </c>
      <c r="C1018" s="33">
        <f t="shared" si="63"/>
        <v>1.4862693191526999E-2</v>
      </c>
      <c r="D1018" s="32">
        <f>MAX($B$2:B1018)</f>
        <v>124405.8091735839</v>
      </c>
      <c r="E1018" s="34">
        <f t="shared" si="60"/>
        <v>-9.8188151122076128E-3</v>
      </c>
      <c r="F1018" s="35">
        <f t="shared" si="61"/>
        <v>189.45935350615733</v>
      </c>
      <c r="G1018" s="36" t="str">
        <f t="shared" si="62"/>
        <v>2026-01</v>
      </c>
    </row>
    <row r="1019" spans="1:7" x14ac:dyDescent="0.25">
      <c r="A1019" s="37">
        <v>46045</v>
      </c>
      <c r="B1019" s="38">
        <v>124489.04098510749</v>
      </c>
      <c r="C1019" s="39">
        <f t="shared" si="63"/>
        <v>1.0591849288827282E-2</v>
      </c>
      <c r="D1019" s="38">
        <f>MAX($B$2:B1019)</f>
        <v>124489.04098510749</v>
      </c>
      <c r="E1019" s="40">
        <f t="shared" si="60"/>
        <v>0</v>
      </c>
      <c r="F1019" s="41">
        <f t="shared" si="61"/>
        <v>191.46607842485321</v>
      </c>
      <c r="G1019" s="42" t="str">
        <f t="shared" si="62"/>
        <v>2026-01</v>
      </c>
    </row>
    <row r="1020" spans="1:7" x14ac:dyDescent="0.25">
      <c r="A1020" s="31">
        <v>46048</v>
      </c>
      <c r="B1020" s="32">
        <v>124043.7229919434</v>
      </c>
      <c r="C1020" s="33">
        <f t="shared" si="63"/>
        <v>-3.5771662279683314E-3</v>
      </c>
      <c r="D1020" s="32">
        <f>MAX($B$2:B1020)</f>
        <v>124489.04098510749</v>
      </c>
      <c r="E1020" s="34">
        <f t="shared" si="60"/>
        <v>-3.5771662279683314E-3</v>
      </c>
      <c r="F1020" s="35">
        <f t="shared" si="61"/>
        <v>190.78117243531031</v>
      </c>
      <c r="G1020" s="36" t="str">
        <f t="shared" si="62"/>
        <v>2026-01</v>
      </c>
    </row>
    <row r="1021" spans="1:7" x14ac:dyDescent="0.25">
      <c r="A1021" s="37">
        <v>46049</v>
      </c>
      <c r="B1021" s="38">
        <v>125779.845123291</v>
      </c>
      <c r="C1021" s="39">
        <f t="shared" si="63"/>
        <v>1.3996049856229709E-2</v>
      </c>
      <c r="D1021" s="38">
        <f>MAX($B$2:B1021)</f>
        <v>125779.845123291</v>
      </c>
      <c r="E1021" s="40">
        <f t="shared" si="60"/>
        <v>0</v>
      </c>
      <c r="F1021" s="41">
        <f t="shared" si="61"/>
        <v>193.45135523634488</v>
      </c>
      <c r="G1021" s="42" t="str">
        <f t="shared" si="62"/>
        <v>2026-01</v>
      </c>
    </row>
    <row r="1022" spans="1:7" x14ac:dyDescent="0.25">
      <c r="A1022" s="31">
        <v>46050</v>
      </c>
      <c r="B1022" s="32">
        <v>126958.6767578125</v>
      </c>
      <c r="C1022" s="33">
        <f t="shared" si="63"/>
        <v>9.3721822710626235E-3</v>
      </c>
      <c r="D1022" s="32">
        <f>MAX($B$2:B1022)</f>
        <v>126958.6767578125</v>
      </c>
      <c r="E1022" s="34">
        <f t="shared" si="60"/>
        <v>0</v>
      </c>
      <c r="F1022" s="35">
        <f t="shared" si="61"/>
        <v>195.26441659820398</v>
      </c>
      <c r="G1022" s="36" t="str">
        <f t="shared" si="62"/>
        <v>2026-01</v>
      </c>
    </row>
    <row r="1023" spans="1:7" x14ac:dyDescent="0.25">
      <c r="A1023" s="37">
        <v>46051</v>
      </c>
      <c r="B1023" s="38">
        <v>124268.1628417969</v>
      </c>
      <c r="C1023" s="39">
        <f t="shared" si="63"/>
        <v>-2.1192044409442334E-2</v>
      </c>
      <c r="D1023" s="38">
        <f>MAX($B$2:B1023)</f>
        <v>126958.6767578125</v>
      </c>
      <c r="E1023" s="40">
        <f t="shared" si="60"/>
        <v>-2.1192044409442334E-2</v>
      </c>
      <c r="F1023" s="41">
        <f t="shared" si="61"/>
        <v>191.12636441007098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123216.1381530762</v>
      </c>
      <c r="C1024" s="33">
        <f t="shared" si="63"/>
        <v>-8.4657619833007347E-3</v>
      </c>
      <c r="D1024" s="32">
        <f>MAX($B$2:B1024)</f>
        <v>126958.6767578125</v>
      </c>
      <c r="E1024" s="34">
        <f t="shared" si="60"/>
        <v>-2.9478399588833137E-2</v>
      </c>
      <c r="F1024" s="35">
        <f t="shared" si="61"/>
        <v>189.50833410024174</v>
      </c>
      <c r="G1024" s="36" t="str">
        <f t="shared" si="62"/>
        <v>2026-01</v>
      </c>
    </row>
    <row r="1025" spans="1:7" x14ac:dyDescent="0.25">
      <c r="A1025" s="37">
        <v>46055</v>
      </c>
      <c r="B1025" s="38">
        <v>123958.9834594726</v>
      </c>
      <c r="C1025" s="39">
        <f t="shared" si="63"/>
        <v>6.0287988045326646E-3</v>
      </c>
      <c r="D1025" s="38">
        <f>MAX($B$2:B1025)</f>
        <v>126958.6767578125</v>
      </c>
      <c r="E1025" s="40">
        <f t="shared" si="60"/>
        <v>-2.3627320124501194E-2</v>
      </c>
      <c r="F1025" s="41">
        <f t="shared" si="61"/>
        <v>190.65084171831427</v>
      </c>
      <c r="G1025" s="42" t="str">
        <f t="shared" si="62"/>
        <v>2026-02</v>
      </c>
    </row>
    <row r="1026" spans="1:7" x14ac:dyDescent="0.25">
      <c r="A1026" s="31">
        <v>46056</v>
      </c>
      <c r="B1026" s="32">
        <v>121648.99429321291</v>
      </c>
      <c r="C1026" s="33">
        <f t="shared" si="63"/>
        <v>-1.8635108983568904E-2</v>
      </c>
      <c r="D1026" s="32">
        <f>MAX($B$2:B1026)</f>
        <v>126958.6767578125</v>
      </c>
      <c r="E1026" s="34">
        <f t="shared" ref="E1026:E1089" si="64">B1026/D1026-1</f>
        <v>-4.1822131422560416E-2</v>
      </c>
      <c r="F1026" s="35">
        <f t="shared" ref="F1026:F1089" si="65">B1026/$B$2*100</f>
        <v>187.09804250508429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118095.91690063479</v>
      </c>
      <c r="C1027" s="39">
        <f t="shared" ref="C1027:C1090" si="67">B1027/B1026-1</f>
        <v>-2.9207618305615135E-2</v>
      </c>
      <c r="D1027" s="38">
        <f>MAX($B$2:B1027)</f>
        <v>126958.6767578125</v>
      </c>
      <c r="E1027" s="40">
        <f t="shared" si="64"/>
        <v>-6.9808224876858005E-2</v>
      </c>
      <c r="F1027" s="41">
        <f t="shared" si="65"/>
        <v>181.63335429386805</v>
      </c>
      <c r="G1027" s="42" t="str">
        <f t="shared" si="66"/>
        <v>2026-02</v>
      </c>
    </row>
    <row r="1028" spans="1:7" x14ac:dyDescent="0.25">
      <c r="A1028" s="31">
        <v>46058</v>
      </c>
      <c r="B1028" s="32">
        <v>116138.473815918</v>
      </c>
      <c r="C1028" s="33">
        <f t="shared" si="67"/>
        <v>-1.6575027622367178E-2</v>
      </c>
      <c r="D1028" s="32">
        <f>MAX($B$2:B1028)</f>
        <v>126958.6767578125</v>
      </c>
      <c r="E1028" s="34">
        <f t="shared" si="64"/>
        <v>-8.5226179243622857E-2</v>
      </c>
      <c r="F1028" s="35">
        <f t="shared" si="65"/>
        <v>178.622776429304</v>
      </c>
      <c r="G1028" s="36" t="str">
        <f t="shared" si="66"/>
        <v>2026-02</v>
      </c>
    </row>
    <row r="1029" spans="1:7" x14ac:dyDescent="0.25">
      <c r="A1029" s="37">
        <v>46059</v>
      </c>
      <c r="B1029" s="38">
        <v>119479.5886230469</v>
      </c>
      <c r="C1029" s="39">
        <f t="shared" si="67"/>
        <v>2.8768371904255075E-2</v>
      </c>
      <c r="D1029" s="38">
        <f>MAX($B$2:B1029)</f>
        <v>126958.6767578125</v>
      </c>
      <c r="E1029" s="40">
        <f t="shared" si="64"/>
        <v>-5.8909625759827167E-2</v>
      </c>
      <c r="F1029" s="41">
        <f t="shared" si="65"/>
        <v>183.76146289219278</v>
      </c>
      <c r="G1029" s="42" t="str">
        <f t="shared" si="66"/>
        <v>2026-02</v>
      </c>
    </row>
    <row r="1030" spans="1:7" x14ac:dyDescent="0.25">
      <c r="A1030" s="31">
        <v>46062</v>
      </c>
      <c r="B1030" s="32">
        <v>120505.9942626953</v>
      </c>
      <c r="C1030" s="33">
        <f t="shared" si="67"/>
        <v>8.5906358690828188E-3</v>
      </c>
      <c r="D1030" s="32">
        <f>MAX($B$2:B1030)</f>
        <v>126958.6767578125</v>
      </c>
      <c r="E1030" s="34">
        <f t="shared" si="64"/>
        <v>-5.0825061034830976E-2</v>
      </c>
      <c r="F1030" s="35">
        <f t="shared" si="65"/>
        <v>185.3400907066696</v>
      </c>
      <c r="G1030" s="36" t="str">
        <f t="shared" si="66"/>
        <v>2026-02</v>
      </c>
    </row>
    <row r="1031" spans="1:7" x14ac:dyDescent="0.25">
      <c r="A1031" s="37">
        <v>46063</v>
      </c>
      <c r="B1031" s="38">
        <v>120332.2384643554</v>
      </c>
      <c r="C1031" s="39">
        <f t="shared" si="67"/>
        <v>-1.4418851062389937E-3</v>
      </c>
      <c r="D1031" s="38">
        <f>MAX($B$2:B1031)</f>
        <v>126958.6767578125</v>
      </c>
      <c r="E1031" s="40">
        <f t="shared" si="64"/>
        <v>-5.2193662242540184E-2</v>
      </c>
      <c r="F1031" s="41">
        <f t="shared" si="65"/>
        <v>185.07285159029067</v>
      </c>
      <c r="G1031" s="42" t="str">
        <f t="shared" si="66"/>
        <v>2026-02</v>
      </c>
    </row>
    <row r="1032" spans="1:7" x14ac:dyDescent="0.25">
      <c r="A1032" s="31">
        <v>46064</v>
      </c>
      <c r="B1032" s="32">
        <v>121486.30615234379</v>
      </c>
      <c r="C1032" s="33">
        <f t="shared" si="67"/>
        <v>9.5906774669554107E-3</v>
      </c>
      <c r="D1032" s="32">
        <f>MAX($B$2:B1032)</f>
        <v>126958.6767578125</v>
      </c>
      <c r="E1032" s="34">
        <f t="shared" si="64"/>
        <v>-4.3103557355972155E-2</v>
      </c>
      <c r="F1032" s="35">
        <f t="shared" si="65"/>
        <v>186.84782561778283</v>
      </c>
      <c r="G1032" s="36" t="str">
        <f t="shared" si="66"/>
        <v>2026-02</v>
      </c>
    </row>
    <row r="1033" spans="1:7" x14ac:dyDescent="0.25">
      <c r="A1033" s="37">
        <v>46065</v>
      </c>
      <c r="B1033" s="38">
        <v>118967.2785949707</v>
      </c>
      <c r="C1033" s="39">
        <f t="shared" si="67"/>
        <v>-2.0735074076696614E-2</v>
      </c>
      <c r="D1033" s="38">
        <f>MAX($B$2:B1033)</f>
        <v>126958.6767578125</v>
      </c>
      <c r="E1033" s="40">
        <f t="shared" si="64"/>
        <v>-6.2944875977923531E-2</v>
      </c>
      <c r="F1033" s="41">
        <f t="shared" si="65"/>
        <v>182.97352211252843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118461.7799377442</v>
      </c>
      <c r="C1034" s="33">
        <f t="shared" si="67"/>
        <v>-4.2490562379551289E-3</v>
      </c>
      <c r="D1034" s="32">
        <f>MAX($B$2:B1034)</f>
        <v>126958.6767578125</v>
      </c>
      <c r="E1034" s="34">
        <f t="shared" si="64"/>
        <v>-6.6926475897957416E-2</v>
      </c>
      <c r="F1034" s="35">
        <f t="shared" si="65"/>
        <v>182.19605732701555</v>
      </c>
      <c r="G1034" s="36" t="str">
        <f t="shared" si="66"/>
        <v>2026-02</v>
      </c>
    </row>
    <row r="1035" spans="1:7" x14ac:dyDescent="0.25">
      <c r="A1035" s="37">
        <v>46070</v>
      </c>
      <c r="B1035" s="38">
        <v>117877.0213317872</v>
      </c>
      <c r="C1035" s="39">
        <f t="shared" si="67"/>
        <v>-4.9362638841347062E-3</v>
      </c>
      <c r="D1035" s="38">
        <f>MAX($B$2:B1035)</f>
        <v>126958.6767578125</v>
      </c>
      <c r="E1035" s="40">
        <f t="shared" si="64"/>
        <v>-7.1532373036224617E-2</v>
      </c>
      <c r="F1035" s="41">
        <f t="shared" si="65"/>
        <v>181.29668950940047</v>
      </c>
      <c r="G1035" s="42" t="str">
        <f t="shared" si="66"/>
        <v>2026-02</v>
      </c>
    </row>
    <row r="1036" spans="1:7" x14ac:dyDescent="0.25">
      <c r="A1036" s="31">
        <v>46071</v>
      </c>
      <c r="B1036" s="32">
        <v>119072.55874633791</v>
      </c>
      <c r="C1036" s="33">
        <f t="shared" si="67"/>
        <v>1.0142243170411014E-2</v>
      </c>
      <c r="D1036" s="32">
        <f>MAX($B$2:B1036)</f>
        <v>126958.6767578125</v>
      </c>
      <c r="E1036" s="34">
        <f t="shared" si="64"/>
        <v>-6.2115628587703586E-2</v>
      </c>
      <c r="F1036" s="35">
        <f t="shared" si="65"/>
        <v>183.1354446203953</v>
      </c>
      <c r="G1036" s="36" t="str">
        <f t="shared" si="66"/>
        <v>2026-02</v>
      </c>
    </row>
    <row r="1037" spans="1:7" x14ac:dyDescent="0.25">
      <c r="A1037" s="37">
        <v>46072</v>
      </c>
      <c r="B1037" s="38">
        <v>118625.20034790041</v>
      </c>
      <c r="C1037" s="39">
        <f t="shared" si="67"/>
        <v>-3.7570234749931819E-3</v>
      </c>
      <c r="D1037" s="38">
        <f>MAX($B$2:B1037)</f>
        <v>126958.6767578125</v>
      </c>
      <c r="E1037" s="40">
        <f t="shared" si="64"/>
        <v>-6.5639282187928805E-2</v>
      </c>
      <c r="F1037" s="41">
        <f t="shared" si="65"/>
        <v>182.44740045585317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120523.0197143555</v>
      </c>
      <c r="C1038" s="33">
        <f t="shared" si="67"/>
        <v>1.5998450252469265E-2</v>
      </c>
      <c r="D1038" s="32">
        <f>MAX($B$2:B1038)</f>
        <v>126958.6767578125</v>
      </c>
      <c r="E1038" s="34">
        <f t="shared" si="64"/>
        <v>-5.0690958726150814E-2</v>
      </c>
      <c r="F1038" s="35">
        <f t="shared" si="65"/>
        <v>185.36627611573849</v>
      </c>
      <c r="G1038" s="36" t="str">
        <f t="shared" si="66"/>
        <v>2026-02</v>
      </c>
    </row>
    <row r="1039" spans="1:7" x14ac:dyDescent="0.25">
      <c r="A1039" s="37">
        <v>46076</v>
      </c>
      <c r="B1039" s="38">
        <v>118727.6460266114</v>
      </c>
      <c r="C1039" s="39">
        <f t="shared" si="67"/>
        <v>-1.4896520946780178E-2</v>
      </c>
      <c r="D1039" s="38">
        <f>MAX($B$2:B1039)</f>
        <v>126958.6767578125</v>
      </c>
      <c r="E1039" s="40">
        <f t="shared" si="64"/>
        <v>-6.4832360744454531E-2</v>
      </c>
      <c r="F1039" s="41">
        <f t="shared" si="65"/>
        <v>182.60496350075374</v>
      </c>
      <c r="G1039" s="42" t="str">
        <f t="shared" si="66"/>
        <v>2026-02</v>
      </c>
    </row>
    <row r="1040" spans="1:7" x14ac:dyDescent="0.25">
      <c r="A1040" s="31">
        <v>46077</v>
      </c>
      <c r="B1040" s="32">
        <v>120708.5365295411</v>
      </c>
      <c r="C1040" s="33">
        <f t="shared" si="67"/>
        <v>1.6684323906208887E-2</v>
      </c>
      <c r="D1040" s="32">
        <f>MAX($B$2:B1040)</f>
        <v>126958.6767578125</v>
      </c>
      <c r="E1040" s="34">
        <f t="shared" si="64"/>
        <v>-4.922972094451028E-2</v>
      </c>
      <c r="F1040" s="35">
        <f t="shared" si="65"/>
        <v>185.65160385868177</v>
      </c>
      <c r="G1040" s="36" t="str">
        <f t="shared" si="66"/>
        <v>2026-02</v>
      </c>
    </row>
    <row r="1041" spans="1:7" x14ac:dyDescent="0.25">
      <c r="A1041" s="37">
        <v>46078</v>
      </c>
      <c r="B1041" s="38">
        <v>122804.3147277832</v>
      </c>
      <c r="C1041" s="39">
        <f t="shared" si="67"/>
        <v>1.7362303102143928E-2</v>
      </c>
      <c r="D1041" s="38">
        <f>MAX($B$2:B1041)</f>
        <v>126958.6767578125</v>
      </c>
      <c r="E1041" s="40">
        <f t="shared" si="64"/>
        <v>-3.2722159179038979E-2</v>
      </c>
      <c r="F1041" s="41">
        <f t="shared" si="65"/>
        <v>188.87494327627536</v>
      </c>
      <c r="G1041" s="42" t="str">
        <f t="shared" si="66"/>
        <v>2026-02</v>
      </c>
    </row>
    <row r="1042" spans="1:7" x14ac:dyDescent="0.25">
      <c r="A1042" s="31">
        <v>46079</v>
      </c>
      <c r="B1042" s="32">
        <v>120586.7031860352</v>
      </c>
      <c r="C1042" s="33">
        <f t="shared" si="67"/>
        <v>-1.8058091416932043E-2</v>
      </c>
      <c r="D1042" s="32">
        <f>MAX($B$2:B1042)</f>
        <v>126958.6767578125</v>
      </c>
      <c r="E1042" s="34">
        <f t="shared" si="64"/>
        <v>-5.0189350854156545E-2</v>
      </c>
      <c r="F1042" s="35">
        <f t="shared" si="65"/>
        <v>185.46422228422452</v>
      </c>
      <c r="G1042" s="36" t="str">
        <f t="shared" si="66"/>
        <v>2026-02</v>
      </c>
    </row>
    <row r="1043" spans="1:7" x14ac:dyDescent="0.25">
      <c r="A1043" s="37">
        <v>46080</v>
      </c>
      <c r="B1043" s="38">
        <v>118722.816619873</v>
      </c>
      <c r="C1043" s="39">
        <f t="shared" si="67"/>
        <v>-1.5456816688044661E-2</v>
      </c>
      <c r="D1043" s="38">
        <f>MAX($B$2:B1043)</f>
        <v>126958.6767578125</v>
      </c>
      <c r="E1043" s="40">
        <f t="shared" si="64"/>
        <v>-6.4870399946356572E-2</v>
      </c>
      <c r="F1043" s="41">
        <f t="shared" si="65"/>
        <v>182.5975357981865</v>
      </c>
      <c r="G1043" s="42" t="str">
        <f t="shared" si="66"/>
        <v>2026-02</v>
      </c>
    </row>
    <row r="1044" spans="1:7" x14ac:dyDescent="0.25">
      <c r="A1044" s="31">
        <v>46083</v>
      </c>
      <c r="B1044" s="32">
        <v>119003.3396911622</v>
      </c>
      <c r="C1044" s="33">
        <f t="shared" si="67"/>
        <v>2.3628404318216667E-3</v>
      </c>
      <c r="D1044" s="32">
        <f>MAX($B$2:B1044)</f>
        <v>126958.6767578125</v>
      </c>
      <c r="E1044" s="34">
        <f t="shared" si="64"/>
        <v>-6.2660837918356527E-2</v>
      </c>
      <c r="F1044" s="35">
        <f t="shared" si="65"/>
        <v>183.02898463852145</v>
      </c>
      <c r="G1044" s="36" t="str">
        <f t="shared" si="66"/>
        <v>2026-03</v>
      </c>
    </row>
    <row r="1045" spans="1:7" x14ac:dyDescent="0.25">
      <c r="A1045" s="37">
        <v>46084</v>
      </c>
      <c r="B1045" s="38">
        <v>116045.7328796386</v>
      </c>
      <c r="C1045" s="39">
        <f t="shared" si="67"/>
        <v>-2.4853141258045275E-2</v>
      </c>
      <c r="D1045" s="38">
        <f>MAX($B$2:B1045)</f>
        <v>126958.6767578125</v>
      </c>
      <c r="E1045" s="40">
        <f t="shared" si="64"/>
        <v>-8.5956660520269401E-2</v>
      </c>
      <c r="F1045" s="41">
        <f t="shared" si="65"/>
        <v>178.4801394289837</v>
      </c>
      <c r="G1045" s="42" t="str">
        <f t="shared" si="66"/>
        <v>2026-03</v>
      </c>
    </row>
    <row r="1046" spans="1:7" x14ac:dyDescent="0.25">
      <c r="A1046" s="31">
        <v>46085</v>
      </c>
      <c r="B1046" s="32">
        <v>118577.2074890137</v>
      </c>
      <c r="C1046" s="33">
        <f t="shared" si="67"/>
        <v>2.1814456650471659E-2</v>
      </c>
      <c r="D1046" s="32">
        <f>MAX($B$2:B1046)</f>
        <v>126958.6767578125</v>
      </c>
      <c r="E1046" s="34">
        <f t="shared" si="64"/>
        <v>-6.6017301714536347E-2</v>
      </c>
      <c r="F1046" s="35">
        <f t="shared" si="65"/>
        <v>182.37358669352744</v>
      </c>
      <c r="G1046" s="36" t="str">
        <f t="shared" si="66"/>
        <v>2026-03</v>
      </c>
    </row>
    <row r="1047" spans="1:7" x14ac:dyDescent="0.25">
      <c r="A1047" s="37">
        <v>46086</v>
      </c>
      <c r="B1047" s="38">
        <v>118168.0131530762</v>
      </c>
      <c r="C1047" s="39">
        <f t="shared" si="67"/>
        <v>-3.45086838021047E-3</v>
      </c>
      <c r="D1047" s="38">
        <f>MAX($B$2:B1047)</f>
        <v>126958.6767578125</v>
      </c>
      <c r="E1047" s="40">
        <f t="shared" si="64"/>
        <v>-6.9240353075713301E-2</v>
      </c>
      <c r="F1047" s="41">
        <f t="shared" si="65"/>
        <v>181.74423944982115</v>
      </c>
      <c r="G1047" s="42" t="str">
        <f t="shared" si="66"/>
        <v>2026-03</v>
      </c>
    </row>
    <row r="1048" spans="1:7" x14ac:dyDescent="0.25">
      <c r="A1048" s="31">
        <v>46087</v>
      </c>
      <c r="B1048" s="32">
        <v>114836.4950561523</v>
      </c>
      <c r="C1048" s="33">
        <f t="shared" si="67"/>
        <v>-2.8193061794211771E-2</v>
      </c>
      <c r="D1048" s="32">
        <f>MAX($B$2:B1048)</f>
        <v>126958.6767578125</v>
      </c>
      <c r="E1048" s="34">
        <f t="shared" si="64"/>
        <v>-9.5481317317008485E-2</v>
      </c>
      <c r="F1048" s="35">
        <f t="shared" si="65"/>
        <v>176.62031287627033</v>
      </c>
      <c r="G1048" s="36" t="str">
        <f t="shared" si="66"/>
        <v>2026-03</v>
      </c>
    </row>
    <row r="1049" spans="1:7" x14ac:dyDescent="0.25">
      <c r="A1049" s="37">
        <v>46090</v>
      </c>
      <c r="B1049" s="38">
        <v>117096.51657104489</v>
      </c>
      <c r="C1049" s="39">
        <f t="shared" si="67"/>
        <v>1.968034215766945E-2</v>
      </c>
      <c r="D1049" s="38">
        <f>MAX($B$2:B1049)</f>
        <v>126958.6767578125</v>
      </c>
      <c r="E1049" s="40">
        <f t="shared" si="64"/>
        <v>-7.7680080153802789E-2</v>
      </c>
      <c r="F1049" s="41">
        <f t="shared" si="65"/>
        <v>180.09626106566995</v>
      </c>
      <c r="G1049" s="42" t="str">
        <f t="shared" si="66"/>
        <v>2026-03</v>
      </c>
    </row>
    <row r="1050" spans="1:7" x14ac:dyDescent="0.25">
      <c r="A1050" s="31">
        <v>46091</v>
      </c>
      <c r="B1050" s="32">
        <v>117585.50933837891</v>
      </c>
      <c r="C1050" s="33">
        <f t="shared" si="67"/>
        <v>4.175980478781538E-3</v>
      </c>
      <c r="D1050" s="32">
        <f>MAX($B$2:B1050)</f>
        <v>126958.6767578125</v>
      </c>
      <c r="E1050" s="34">
        <f t="shared" si="64"/>
        <v>-7.3828490173333594E-2</v>
      </c>
      <c r="F1050" s="35">
        <f t="shared" si="65"/>
        <v>180.84833953618175</v>
      </c>
      <c r="G1050" s="36" t="str">
        <f t="shared" si="66"/>
        <v>2026-03</v>
      </c>
    </row>
    <row r="1051" spans="1:7" x14ac:dyDescent="0.25">
      <c r="A1051" s="37">
        <v>46092</v>
      </c>
      <c r="B1051" s="38">
        <v>119050.85647583011</v>
      </c>
      <c r="C1051" s="39">
        <f t="shared" si="67"/>
        <v>1.2461970405165612E-2</v>
      </c>
      <c r="D1051" s="38">
        <f>MAX($B$2:B1051)</f>
        <v>126958.6767578125</v>
      </c>
      <c r="E1051" s="40">
        <f t="shared" si="64"/>
        <v>-6.2286568227766126E-2</v>
      </c>
      <c r="F1051" s="41">
        <f t="shared" si="65"/>
        <v>183.102066191305</v>
      </c>
      <c r="G1051" s="42" t="str">
        <f t="shared" si="66"/>
        <v>2026-03</v>
      </c>
    </row>
    <row r="1052" spans="1:7" x14ac:dyDescent="0.25">
      <c r="A1052" s="31">
        <v>46093</v>
      </c>
      <c r="B1052" s="32">
        <v>115917.3895263672</v>
      </c>
      <c r="C1052" s="33">
        <f t="shared" si="67"/>
        <v>-2.632040660790258E-2</v>
      </c>
      <c r="D1052" s="32">
        <f>MAX($B$2:B1052)</f>
        <v>126958.6767578125</v>
      </c>
      <c r="E1052" s="34">
        <f t="shared" si="64"/>
        <v>-8.6967567033703119E-2</v>
      </c>
      <c r="F1052" s="35">
        <f t="shared" si="65"/>
        <v>178.28274535840274</v>
      </c>
      <c r="G1052" s="36" t="str">
        <f t="shared" si="66"/>
        <v>2026-03</v>
      </c>
    </row>
    <row r="1053" spans="1:7" x14ac:dyDescent="0.25">
      <c r="A1053" s="37">
        <v>46094</v>
      </c>
      <c r="B1053" s="38">
        <v>115611.44149780281</v>
      </c>
      <c r="C1053" s="39">
        <f t="shared" si="67"/>
        <v>-2.6393626514061852E-3</v>
      </c>
      <c r="D1053" s="38">
        <f>MAX($B$2:B1053)</f>
        <v>126958.6767578125</v>
      </c>
      <c r="E1053" s="40">
        <f t="shared" si="64"/>
        <v>-8.9377390736796847E-2</v>
      </c>
      <c r="F1053" s="41">
        <f t="shared" si="65"/>
        <v>177.81219253891362</v>
      </c>
      <c r="G1053" s="42" t="str">
        <f t="shared" si="66"/>
        <v>2026-03</v>
      </c>
    </row>
    <row r="1054" spans="1:7" x14ac:dyDescent="0.25">
      <c r="A1054" s="31">
        <v>46097</v>
      </c>
      <c r="B1054" s="32">
        <v>117415.4676818849</v>
      </c>
      <c r="C1054" s="33">
        <f t="shared" si="67"/>
        <v>1.5604218412209381E-2</v>
      </c>
      <c r="D1054" s="32">
        <f>MAX($B$2:B1054)</f>
        <v>126958.6767578125</v>
      </c>
      <c r="E1054" s="34">
        <f t="shared" si="64"/>
        <v>-7.5167836650757769E-2</v>
      </c>
      <c r="F1054" s="35">
        <f t="shared" si="65"/>
        <v>180.58681282764465</v>
      </c>
      <c r="G1054" s="36" t="str">
        <f t="shared" si="66"/>
        <v>2026-03</v>
      </c>
    </row>
    <row r="1055" spans="1:7" x14ac:dyDescent="0.25">
      <c r="A1055" s="37">
        <v>46098</v>
      </c>
      <c r="B1055" s="38">
        <v>119198.6804199219</v>
      </c>
      <c r="C1055" s="39">
        <f t="shared" si="67"/>
        <v>1.5187204660873865E-2</v>
      </c>
      <c r="D1055" s="38">
        <f>MAX($B$2:B1055)</f>
        <v>126958.6767578125</v>
      </c>
      <c r="E1055" s="40">
        <f t="shared" si="64"/>
        <v>-6.1122221309014013E-2</v>
      </c>
      <c r="F1055" s="41">
        <f t="shared" si="65"/>
        <v>183.32942171311305</v>
      </c>
      <c r="G1055" s="42" t="str">
        <f t="shared" si="66"/>
        <v>2026-03</v>
      </c>
    </row>
    <row r="1056" spans="1:7" x14ac:dyDescent="0.25">
      <c r="A1056" s="31">
        <v>46099</v>
      </c>
      <c r="B1056" s="32">
        <v>117449.9084472657</v>
      </c>
      <c r="C1056" s="33">
        <f t="shared" si="67"/>
        <v>-1.4671068224039963E-2</v>
      </c>
      <c r="D1056" s="32">
        <f>MAX($B$2:B1056)</f>
        <v>126958.6767578125</v>
      </c>
      <c r="E1056" s="34">
        <f t="shared" si="64"/>
        <v>-7.4896561254224614E-2</v>
      </c>
      <c r="F1056" s="35">
        <f t="shared" si="65"/>
        <v>180.63978325968617</v>
      </c>
      <c r="G1056" s="36" t="str">
        <f t="shared" si="66"/>
        <v>2026-03</v>
      </c>
    </row>
    <row r="1057" spans="1:7" x14ac:dyDescent="0.25">
      <c r="A1057" s="37">
        <v>46100</v>
      </c>
      <c r="B1057" s="38">
        <v>115774.1125488282</v>
      </c>
      <c r="C1057" s="39">
        <f t="shared" si="67"/>
        <v>-1.4268175434039798E-2</v>
      </c>
      <c r="D1057" s="38">
        <f>MAX($B$2:B1057)</f>
        <v>126958.6767578125</v>
      </c>
      <c r="E1057" s="40">
        <f t="shared" si="64"/>
        <v>-8.8096099412882767E-2</v>
      </c>
      <c r="F1057" s="41">
        <f t="shared" si="65"/>
        <v>178.06238314177003</v>
      </c>
      <c r="G1057" s="42" t="str">
        <f t="shared" si="66"/>
        <v>2026-03</v>
      </c>
    </row>
    <row r="1058" spans="1:7" x14ac:dyDescent="0.25">
      <c r="A1058" s="31">
        <v>46101</v>
      </c>
      <c r="B1058" s="32">
        <v>112626.4385986328</v>
      </c>
      <c r="C1058" s="33">
        <f t="shared" si="67"/>
        <v>-2.7188063729427059E-2</v>
      </c>
      <c r="D1058" s="32">
        <f>MAX($B$2:B1058)</f>
        <v>126958.6767578125</v>
      </c>
      <c r="E1058" s="34">
        <f t="shared" si="64"/>
        <v>-0.11288900077715847</v>
      </c>
      <c r="F1058" s="35">
        <f t="shared" si="65"/>
        <v>173.22121172109794</v>
      </c>
      <c r="G1058" s="36" t="str">
        <f t="shared" si="66"/>
        <v>2026-03</v>
      </c>
    </row>
    <row r="1059" spans="1:7" x14ac:dyDescent="0.25">
      <c r="A1059" s="37">
        <v>46104</v>
      </c>
      <c r="B1059" s="38">
        <v>113680.0860595703</v>
      </c>
      <c r="C1059" s="39">
        <f t="shared" si="67"/>
        <v>9.3552408657116004E-3</v>
      </c>
      <c r="D1059" s="38">
        <f>MAX($B$2:B1059)</f>
        <v>126958.6767578125</v>
      </c>
      <c r="E1059" s="40">
        <f t="shared" si="64"/>
        <v>-0.10458986370480661</v>
      </c>
      <c r="F1059" s="41">
        <f t="shared" si="65"/>
        <v>174.84173787979924</v>
      </c>
      <c r="G1059" s="42" t="str">
        <f t="shared" si="66"/>
        <v>2026-03</v>
      </c>
    </row>
    <row r="1060" spans="1:7" x14ac:dyDescent="0.25">
      <c r="A1060" s="31">
        <v>46105</v>
      </c>
      <c r="B1060" s="32">
        <v>112500.1614379883</v>
      </c>
      <c r="C1060" s="33">
        <f t="shared" si="67"/>
        <v>-1.0379343141627251E-2</v>
      </c>
      <c r="D1060" s="32">
        <f>MAX($B$2:B1060)</f>
        <v>126958.6767578125</v>
      </c>
      <c r="E1060" s="34">
        <f t="shared" si="64"/>
        <v>-0.11388363276190561</v>
      </c>
      <c r="F1060" s="35">
        <f t="shared" si="65"/>
        <v>173.02699548686635</v>
      </c>
      <c r="G1060" s="36" t="str">
        <f t="shared" si="66"/>
        <v>2026-03</v>
      </c>
    </row>
    <row r="1061" spans="1:7" x14ac:dyDescent="0.25">
      <c r="A1061" s="37">
        <v>46106</v>
      </c>
      <c r="B1061" s="38">
        <v>112933.8410949707</v>
      </c>
      <c r="C1061" s="39">
        <f t="shared" si="67"/>
        <v>3.8549247524544139E-3</v>
      </c>
      <c r="D1061" s="38">
        <f>MAX($B$2:B1061)</f>
        <v>126958.6767578125</v>
      </c>
      <c r="E1061" s="40">
        <f t="shared" si="64"/>
        <v>-0.11046772084428458</v>
      </c>
      <c r="F1061" s="41">
        <f t="shared" si="65"/>
        <v>173.69400153461149</v>
      </c>
      <c r="G1061" s="42" t="str">
        <f t="shared" si="66"/>
        <v>2026-03</v>
      </c>
    </row>
    <row r="1062" spans="1:7" x14ac:dyDescent="0.25">
      <c r="A1062" s="31">
        <v>46107</v>
      </c>
      <c r="B1062" s="32">
        <v>108850.6822204591</v>
      </c>
      <c r="C1062" s="33">
        <f t="shared" si="67"/>
        <v>-3.6155317440039081E-2</v>
      </c>
      <c r="D1062" s="32">
        <f>MAX($B$2:B1062)</f>
        <v>126958.6767578125</v>
      </c>
      <c r="E1062" s="34">
        <f t="shared" si="64"/>
        <v>-0.14262904277032096</v>
      </c>
      <c r="F1062" s="35">
        <f t="shared" si="65"/>
        <v>167.41403977169696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106872.2956848145</v>
      </c>
      <c r="C1063" s="39">
        <f t="shared" si="67"/>
        <v>-1.8175233221209508E-2</v>
      </c>
      <c r="D1063" s="38">
        <f>MAX($B$2:B1063)</f>
        <v>126958.6767578125</v>
      </c>
      <c r="E1063" s="40">
        <f t="shared" si="64"/>
        <v>-0.15821195987506209</v>
      </c>
      <c r="F1063" s="41">
        <f t="shared" si="65"/>
        <v>164.37125055434151</v>
      </c>
      <c r="G1063" s="42" t="str">
        <f t="shared" si="66"/>
        <v>2026-03</v>
      </c>
    </row>
    <row r="1064" spans="1:7" x14ac:dyDescent="0.25">
      <c r="A1064" s="31">
        <v>46111</v>
      </c>
      <c r="B1064" s="32">
        <v>104394.9476623536</v>
      </c>
      <c r="C1064" s="33">
        <f t="shared" si="67"/>
        <v>-2.3180451084975573E-2</v>
      </c>
      <c r="D1064" s="32">
        <f>MAX($B$2:B1064)</f>
        <v>126958.6767578125</v>
      </c>
      <c r="E1064" s="34">
        <f t="shared" si="64"/>
        <v>-0.17772498636309564</v>
      </c>
      <c r="F1064" s="35">
        <f t="shared" si="65"/>
        <v>160.56105082109033</v>
      </c>
      <c r="G1064" s="36" t="str">
        <f t="shared" si="66"/>
        <v>2026-03</v>
      </c>
    </row>
    <row r="1065" spans="1:7" x14ac:dyDescent="0.25">
      <c r="A1065" s="37">
        <v>46112</v>
      </c>
      <c r="B1065" s="38">
        <v>109334.89715576181</v>
      </c>
      <c r="C1065" s="39">
        <f t="shared" si="67"/>
        <v>4.7319813880127404E-2</v>
      </c>
      <c r="D1065" s="38">
        <f>MAX($B$2:B1065)</f>
        <v>126958.6767578125</v>
      </c>
      <c r="E1065" s="40">
        <f t="shared" si="64"/>
        <v>-0.13881508575951818</v>
      </c>
      <c r="F1065" s="41">
        <f t="shared" si="65"/>
        <v>168.15876986234198</v>
      </c>
      <c r="G1065" s="42" t="str">
        <f t="shared" si="66"/>
        <v>2026-03</v>
      </c>
    </row>
    <row r="1066" spans="1:7" x14ac:dyDescent="0.25">
      <c r="A1066" s="31">
        <v>46113</v>
      </c>
      <c r="B1066" s="32">
        <v>111780.92697143561</v>
      </c>
      <c r="C1066" s="33">
        <f t="shared" si="67"/>
        <v>2.2371903932823178E-2</v>
      </c>
      <c r="D1066" s="32">
        <f>MAX($B$2:B1066)</f>
        <v>126958.6767578125</v>
      </c>
      <c r="E1066" s="34">
        <f t="shared" si="64"/>
        <v>-0.11954873958973367</v>
      </c>
      <c r="F1066" s="35">
        <f t="shared" si="65"/>
        <v>171.920801707164</v>
      </c>
      <c r="G1066" s="36" t="str">
        <f t="shared" si="66"/>
        <v>2026-04</v>
      </c>
    </row>
    <row r="1067" spans="1:7" x14ac:dyDescent="0.25">
      <c r="A1067" s="37">
        <v>46114</v>
      </c>
      <c r="B1067" s="38">
        <v>110737.00927734379</v>
      </c>
      <c r="C1067" s="39">
        <f t="shared" si="67"/>
        <v>-9.3389607903195948E-3</v>
      </c>
      <c r="D1067" s="38">
        <f>MAX($B$2:B1067)</f>
        <v>126958.6767578125</v>
      </c>
      <c r="E1067" s="40">
        <f t="shared" si="64"/>
        <v>-0.12777123938849255</v>
      </c>
      <c r="F1067" s="41">
        <f t="shared" si="65"/>
        <v>170.31524008098052</v>
      </c>
      <c r="G1067" s="42" t="str">
        <f t="shared" si="66"/>
        <v>2026-04</v>
      </c>
    </row>
    <row r="1068" spans="1:7" x14ac:dyDescent="0.25">
      <c r="A1068" s="31">
        <v>46118</v>
      </c>
      <c r="B1068" s="32">
        <v>111471.5930175782</v>
      </c>
      <c r="C1068" s="33">
        <f t="shared" si="67"/>
        <v>6.633588400374979E-3</v>
      </c>
      <c r="D1068" s="32">
        <f>MAX($B$2:B1068)</f>
        <v>126958.6767578125</v>
      </c>
      <c r="E1068" s="34">
        <f t="shared" si="64"/>
        <v>-0.12198523279962659</v>
      </c>
      <c r="F1068" s="35">
        <f t="shared" si="65"/>
        <v>171.44504128198878</v>
      </c>
      <c r="G1068" s="36" t="str">
        <f t="shared" si="66"/>
        <v>2026-04</v>
      </c>
    </row>
    <row r="1069" spans="1:7" x14ac:dyDescent="0.25">
      <c r="A1069" s="37">
        <v>46119</v>
      </c>
      <c r="B1069" s="38">
        <v>111270.5436706542</v>
      </c>
      <c r="C1069" s="39">
        <f t="shared" si="67"/>
        <v>-1.8035926596321472E-3</v>
      </c>
      <c r="D1069" s="38">
        <f>MAX($B$2:B1069)</f>
        <v>126958.6767578125</v>
      </c>
      <c r="E1069" s="40">
        <f t="shared" si="64"/>
        <v>-0.1235688137887978</v>
      </c>
      <c r="F1069" s="41">
        <f t="shared" si="65"/>
        <v>171.13582426400228</v>
      </c>
      <c r="G1069" s="42" t="str">
        <f t="shared" si="66"/>
        <v>2026-04</v>
      </c>
    </row>
    <row r="1070" spans="1:7" x14ac:dyDescent="0.25">
      <c r="A1070" s="31">
        <v>46120</v>
      </c>
      <c r="B1070" s="32">
        <v>114830.34469604499</v>
      </c>
      <c r="C1070" s="33">
        <f t="shared" si="67"/>
        <v>3.1992303694743596E-2</v>
      </c>
      <c r="D1070" s="32">
        <f>MAX($B$2:B1070)</f>
        <v>126958.6767578125</v>
      </c>
      <c r="E1070" s="34">
        <f t="shared" si="64"/>
        <v>-9.5529761111984635E-2</v>
      </c>
      <c r="F1070" s="35">
        <f t="shared" si="65"/>
        <v>176.61085352690648</v>
      </c>
      <c r="G1070" s="36" t="str">
        <f t="shared" si="66"/>
        <v>2026-04</v>
      </c>
    </row>
    <row r="1071" spans="1:7" x14ac:dyDescent="0.25">
      <c r="A1071" s="37">
        <v>46121</v>
      </c>
      <c r="B1071" s="38">
        <v>115918.2373046875</v>
      </c>
      <c r="C1071" s="39">
        <f t="shared" si="67"/>
        <v>9.4739122443823209E-3</v>
      </c>
      <c r="D1071" s="38">
        <f>MAX($B$2:B1071)</f>
        <v>126958.6767578125</v>
      </c>
      <c r="E1071" s="40">
        <f t="shared" si="64"/>
        <v>-8.6960889441104028E-2</v>
      </c>
      <c r="F1071" s="41">
        <f t="shared" si="65"/>
        <v>178.28404925462587</v>
      </c>
      <c r="G1071" s="42" t="str">
        <f t="shared" si="66"/>
        <v>2026-04</v>
      </c>
    </row>
    <row r="1072" spans="1:7" x14ac:dyDescent="0.25">
      <c r="A1072" s="31">
        <v>46122</v>
      </c>
      <c r="B1072" s="32">
        <v>116482.77404785161</v>
      </c>
      <c r="C1072" s="33">
        <f t="shared" si="67"/>
        <v>4.8701287760288814E-3</v>
      </c>
      <c r="D1072" s="32">
        <f>MAX($B$2:B1072)</f>
        <v>126958.6767578125</v>
      </c>
      <c r="E1072" s="34">
        <f t="shared" si="64"/>
        <v>-8.2514271395131344E-2</v>
      </c>
      <c r="F1072" s="35">
        <f t="shared" si="65"/>
        <v>179.1523155332078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117703.335571289</v>
      </c>
      <c r="C1073" s="39">
        <f t="shared" si="67"/>
        <v>1.0478472318456111E-2</v>
      </c>
      <c r="D1073" s="38">
        <f>MAX($B$2:B1073)</f>
        <v>126958.6767578125</v>
      </c>
      <c r="E1073" s="40">
        <f t="shared" si="64"/>
        <v>-7.2900422585366664E-2</v>
      </c>
      <c r="F1073" s="41">
        <f t="shared" si="65"/>
        <v>181.02955811230984</v>
      </c>
      <c r="G1073" s="42" t="str">
        <f t="shared" si="66"/>
        <v>2026-04</v>
      </c>
    </row>
    <row r="1074" spans="1:7" x14ac:dyDescent="0.25">
      <c r="A1074" s="31">
        <v>46126</v>
      </c>
      <c r="B1074" s="32">
        <v>122323.211517334</v>
      </c>
      <c r="C1074" s="33">
        <f t="shared" si="67"/>
        <v>3.9250170130028961E-2</v>
      </c>
      <c r="D1074" s="32">
        <f>MAX($B$2:B1074)</f>
        <v>126958.6767578125</v>
      </c>
      <c r="E1074" s="34">
        <f t="shared" si="64"/>
        <v>-3.6511606444364242E-2</v>
      </c>
      <c r="F1074" s="35">
        <f t="shared" si="65"/>
        <v>188.13499906678197</v>
      </c>
      <c r="G1074" s="36" t="str">
        <f t="shared" si="66"/>
        <v>2026-04</v>
      </c>
    </row>
    <row r="1075" spans="1:7" x14ac:dyDescent="0.25">
      <c r="A1075" s="37">
        <v>46127</v>
      </c>
      <c r="B1075" s="38">
        <v>125018.2678222656</v>
      </c>
      <c r="C1075" s="39">
        <f t="shared" si="67"/>
        <v>2.2032255951272894E-2</v>
      </c>
      <c r="D1075" s="38">
        <f>MAX($B$2:B1075)</f>
        <v>126958.6767578125</v>
      </c>
      <c r="E1075" s="40">
        <f t="shared" si="64"/>
        <v>-1.5283783551465646E-2</v>
      </c>
      <c r="F1075" s="41">
        <f t="shared" si="65"/>
        <v>192.28003751961381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124389.4140624999</v>
      </c>
      <c r="C1076" s="33">
        <f t="shared" si="67"/>
        <v>-5.0300949670788464E-3</v>
      </c>
      <c r="D1076" s="32">
        <f>MAX($B$2:B1076)</f>
        <v>126958.6767578125</v>
      </c>
      <c r="E1076" s="34">
        <f t="shared" si="64"/>
        <v>-2.0236999635824371E-2</v>
      </c>
      <c r="F1076" s="35">
        <f t="shared" si="65"/>
        <v>191.31285067061665</v>
      </c>
      <c r="G1076" s="36" t="str">
        <f t="shared" si="66"/>
        <v>2026-04</v>
      </c>
    </row>
    <row r="1077" spans="1:7" x14ac:dyDescent="0.25">
      <c r="A1077" s="37">
        <v>46129</v>
      </c>
      <c r="B1077" s="38">
        <v>126435.23910522459</v>
      </c>
      <c r="C1077" s="39">
        <f t="shared" si="67"/>
        <v>1.6446938496685659E-2</v>
      </c>
      <c r="D1077" s="38">
        <f>MAX($B$2:B1077)</f>
        <v>126958.6767578125</v>
      </c>
      <c r="E1077" s="40">
        <f t="shared" si="64"/>
        <v>-4.122897827506633E-3</v>
      </c>
      <c r="F1077" s="41">
        <f t="shared" si="65"/>
        <v>194.45936135922187</v>
      </c>
      <c r="G1077" s="42" t="str">
        <f t="shared" si="66"/>
        <v>2026-04</v>
      </c>
    </row>
    <row r="1078" spans="1:7" x14ac:dyDescent="0.25">
      <c r="A1078" s="31">
        <v>46132</v>
      </c>
      <c r="B1078" s="32">
        <v>125394.3045043945</v>
      </c>
      <c r="C1078" s="33">
        <f t="shared" si="67"/>
        <v>-8.2329468287222207E-3</v>
      </c>
      <c r="D1078" s="32">
        <f>MAX($B$2:B1078)</f>
        <v>126958.6767578125</v>
      </c>
      <c r="E1078" s="34">
        <f t="shared" si="64"/>
        <v>-1.2321901057634754E-2</v>
      </c>
      <c r="F1078" s="35">
        <f t="shared" si="65"/>
        <v>192.85838777680414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124463.70849609371</v>
      </c>
      <c r="C1079" s="39">
        <f t="shared" si="67"/>
        <v>-7.421357867718692E-3</v>
      </c>
      <c r="D1079" s="38">
        <f>MAX($B$2:B1079)</f>
        <v>126958.6767578125</v>
      </c>
      <c r="E1079" s="40">
        <f t="shared" si="64"/>
        <v>-1.9651813687994069E-2</v>
      </c>
      <c r="F1079" s="41">
        <f t="shared" si="65"/>
        <v>191.42711666332121</v>
      </c>
      <c r="G1079" s="42" t="str">
        <f t="shared" si="66"/>
        <v>2026-04</v>
      </c>
    </row>
    <row r="1080" spans="1:7" x14ac:dyDescent="0.25">
      <c r="A1080" s="31">
        <v>46134</v>
      </c>
      <c r="B1080" s="32">
        <v>128568.5786437989</v>
      </c>
      <c r="C1080" s="33">
        <f t="shared" si="67"/>
        <v>3.2980458298283999E-2</v>
      </c>
      <c r="D1080" s="32">
        <f>MAX($B$2:B1080)</f>
        <v>128568.5786437989</v>
      </c>
      <c r="E1080" s="34">
        <f t="shared" si="64"/>
        <v>0</v>
      </c>
      <c r="F1080" s="35">
        <f t="shared" si="65"/>
        <v>197.74047070159662</v>
      </c>
      <c r="G1080" s="36" t="str">
        <f t="shared" si="66"/>
        <v>2026-04</v>
      </c>
    </row>
    <row r="1081" spans="1:7" x14ac:dyDescent="0.25">
      <c r="A1081" s="37">
        <v>46135</v>
      </c>
      <c r="B1081" s="38">
        <v>126228.13537597661</v>
      </c>
      <c r="C1081" s="39">
        <f t="shared" si="67"/>
        <v>-1.8203851147071681E-2</v>
      </c>
      <c r="D1081" s="38">
        <f>MAX($B$2:B1081)</f>
        <v>128568.5786437989</v>
      </c>
      <c r="E1081" s="40">
        <f t="shared" si="64"/>
        <v>-1.8203851147071681E-2</v>
      </c>
      <c r="F1081" s="41">
        <f t="shared" si="65"/>
        <v>194.14083260719286</v>
      </c>
      <c r="G1081" s="42" t="str">
        <f t="shared" si="66"/>
        <v>2026-04</v>
      </c>
    </row>
    <row r="1082" spans="1:7" x14ac:dyDescent="0.25">
      <c r="A1082" s="31">
        <v>46136</v>
      </c>
      <c r="B1082" s="32">
        <v>129227.2839355469</v>
      </c>
      <c r="C1082" s="33">
        <f t="shared" si="67"/>
        <v>2.3759746990139607E-2</v>
      </c>
      <c r="D1082" s="32">
        <f>MAX($B$2:B1082)</f>
        <v>129227.2839355469</v>
      </c>
      <c r="E1082" s="34">
        <f t="shared" si="64"/>
        <v>0</v>
      </c>
      <c r="F1082" s="35">
        <f t="shared" si="65"/>
        <v>198.75356967039482</v>
      </c>
      <c r="G1082" s="36" t="str">
        <f t="shared" si="66"/>
        <v>2026-04</v>
      </c>
    </row>
    <row r="1083" spans="1:7" x14ac:dyDescent="0.25">
      <c r="A1083" s="37">
        <v>46139</v>
      </c>
      <c r="B1083" s="38">
        <v>130864.3759155274</v>
      </c>
      <c r="C1083" s="39">
        <f t="shared" si="67"/>
        <v>1.2668315313328238E-2</v>
      </c>
      <c r="D1083" s="38">
        <f>MAX($B$2:B1083)</f>
        <v>130864.3759155274</v>
      </c>
      <c r="E1083" s="40">
        <f t="shared" si="64"/>
        <v>0</v>
      </c>
      <c r="F1083" s="41">
        <f t="shared" si="65"/>
        <v>201.27144256062891</v>
      </c>
      <c r="G1083" s="42" t="str">
        <f t="shared" si="66"/>
        <v>2026-04</v>
      </c>
    </row>
    <row r="1084" spans="1:7" x14ac:dyDescent="0.25">
      <c r="A1084" s="31">
        <v>46140</v>
      </c>
      <c r="B1084" s="32">
        <v>129219.0087890625</v>
      </c>
      <c r="C1084" s="33">
        <f t="shared" si="67"/>
        <v>-1.2573071280506332E-2</v>
      </c>
      <c r="D1084" s="32">
        <f>MAX($B$2:B1084)</f>
        <v>130864.3759155274</v>
      </c>
      <c r="E1084" s="34">
        <f t="shared" si="64"/>
        <v>-1.2573071280506332E-2</v>
      </c>
      <c r="F1084" s="35">
        <f t="shared" si="65"/>
        <v>198.74084236658379</v>
      </c>
      <c r="G1084" s="36" t="str">
        <f t="shared" si="66"/>
        <v>2026-04</v>
      </c>
    </row>
    <row r="1085" spans="1:7" x14ac:dyDescent="0.25">
      <c r="A1085" s="37">
        <v>46141</v>
      </c>
      <c r="B1085" s="38">
        <v>128539.53628540041</v>
      </c>
      <c r="C1085" s="39">
        <f t="shared" si="67"/>
        <v>-5.2583014684106644E-3</v>
      </c>
      <c r="D1085" s="38">
        <f>MAX($B$2:B1085)</f>
        <v>130864.3759155274</v>
      </c>
      <c r="E1085" s="40">
        <f t="shared" si="64"/>
        <v>-1.7765259749740303E-2</v>
      </c>
      <c r="F1085" s="41">
        <f t="shared" si="65"/>
        <v>197.69580310333444</v>
      </c>
      <c r="G1085" s="42" t="str">
        <f t="shared" si="66"/>
        <v>2026-04</v>
      </c>
    </row>
    <row r="1086" spans="1:7" x14ac:dyDescent="0.25">
      <c r="A1086" s="31">
        <v>46142</v>
      </c>
      <c r="B1086" s="32">
        <v>129343.9616394044</v>
      </c>
      <c r="C1086" s="33">
        <f t="shared" si="67"/>
        <v>6.2581939942423226E-3</v>
      </c>
      <c r="D1086" s="32">
        <f>MAX($B$2:B1086)</f>
        <v>130864.3759155274</v>
      </c>
      <c r="E1086" s="34">
        <f t="shared" si="64"/>
        <v>-1.1618244197369898E-2</v>
      </c>
      <c r="F1086" s="35">
        <f t="shared" si="65"/>
        <v>198.93302179100263</v>
      </c>
      <c r="G1086" s="36" t="str">
        <f t="shared" si="66"/>
        <v>2026-04</v>
      </c>
    </row>
    <row r="1087" spans="1:7" x14ac:dyDescent="0.25">
      <c r="A1087" s="37">
        <v>46143</v>
      </c>
      <c r="B1087" s="38">
        <v>131773.39370727539</v>
      </c>
      <c r="C1087" s="39">
        <f t="shared" si="67"/>
        <v>1.8782725046291304E-2</v>
      </c>
      <c r="D1087" s="38">
        <f>MAX($B$2:B1087)</f>
        <v>131773.39370727539</v>
      </c>
      <c r="E1087" s="40">
        <f t="shared" si="64"/>
        <v>0</v>
      </c>
      <c r="F1087" s="41">
        <f t="shared" si="65"/>
        <v>202.66952604193094</v>
      </c>
      <c r="G1087" s="42" t="str">
        <f t="shared" si="66"/>
        <v>2026-05</v>
      </c>
    </row>
    <row r="1088" spans="1:7" x14ac:dyDescent="0.25">
      <c r="A1088" s="31">
        <v>46146</v>
      </c>
      <c r="B1088" s="32">
        <v>133465.133972168</v>
      </c>
      <c r="C1088" s="33">
        <f t="shared" si="67"/>
        <v>1.2838253742259109E-2</v>
      </c>
      <c r="D1088" s="32">
        <f>MAX($B$2:B1088)</f>
        <v>133465.133972168</v>
      </c>
      <c r="E1088" s="34">
        <f t="shared" si="64"/>
        <v>0</v>
      </c>
      <c r="F1088" s="35">
        <f t="shared" si="65"/>
        <v>205.27144884308063</v>
      </c>
      <c r="G1088" s="36" t="str">
        <f t="shared" si="66"/>
        <v>2026-05</v>
      </c>
    </row>
    <row r="1089" spans="1:7" x14ac:dyDescent="0.25">
      <c r="A1089" s="37">
        <v>46147</v>
      </c>
      <c r="B1089" s="38">
        <v>135995.6579589844</v>
      </c>
      <c r="C1089" s="39">
        <f t="shared" si="67"/>
        <v>1.8960187664773143E-2</v>
      </c>
      <c r="D1089" s="38">
        <f>MAX($B$2:B1089)</f>
        <v>135995.6579589844</v>
      </c>
      <c r="E1089" s="40">
        <f t="shared" si="64"/>
        <v>0</v>
      </c>
      <c r="F1089" s="41">
        <f t="shared" si="65"/>
        <v>209.16343403536533</v>
      </c>
      <c r="G1089" s="42" t="str">
        <f t="shared" si="66"/>
        <v>2026-05</v>
      </c>
    </row>
    <row r="1090" spans="1:7" x14ac:dyDescent="0.25">
      <c r="A1090" s="31">
        <v>46148</v>
      </c>
      <c r="B1090" s="32">
        <v>140258.5679626466</v>
      </c>
      <c r="C1090" s="33">
        <f t="shared" si="67"/>
        <v>3.1345927271794638E-2</v>
      </c>
      <c r="D1090" s="32">
        <f>MAX($B$2:B1090)</f>
        <v>140258.5679626466</v>
      </c>
      <c r="E1090" s="34">
        <f t="shared" ref="E1090:E1130" si="68">B1090/D1090-1</f>
        <v>0</v>
      </c>
      <c r="F1090" s="35">
        <f t="shared" ref="F1090:F1130" si="69">B1090/$B$2*100</f>
        <v>215.71985582655674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139867.25494384771</v>
      </c>
      <c r="C1091" s="39">
        <f t="shared" ref="C1091:C1130" si="71">B1091/B1090-1</f>
        <v>-2.789940211731623E-3</v>
      </c>
      <c r="D1091" s="38">
        <f>MAX($B$2:B1091)</f>
        <v>140258.5679626466</v>
      </c>
      <c r="E1091" s="40">
        <f t="shared" si="68"/>
        <v>-2.789940211731623E-3</v>
      </c>
      <c r="F1091" s="41">
        <f t="shared" si="69"/>
        <v>215.11801032631729</v>
      </c>
      <c r="G1091" s="42" t="str">
        <f t="shared" si="70"/>
        <v>2026-05</v>
      </c>
    </row>
    <row r="1092" spans="1:7" x14ac:dyDescent="0.25">
      <c r="A1092" s="31">
        <v>46150</v>
      </c>
      <c r="B1092" s="32">
        <v>144999.4616699219</v>
      </c>
      <c r="C1092" s="33">
        <f t="shared" si="71"/>
        <v>3.6693411393071251E-2</v>
      </c>
      <c r="D1092" s="32">
        <f>MAX($B$2:B1092)</f>
        <v>144999.4616699219</v>
      </c>
      <c r="E1092" s="34">
        <f t="shared" si="68"/>
        <v>0</v>
      </c>
      <c r="F1092" s="35">
        <f t="shared" si="69"/>
        <v>223.01142397727975</v>
      </c>
      <c r="G1092" s="36" t="str">
        <f t="shared" si="70"/>
        <v>2026-05</v>
      </c>
    </row>
    <row r="1093" spans="1:7" x14ac:dyDescent="0.25">
      <c r="A1093" s="37">
        <v>46153</v>
      </c>
      <c r="B1093" s="38">
        <v>147153.0505371094</v>
      </c>
      <c r="C1093" s="39">
        <f t="shared" si="71"/>
        <v>1.4852392156392558E-2</v>
      </c>
      <c r="D1093" s="38">
        <f>MAX($B$2:B1093)</f>
        <v>147153.0505371094</v>
      </c>
      <c r="E1093" s="40">
        <f t="shared" si="68"/>
        <v>0</v>
      </c>
      <c r="F1093" s="41">
        <f t="shared" si="69"/>
        <v>226.32367710154585</v>
      </c>
      <c r="G1093" s="42" t="str">
        <f t="shared" si="70"/>
        <v>2026-05</v>
      </c>
    </row>
    <row r="1094" spans="1:7" x14ac:dyDescent="0.25">
      <c r="A1094" s="31">
        <v>46154</v>
      </c>
      <c r="B1094" s="32">
        <v>144742.85400390631</v>
      </c>
      <c r="C1094" s="33">
        <f t="shared" si="71"/>
        <v>-1.6378841786873322E-2</v>
      </c>
      <c r="D1094" s="32">
        <f>MAX($B$2:B1094)</f>
        <v>147153.0505371094</v>
      </c>
      <c r="E1094" s="34">
        <f t="shared" si="68"/>
        <v>-1.6378841786873322E-2</v>
      </c>
      <c r="F1094" s="35">
        <f t="shared" si="69"/>
        <v>222.61675740167624</v>
      </c>
      <c r="G1094" s="36" t="str">
        <f t="shared" si="70"/>
        <v>2026-05</v>
      </c>
    </row>
    <row r="1095" spans="1:7" x14ac:dyDescent="0.25">
      <c r="A1095" s="37">
        <v>46155</v>
      </c>
      <c r="B1095" s="38">
        <v>147831.08856201181</v>
      </c>
      <c r="C1095" s="39">
        <f t="shared" si="71"/>
        <v>2.1336007082064068E-2</v>
      </c>
      <c r="D1095" s="38">
        <f>MAX($B$2:B1095)</f>
        <v>147831.08856201181</v>
      </c>
      <c r="E1095" s="40">
        <f t="shared" si="68"/>
        <v>0</v>
      </c>
      <c r="F1095" s="41">
        <f t="shared" si="69"/>
        <v>227.36651011418454</v>
      </c>
      <c r="G1095" s="42" t="str">
        <f t="shared" si="70"/>
        <v>2026-05</v>
      </c>
    </row>
    <row r="1096" spans="1:7" x14ac:dyDescent="0.25">
      <c r="A1096" s="31">
        <v>46156</v>
      </c>
      <c r="B1096" s="32">
        <v>148419.176940918</v>
      </c>
      <c r="C1096" s="33">
        <f t="shared" si="71"/>
        <v>3.9781103191938172E-3</v>
      </c>
      <c r="D1096" s="32">
        <f>MAX($B$2:B1096)</f>
        <v>148419.176940918</v>
      </c>
      <c r="E1096" s="34">
        <f t="shared" si="68"/>
        <v>0</v>
      </c>
      <c r="F1096" s="35">
        <f t="shared" si="69"/>
        <v>228.27099917430886</v>
      </c>
      <c r="G1096" s="36" t="str">
        <f t="shared" si="70"/>
        <v>2026-05</v>
      </c>
    </row>
    <row r="1097" spans="1:7" x14ac:dyDescent="0.25">
      <c r="A1097" s="37">
        <v>46157</v>
      </c>
      <c r="B1097" s="38">
        <v>144255.91293334961</v>
      </c>
      <c r="C1097" s="39">
        <f t="shared" si="71"/>
        <v>-2.8050714829295109E-2</v>
      </c>
      <c r="D1097" s="38">
        <f>MAX($B$2:B1097)</f>
        <v>148419.176940918</v>
      </c>
      <c r="E1097" s="40">
        <f t="shared" si="68"/>
        <v>-2.8050714829295109E-2</v>
      </c>
      <c r="F1097" s="41">
        <f t="shared" si="69"/>
        <v>221.86783447267203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141318.373413086</v>
      </c>
      <c r="C1098" s="33">
        <f t="shared" si="71"/>
        <v>-2.0363390730616659E-2</v>
      </c>
      <c r="D1098" s="32">
        <f>MAX($B$2:B1098)</f>
        <v>148419.176940918</v>
      </c>
      <c r="E1098" s="34">
        <f t="shared" si="68"/>
        <v>-4.7842897893569769E-2</v>
      </c>
      <c r="F1098" s="35">
        <f t="shared" si="69"/>
        <v>217.34985306874927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140567.22198486331</v>
      </c>
      <c r="C1099" s="39">
        <f t="shared" si="71"/>
        <v>-5.3153132892848065E-3</v>
      </c>
      <c r="D1099" s="38">
        <f>MAX($B$2:B1099)</f>
        <v>148419.176940918</v>
      </c>
      <c r="E1099" s="40">
        <f t="shared" si="68"/>
        <v>-5.290391119188298E-2</v>
      </c>
      <c r="F1099" s="41">
        <f t="shared" si="69"/>
        <v>216.19457050630882</v>
      </c>
      <c r="G1099" s="42" t="str">
        <f t="shared" si="70"/>
        <v>2026-05</v>
      </c>
    </row>
    <row r="1100" spans="1:7" x14ac:dyDescent="0.25">
      <c r="A1100" s="31">
        <v>46162</v>
      </c>
      <c r="B1100" s="32">
        <v>143810.10986328131</v>
      </c>
      <c r="C1100" s="33">
        <f t="shared" si="71"/>
        <v>2.3070014706324748E-2</v>
      </c>
      <c r="D1100" s="32">
        <f>MAX($B$2:B1100)</f>
        <v>148419.176940918</v>
      </c>
      <c r="E1100" s="34">
        <f t="shared" si="68"/>
        <v>-3.1054390494777095E-2</v>
      </c>
      <c r="F1100" s="35">
        <f t="shared" si="69"/>
        <v>221.18218242731689</v>
      </c>
      <c r="G1100" s="36" t="str">
        <f t="shared" si="70"/>
        <v>2026-05</v>
      </c>
    </row>
    <row r="1101" spans="1:7" x14ac:dyDescent="0.25">
      <c r="A1101" s="37">
        <v>46163</v>
      </c>
      <c r="B1101" s="38">
        <v>145341.30172729501</v>
      </c>
      <c r="C1101" s="39">
        <f t="shared" si="71"/>
        <v>1.0647317253768884E-2</v>
      </c>
      <c r="D1101" s="38">
        <f>MAX($B$2:B1101)</f>
        <v>148419.176940918</v>
      </c>
      <c r="E1101" s="40">
        <f t="shared" si="68"/>
        <v>-2.0737719188728687E-2</v>
      </c>
      <c r="F1101" s="41">
        <f t="shared" si="69"/>
        <v>223.53717929450153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144709.7856140137</v>
      </c>
      <c r="C1102" s="33">
        <f t="shared" si="71"/>
        <v>-4.3450561249700481E-3</v>
      </c>
      <c r="D1102" s="32">
        <f>MAX($B$2:B1102)</f>
        <v>148419.176940918</v>
      </c>
      <c r="E1102" s="34">
        <f t="shared" si="68"/>
        <v>-2.4992668759919789E-2</v>
      </c>
      <c r="F1102" s="35">
        <f t="shared" si="69"/>
        <v>222.56589770444938</v>
      </c>
      <c r="G1102" s="36" t="str">
        <f t="shared" si="70"/>
        <v>2026-05</v>
      </c>
    </row>
    <row r="1103" spans="1:7" x14ac:dyDescent="0.25">
      <c r="A1103" s="37">
        <v>46168</v>
      </c>
      <c r="B1103" s="38">
        <v>151331.43432617199</v>
      </c>
      <c r="C1103" s="39">
        <f t="shared" si="71"/>
        <v>4.5758126750462536E-2</v>
      </c>
      <c r="D1103" s="38">
        <f>MAX($B$2:B1103)</f>
        <v>151331.43432617199</v>
      </c>
      <c r="E1103" s="40">
        <f t="shared" si="68"/>
        <v>0</v>
      </c>
      <c r="F1103" s="41">
        <f t="shared" si="69"/>
        <v>232.75009626194009</v>
      </c>
      <c r="G1103" s="42" t="str">
        <f t="shared" si="70"/>
        <v>2026-05</v>
      </c>
    </row>
    <row r="1104" spans="1:7" x14ac:dyDescent="0.25">
      <c r="A1104" s="31">
        <v>46169</v>
      </c>
      <c r="B1104" s="32">
        <v>153778.67919921881</v>
      </c>
      <c r="C1104" s="33">
        <f t="shared" si="71"/>
        <v>1.6171424555272207E-2</v>
      </c>
      <c r="D1104" s="32">
        <f>MAX($B$2:B1104)</f>
        <v>153778.67919921881</v>
      </c>
      <c r="E1104" s="34">
        <f t="shared" si="68"/>
        <v>0</v>
      </c>
      <c r="F1104" s="35">
        <f t="shared" si="69"/>
        <v>236.51399688387235</v>
      </c>
      <c r="G1104" s="36" t="str">
        <f t="shared" si="70"/>
        <v>2026-05</v>
      </c>
    </row>
    <row r="1105" spans="1:7" x14ac:dyDescent="0.25">
      <c r="A1105" s="37">
        <v>46170</v>
      </c>
      <c r="B1105" s="38">
        <v>155331.83303833011</v>
      </c>
      <c r="C1105" s="39">
        <f t="shared" si="71"/>
        <v>1.0099929633933247E-2</v>
      </c>
      <c r="D1105" s="38">
        <f>MAX($B$2:B1105)</f>
        <v>155331.83303833011</v>
      </c>
      <c r="E1105" s="40">
        <f t="shared" si="68"/>
        <v>0</v>
      </c>
      <c r="F1105" s="41">
        <f t="shared" si="69"/>
        <v>238.90277160983979</v>
      </c>
      <c r="G1105" s="42" t="str">
        <f t="shared" si="70"/>
        <v>2026-05</v>
      </c>
    </row>
    <row r="1106" spans="1:7" x14ac:dyDescent="0.25">
      <c r="A1106" s="31">
        <v>46171</v>
      </c>
      <c r="B1106" s="32">
        <v>157656.59347534191</v>
      </c>
      <c r="C1106" s="33">
        <f t="shared" si="71"/>
        <v>1.4966413461676931E-2</v>
      </c>
      <c r="D1106" s="32">
        <f>MAX($B$2:B1106)</f>
        <v>157656.59347534191</v>
      </c>
      <c r="E1106" s="34">
        <f t="shared" si="68"/>
        <v>0</v>
      </c>
      <c r="F1106" s="35">
        <f t="shared" si="69"/>
        <v>242.4782892668932</v>
      </c>
      <c r="G1106" s="36" t="str">
        <f t="shared" si="70"/>
        <v>2026-05</v>
      </c>
    </row>
    <row r="1107" spans="1:7" x14ac:dyDescent="0.25">
      <c r="A1107" s="37">
        <v>46174</v>
      </c>
      <c r="B1107" s="38">
        <v>160303.8990783692</v>
      </c>
      <c r="C1107" s="39">
        <f t="shared" si="71"/>
        <v>1.6791594596018866E-2</v>
      </c>
      <c r="D1107" s="38">
        <f>MAX($B$2:B1107)</f>
        <v>160303.8990783692</v>
      </c>
      <c r="E1107" s="40">
        <f t="shared" si="68"/>
        <v>0</v>
      </c>
      <c r="F1107" s="41">
        <f t="shared" si="69"/>
        <v>246.54988639859906</v>
      </c>
      <c r="G1107" s="42" t="str">
        <f t="shared" si="70"/>
        <v>2026-06</v>
      </c>
    </row>
    <row r="1108" spans="1:7" x14ac:dyDescent="0.25">
      <c r="A1108" s="31">
        <v>46175</v>
      </c>
      <c r="B1108" s="32">
        <v>161240.86959838879</v>
      </c>
      <c r="C1108" s="33">
        <f t="shared" si="71"/>
        <v>5.8449640052831153E-3</v>
      </c>
      <c r="D1108" s="32">
        <f>MAX($B$2:B1108)</f>
        <v>161240.86959838879</v>
      </c>
      <c r="E1108" s="34">
        <f t="shared" si="68"/>
        <v>0</v>
      </c>
      <c r="F1108" s="35">
        <f t="shared" si="69"/>
        <v>247.99096161010547</v>
      </c>
      <c r="G1108" s="36" t="str">
        <f t="shared" si="70"/>
        <v>2026-06</v>
      </c>
    </row>
    <row r="1109" spans="1:7" x14ac:dyDescent="0.25">
      <c r="A1109" s="37">
        <v>46176</v>
      </c>
      <c r="B1109" s="38">
        <v>159331.08383178699</v>
      </c>
      <c r="C1109" s="39">
        <f t="shared" si="71"/>
        <v>-1.1844303316886129E-2</v>
      </c>
      <c r="D1109" s="38">
        <f>MAX($B$2:B1109)</f>
        <v>161240.86959838879</v>
      </c>
      <c r="E1109" s="40">
        <f t="shared" si="68"/>
        <v>-1.1844303316886129E-2</v>
      </c>
      <c r="F1109" s="41">
        <f t="shared" si="69"/>
        <v>245.05368144094913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157511.4538574219</v>
      </c>
      <c r="C1110" s="33">
        <f t="shared" si="71"/>
        <v>-1.1420433041716804E-2</v>
      </c>
      <c r="D1110" s="32">
        <f>MAX($B$2:B1110)</f>
        <v>161240.86959838879</v>
      </c>
      <c r="E1110" s="34">
        <f t="shared" si="68"/>
        <v>-2.3129469285646631E-2</v>
      </c>
      <c r="F1110" s="35">
        <f t="shared" si="69"/>
        <v>242.25506228042656</v>
      </c>
      <c r="G1110" s="36" t="str">
        <f t="shared" si="70"/>
        <v>2026-06</v>
      </c>
    </row>
    <row r="1111" spans="1:7" x14ac:dyDescent="0.25">
      <c r="A1111" s="37">
        <v>46178</v>
      </c>
      <c r="B1111" s="38">
        <v>147167.95166015631</v>
      </c>
      <c r="C1111" s="39">
        <f t="shared" si="71"/>
        <v>-6.5668254237742252E-2</v>
      </c>
      <c r="D1111" s="38">
        <f>MAX($B$2:B1111)</f>
        <v>161240.86959838879</v>
      </c>
      <c r="E1111" s="40">
        <f t="shared" si="68"/>
        <v>-8.7278851653954992E-2</v>
      </c>
      <c r="F1111" s="41">
        <f t="shared" si="69"/>
        <v>226.34659526021542</v>
      </c>
      <c r="G1111" s="42" t="str">
        <f t="shared" si="70"/>
        <v>2026-06</v>
      </c>
    </row>
    <row r="1112" spans="1:7" x14ac:dyDescent="0.25">
      <c r="A1112" s="31">
        <v>46181</v>
      </c>
      <c r="B1112" s="32">
        <v>151662.75726318351</v>
      </c>
      <c r="C1112" s="33">
        <f t="shared" si="71"/>
        <v>3.0542013749071506E-2</v>
      </c>
      <c r="D1112" s="32">
        <f>MAX($B$2:B1112)</f>
        <v>161240.86959838879</v>
      </c>
      <c r="E1112" s="34">
        <f t="shared" si="68"/>
        <v>-5.940250979210171E-2</v>
      </c>
      <c r="F1112" s="35">
        <f t="shared" si="69"/>
        <v>233.25967608470845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149522.11242675781</v>
      </c>
      <c r="C1113" s="39">
        <f t="shared" si="71"/>
        <v>-1.4114505598173954E-2</v>
      </c>
      <c r="D1113" s="38">
        <f>MAX($B$2:B1113)</f>
        <v>161240.86959838879</v>
      </c>
      <c r="E1113" s="40">
        <f t="shared" si="68"/>
        <v>-7.2678578333269406E-2</v>
      </c>
      <c r="F1113" s="41">
        <f t="shared" si="69"/>
        <v>229.9673310807826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145207.77450561529</v>
      </c>
      <c r="C1114" s="33">
        <f t="shared" si="71"/>
        <v>-2.8854179834142291E-2</v>
      </c>
      <c r="D1114" s="32">
        <f>MAX($B$2:B1114)</f>
        <v>161240.86959838879</v>
      </c>
      <c r="E1114" s="34">
        <f t="shared" si="68"/>
        <v>-9.943567739809378E-2</v>
      </c>
      <c r="F1114" s="35">
        <f t="shared" si="69"/>
        <v>223.33181235379996</v>
      </c>
      <c r="G1114" s="36" t="str">
        <f t="shared" si="70"/>
        <v>2026-06</v>
      </c>
    </row>
    <row r="1115" spans="1:7" x14ac:dyDescent="0.25">
      <c r="A1115" s="37">
        <v>46184</v>
      </c>
      <c r="B1115" s="38">
        <v>151695.94955444339</v>
      </c>
      <c r="C1115" s="39">
        <f t="shared" si="71"/>
        <v>4.4682008734850509E-2</v>
      </c>
      <c r="D1115" s="38">
        <f>MAX($B$2:B1115)</f>
        <v>161240.86959838879</v>
      </c>
      <c r="E1115" s="40">
        <f t="shared" si="68"/>
        <v>-5.919665446930078E-2</v>
      </c>
      <c r="F1115" s="41">
        <f t="shared" si="69"/>
        <v>233.31072634416245</v>
      </c>
      <c r="G1115" s="42" t="str">
        <f t="shared" si="70"/>
        <v>2026-06</v>
      </c>
    </row>
    <row r="1116" spans="1:7" x14ac:dyDescent="0.25">
      <c r="A1116" s="31">
        <v>46185</v>
      </c>
      <c r="B1116" s="32">
        <v>151427.29873657229</v>
      </c>
      <c r="C1116" s="33">
        <f t="shared" si="71"/>
        <v>-1.7709821432949635E-3</v>
      </c>
      <c r="D1116" s="32">
        <f>MAX($B$2:B1116)</f>
        <v>161240.86959838879</v>
      </c>
      <c r="E1116" s="34">
        <f t="shared" si="68"/>
        <v>-6.0862800394587802E-2</v>
      </c>
      <c r="F1116" s="35">
        <f t="shared" si="69"/>
        <v>232.89753721396775</v>
      </c>
      <c r="G1116" s="36" t="str">
        <f t="shared" si="70"/>
        <v>2026-06</v>
      </c>
    </row>
    <row r="1117" spans="1:7" x14ac:dyDescent="0.25">
      <c r="A1117" s="37">
        <v>46188</v>
      </c>
      <c r="B1117" s="38">
        <v>158853.90060424819</v>
      </c>
      <c r="C1117" s="39">
        <f t="shared" si="71"/>
        <v>4.9044009433169888E-2</v>
      </c>
      <c r="D1117" s="38">
        <f>MAX($B$2:B1117)</f>
        <v>161240.86959838879</v>
      </c>
      <c r="E1117" s="40">
        <f t="shared" si="68"/>
        <v>-1.4803746718099142E-2</v>
      </c>
      <c r="F1117" s="41">
        <f t="shared" si="69"/>
        <v>244.31976622605163</v>
      </c>
      <c r="G1117" s="42" t="str">
        <f t="shared" si="70"/>
        <v>2026-06</v>
      </c>
    </row>
    <row r="1118" spans="1:7" x14ac:dyDescent="0.25">
      <c r="A1118" s="31">
        <v>46189</v>
      </c>
      <c r="B1118" s="32">
        <v>154719.39880371111</v>
      </c>
      <c r="C1118" s="33">
        <f t="shared" si="71"/>
        <v>-2.6027071320315565E-2</v>
      </c>
      <c r="D1118" s="32">
        <f>MAX($B$2:B1118)</f>
        <v>161240.86959838879</v>
      </c>
      <c r="E1118" s="34">
        <f t="shared" si="68"/>
        <v>-4.0445519866774804E-2</v>
      </c>
      <c r="F1118" s="35">
        <f t="shared" si="69"/>
        <v>237.96083824552338</v>
      </c>
      <c r="G1118" s="36" t="str">
        <f t="shared" si="70"/>
        <v>2026-06</v>
      </c>
    </row>
    <row r="1119" spans="1:7" x14ac:dyDescent="0.25">
      <c r="A1119" s="37">
        <v>46190</v>
      </c>
      <c r="B1119" s="38">
        <v>154752.49816894531</v>
      </c>
      <c r="C1119" s="39">
        <f t="shared" si="71"/>
        <v>2.1393157865223777E-4</v>
      </c>
      <c r="D1119" s="38">
        <f>MAX($B$2:B1119)</f>
        <v>161240.86959838879</v>
      </c>
      <c r="E1119" s="40">
        <f t="shared" si="68"/>
        <v>-4.0240240862037036E-2</v>
      </c>
      <c r="F1119" s="41">
        <f t="shared" si="69"/>
        <v>238.01174558330663</v>
      </c>
      <c r="G1119" s="42" t="str">
        <f t="shared" si="70"/>
        <v>2026-06</v>
      </c>
    </row>
    <row r="1120" spans="1:7" x14ac:dyDescent="0.25">
      <c r="A1120" s="31">
        <v>46191</v>
      </c>
      <c r="B1120" s="32">
        <v>161254.09942626971</v>
      </c>
      <c r="C1120" s="33">
        <f t="shared" si="71"/>
        <v>4.2012900174487111E-2</v>
      </c>
      <c r="D1120" s="32">
        <f>MAX($B$2:B1120)</f>
        <v>161254.09942626971</v>
      </c>
      <c r="E1120" s="34">
        <f t="shared" si="68"/>
        <v>0</v>
      </c>
      <c r="F1120" s="35">
        <f t="shared" si="69"/>
        <v>248.01130929085355</v>
      </c>
      <c r="G1120" s="36" t="str">
        <f t="shared" si="70"/>
        <v>2026-06</v>
      </c>
    </row>
    <row r="1121" spans="1:7" x14ac:dyDescent="0.25">
      <c r="A1121" s="37">
        <v>46195</v>
      </c>
      <c r="B1121" s="38">
        <v>163030.29998779291</v>
      </c>
      <c r="C1121" s="39">
        <f t="shared" si="71"/>
        <v>1.1014917250741441E-2</v>
      </c>
      <c r="D1121" s="38">
        <f>MAX($B$2:B1121)</f>
        <v>163030.29998779291</v>
      </c>
      <c r="E1121" s="40">
        <f t="shared" si="68"/>
        <v>0</v>
      </c>
      <c r="F1121" s="41">
        <f t="shared" si="69"/>
        <v>250.74313333994033</v>
      </c>
      <c r="G1121" s="42" t="str">
        <f t="shared" si="70"/>
        <v>2026-06</v>
      </c>
    </row>
    <row r="1122" spans="1:7" x14ac:dyDescent="0.25">
      <c r="A1122" s="31">
        <v>46196</v>
      </c>
      <c r="B1122" s="32">
        <v>153260.15014648449</v>
      </c>
      <c r="C1122" s="33">
        <f t="shared" si="71"/>
        <v>-5.9928429513041226E-2</v>
      </c>
      <c r="D1122" s="32">
        <f>MAX($B$2:B1122)</f>
        <v>163030.29998779291</v>
      </c>
      <c r="E1122" s="34">
        <f t="shared" si="68"/>
        <v>-5.9928429513041226E-2</v>
      </c>
      <c r="F1122" s="35">
        <f t="shared" si="69"/>
        <v>235.7164911476986</v>
      </c>
      <c r="G1122" s="36" t="str">
        <f t="shared" si="70"/>
        <v>2026-06</v>
      </c>
    </row>
    <row r="1123" spans="1:7" x14ac:dyDescent="0.25">
      <c r="A1123" s="37">
        <v>46197</v>
      </c>
      <c r="B1123" s="38">
        <v>152126.54907226589</v>
      </c>
      <c r="C1123" s="39">
        <f t="shared" si="71"/>
        <v>-7.3965807363174374E-3</v>
      </c>
      <c r="D1123" s="38">
        <f>MAX($B$2:B1123)</f>
        <v>163030.29998779291</v>
      </c>
      <c r="E1123" s="40">
        <f t="shared" si="68"/>
        <v>-6.6881744782064767E-2</v>
      </c>
      <c r="F1123" s="41">
        <f t="shared" si="69"/>
        <v>233.97299509004318</v>
      </c>
      <c r="G1123" s="42" t="str">
        <f t="shared" si="70"/>
        <v>2026-06</v>
      </c>
    </row>
    <row r="1124" spans="1:7" x14ac:dyDescent="0.25">
      <c r="A1124" s="31">
        <v>46198</v>
      </c>
      <c r="B1124" s="32">
        <v>156074.20059204099</v>
      </c>
      <c r="C1124" s="33">
        <f t="shared" si="71"/>
        <v>2.5949786831092947E-2</v>
      </c>
      <c r="D1124" s="32">
        <f>MAX($B$2:B1124)</f>
        <v>163030.29998779291</v>
      </c>
      <c r="E1124" s="34">
        <f t="shared" si="68"/>
        <v>-4.2667524970957937E-2</v>
      </c>
      <c r="F1124" s="35">
        <f t="shared" si="69"/>
        <v>240.0445444368622</v>
      </c>
      <c r="G1124" s="36" t="str">
        <f t="shared" si="70"/>
        <v>2026-06</v>
      </c>
    </row>
    <row r="1125" spans="1:7" x14ac:dyDescent="0.25">
      <c r="A1125" s="37">
        <v>46199</v>
      </c>
      <c r="B1125" s="38">
        <v>154416.0488891603</v>
      </c>
      <c r="C1125" s="39">
        <f t="shared" si="71"/>
        <v>-1.062412427288284E-2</v>
      </c>
      <c r="D1125" s="38">
        <f>MAX($B$2:B1125)</f>
        <v>163030.29998779291</v>
      </c>
      <c r="E1125" s="40">
        <f t="shared" si="68"/>
        <v>-5.2838344156132977E-2</v>
      </c>
      <c r="F1125" s="41">
        <f t="shared" si="69"/>
        <v>237.49428136573744</v>
      </c>
      <c r="G1125" s="42" t="str">
        <f t="shared" si="70"/>
        <v>2026-06</v>
      </c>
    </row>
    <row r="1126" spans="1:7" x14ac:dyDescent="0.25">
      <c r="A1126" s="31">
        <v>46202</v>
      </c>
      <c r="B1126" s="32">
        <v>158498.55102539089</v>
      </c>
      <c r="C1126" s="33">
        <f t="shared" si="71"/>
        <v>2.6438327917333249E-2</v>
      </c>
      <c r="D1126" s="32">
        <f>MAX($B$2:B1126)</f>
        <v>163030.29998779291</v>
      </c>
      <c r="E1126" s="34">
        <f t="shared" si="68"/>
        <v>-2.779697370820855E-2</v>
      </c>
      <c r="F1126" s="35">
        <f t="shared" si="69"/>
        <v>243.77323305497617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161332.40036010751</v>
      </c>
      <c r="C1127" s="39">
        <f t="shared" si="71"/>
        <v>1.787933906261796E-2</v>
      </c>
      <c r="D1127" s="38">
        <f>MAX($B$2:B1127)</f>
        <v>163030.29998779291</v>
      </c>
      <c r="E1127" s="40">
        <f t="shared" si="68"/>
        <v>-1.0414626163434249E-2</v>
      </c>
      <c r="F1127" s="41">
        <f t="shared" si="69"/>
        <v>248.13173734315671</v>
      </c>
      <c r="G1127" s="42" t="str">
        <f t="shared" si="70"/>
        <v>2026-06</v>
      </c>
    </row>
    <row r="1128" spans="1:7" x14ac:dyDescent="0.25">
      <c r="A1128" s="31">
        <v>46204</v>
      </c>
      <c r="B1128" s="32">
        <v>156360.7012939456</v>
      </c>
      <c r="C1128" s="33">
        <f t="shared" si="71"/>
        <v>-3.0816494734254629E-2</v>
      </c>
      <c r="D1128" s="32">
        <f>MAX($B$2:B1128)</f>
        <v>163030.29998779291</v>
      </c>
      <c r="E1128" s="34">
        <f t="shared" si="68"/>
        <v>-4.0910178625364169E-2</v>
      </c>
      <c r="F1128" s="35">
        <f t="shared" si="69"/>
        <v>240.48518696591987</v>
      </c>
      <c r="G1128" s="36" t="str">
        <f t="shared" si="70"/>
        <v>2026-07</v>
      </c>
    </row>
    <row r="1129" spans="1:7" x14ac:dyDescent="0.25">
      <c r="A1129" s="37">
        <v>46205</v>
      </c>
      <c r="B1129" s="38">
        <v>153380.70098876959</v>
      </c>
      <c r="C1129" s="39">
        <f t="shared" si="71"/>
        <v>-1.9058499229763992E-2</v>
      </c>
      <c r="D1129" s="38">
        <f>MAX($B$2:B1129)</f>
        <v>163030.29998779291</v>
      </c>
      <c r="E1129" s="40">
        <f t="shared" si="68"/>
        <v>-5.9188991247307032E-2</v>
      </c>
      <c r="F1129" s="41">
        <f t="shared" si="69"/>
        <v>235.90190021536026</v>
      </c>
      <c r="G1129" s="42" t="str">
        <f t="shared" si="70"/>
        <v>2026-07</v>
      </c>
    </row>
    <row r="1130" spans="1:7" x14ac:dyDescent="0.25">
      <c r="A1130" s="31">
        <v>46209</v>
      </c>
      <c r="B1130" s="32">
        <v>157256.61926269531</v>
      </c>
      <c r="C1130" s="33">
        <f t="shared" si="71"/>
        <v>2.5269921502115933E-2</v>
      </c>
      <c r="D1130" s="32">
        <f>MAX($B$2:B1130)</f>
        <v>163030.29998779291</v>
      </c>
      <c r="E1130" s="34">
        <f t="shared" si="68"/>
        <v>-3.5414770907799986E-2</v>
      </c>
      <c r="F1130" s="35">
        <f t="shared" si="69"/>
        <v>241.86312271600241</v>
      </c>
      <c r="G1130" s="36" t="str">
        <f t="shared" si="70"/>
        <v>2026-07</v>
      </c>
    </row>
  </sheetData>
  <autoFilter ref="A1:G113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30"/>
  <sheetViews>
    <sheetView showGridLines="0" workbookViewId="0">
      <pane ySplit="1" topLeftCell="A1095" activePane="bottomLeft" state="frozen"/>
      <selection pane="bottomLeft" activeCell="G1" sqref="G1"/>
    </sheetView>
  </sheetViews>
  <sheetFormatPr defaultRowHeight="15" x14ac:dyDescent="0.25"/>
  <cols>
    <col min="1" max="1" width="10.140625" bestFit="1" customWidth="1"/>
    <col min="2" max="2" width="13.5703125" bestFit="1" customWidth="1"/>
    <col min="3" max="3" width="16.7109375" bestFit="1" customWidth="1"/>
    <col min="4" max="4" width="21.140625" bestFit="1" customWidth="1"/>
    <col min="5" max="5" width="15.28515625" bestFit="1" customWidth="1"/>
    <col min="6" max="6" width="19" bestFit="1" customWidth="1"/>
    <col min="7" max="7" width="11.140625" bestFit="1" customWidth="1"/>
  </cols>
  <sheetData>
    <row r="1" spans="1:7" x14ac:dyDescent="0.2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x14ac:dyDescent="0.25">
      <c r="A2" s="31">
        <v>44564</v>
      </c>
      <c r="B2" s="32">
        <v>44948.645019531301</v>
      </c>
      <c r="C2" s="33"/>
      <c r="D2" s="32">
        <f>MAX($B$2:B2)</f>
        <v>44948.645019531301</v>
      </c>
      <c r="E2" s="34">
        <f t="shared" ref="E2:E65" si="0">B2/D2-1</f>
        <v>0</v>
      </c>
      <c r="F2" s="35">
        <f t="shared" ref="F2:F65" si="1">B2/$B$2*100</f>
        <v>100</v>
      </c>
      <c r="G2" s="36" t="str">
        <f t="shared" ref="G2:G65" si="2">TEXT(A2,"YYYY-MM")</f>
        <v>2022-01</v>
      </c>
    </row>
    <row r="3" spans="1:7" x14ac:dyDescent="0.25">
      <c r="A3" s="37">
        <v>44565</v>
      </c>
      <c r="B3" s="38">
        <v>44933.59375</v>
      </c>
      <c r="C3" s="39">
        <f t="shared" ref="C3:C66" si="3">B3/B2-1</f>
        <v>-3.3485479984463051E-4</v>
      </c>
      <c r="D3" s="38">
        <f>MAX($B$2:B3)</f>
        <v>44948.645019531301</v>
      </c>
      <c r="E3" s="40">
        <f t="shared" si="0"/>
        <v>-3.3485479984463051E-4</v>
      </c>
      <c r="F3" s="41">
        <f t="shared" si="1"/>
        <v>99.966514520015537</v>
      </c>
      <c r="G3" s="42" t="str">
        <f t="shared" si="2"/>
        <v>2022-01</v>
      </c>
    </row>
    <row r="4" spans="1:7" x14ac:dyDescent="0.25">
      <c r="A4" s="31">
        <v>44566</v>
      </c>
      <c r="B4" s="32">
        <v>44070.764160156301</v>
      </c>
      <c r="C4" s="33">
        <f t="shared" si="3"/>
        <v>-1.9202327653654483E-2</v>
      </c>
      <c r="D4" s="32">
        <f>MAX($B$2:B4)</f>
        <v>44948.645019531301</v>
      </c>
      <c r="E4" s="34">
        <f t="shared" si="0"/>
        <v>-1.9530752461916046E-2</v>
      </c>
      <c r="F4" s="35">
        <f t="shared" si="1"/>
        <v>98.046924753808398</v>
      </c>
      <c r="G4" s="36" t="str">
        <f t="shared" si="2"/>
        <v>2022-01</v>
      </c>
    </row>
    <row r="5" spans="1:7" x14ac:dyDescent="0.25">
      <c r="A5" s="37">
        <v>44567</v>
      </c>
      <c r="B5" s="38">
        <v>44029.360961914099</v>
      </c>
      <c r="C5" s="39">
        <f t="shared" si="3"/>
        <v>-9.3947084946699455E-4</v>
      </c>
      <c r="D5" s="38">
        <f>MAX($B$2:B5)</f>
        <v>44948.645019531301</v>
      </c>
      <c r="E5" s="40">
        <f t="shared" si="0"/>
        <v>-2.0451874738776854E-2</v>
      </c>
      <c r="F5" s="41">
        <f t="shared" si="1"/>
        <v>97.954812526122311</v>
      </c>
      <c r="G5" s="42" t="str">
        <f t="shared" si="2"/>
        <v>2022-01</v>
      </c>
    </row>
    <row r="6" spans="1:7" x14ac:dyDescent="0.25">
      <c r="A6" s="31">
        <v>44568</v>
      </c>
      <c r="B6" s="32">
        <v>43855.291748046897</v>
      </c>
      <c r="C6" s="33">
        <f t="shared" si="3"/>
        <v>-3.9534803609294622E-3</v>
      </c>
      <c r="D6" s="32">
        <f>MAX($B$2:B6)</f>
        <v>44948.645019531301</v>
      </c>
      <c r="E6" s="34">
        <f t="shared" si="0"/>
        <v>-2.4324499014582446E-2</v>
      </c>
      <c r="F6" s="35">
        <f t="shared" si="1"/>
        <v>97.567550098541759</v>
      </c>
      <c r="G6" s="36" t="str">
        <f t="shared" si="2"/>
        <v>2022-01</v>
      </c>
    </row>
    <row r="7" spans="1:7" x14ac:dyDescent="0.25">
      <c r="A7" s="37">
        <v>44571</v>
      </c>
      <c r="B7" s="38">
        <v>43800.720214843801</v>
      </c>
      <c r="C7" s="39">
        <f t="shared" si="3"/>
        <v>-1.2443545813494161E-3</v>
      </c>
      <c r="D7" s="38">
        <f>MAX($B$2:B7)</f>
        <v>44948.645019531301</v>
      </c>
      <c r="E7" s="40">
        <f t="shared" si="0"/>
        <v>-2.5538585294143989E-2</v>
      </c>
      <c r="F7" s="41">
        <f t="shared" si="1"/>
        <v>97.446141470585601</v>
      </c>
      <c r="G7" s="42" t="str">
        <f t="shared" si="2"/>
        <v>2022-01</v>
      </c>
    </row>
    <row r="8" spans="1:7" x14ac:dyDescent="0.25">
      <c r="A8" s="31">
        <v>44572</v>
      </c>
      <c r="B8" s="32">
        <v>44199.679565429702</v>
      </c>
      <c r="C8" s="33">
        <f t="shared" si="3"/>
        <v>9.1085111986513034E-3</v>
      </c>
      <c r="D8" s="32">
        <f>MAX($B$2:B8)</f>
        <v>44948.645019531301</v>
      </c>
      <c r="E8" s="34">
        <f t="shared" si="0"/>
        <v>-1.6662692585642014E-2</v>
      </c>
      <c r="F8" s="35">
        <f t="shared" si="1"/>
        <v>98.333730741435801</v>
      </c>
      <c r="G8" s="36" t="str">
        <f t="shared" si="2"/>
        <v>2022-01</v>
      </c>
    </row>
    <row r="9" spans="1:7" x14ac:dyDescent="0.25">
      <c r="A9" s="37">
        <v>44573</v>
      </c>
      <c r="B9" s="38">
        <v>44319.168090820298</v>
      </c>
      <c r="C9" s="39">
        <f t="shared" si="3"/>
        <v>2.7033799015152571E-3</v>
      </c>
      <c r="D9" s="38">
        <f>MAX($B$2:B9)</f>
        <v>44948.645019531301</v>
      </c>
      <c r="E9" s="40">
        <f t="shared" si="0"/>
        <v>-1.4004358272367901E-2</v>
      </c>
      <c r="F9" s="41">
        <f t="shared" si="1"/>
        <v>98.599564172763209</v>
      </c>
      <c r="G9" s="42" t="str">
        <f t="shared" si="2"/>
        <v>2022-01</v>
      </c>
    </row>
    <row r="10" spans="1:7" x14ac:dyDescent="0.25">
      <c r="A10" s="31">
        <v>44574</v>
      </c>
      <c r="B10" s="32">
        <v>43708.517456054702</v>
      </c>
      <c r="C10" s="33">
        <f t="shared" si="3"/>
        <v>-1.3778476922541305E-2</v>
      </c>
      <c r="D10" s="32">
        <f>MAX($B$2:B10)</f>
        <v>44948.645019531301</v>
      </c>
      <c r="E10" s="34">
        <f t="shared" si="0"/>
        <v>-2.7589876467638441E-2</v>
      </c>
      <c r="F10" s="35">
        <f t="shared" si="1"/>
        <v>97.241012353236158</v>
      </c>
      <c r="G10" s="36" t="str">
        <f t="shared" si="2"/>
        <v>2022-01</v>
      </c>
    </row>
    <row r="11" spans="1:7" x14ac:dyDescent="0.25">
      <c r="A11" s="37">
        <v>44575</v>
      </c>
      <c r="B11" s="38">
        <v>43726.394653320298</v>
      </c>
      <c r="C11" s="39">
        <f t="shared" si="3"/>
        <v>4.0900946328292775E-4</v>
      </c>
      <c r="D11" s="38">
        <f>MAX($B$2:B11)</f>
        <v>44948.645019531301</v>
      </c>
      <c r="E11" s="40">
        <f t="shared" si="0"/>
        <v>-2.7192151524921493E-2</v>
      </c>
      <c r="F11" s="41">
        <f t="shared" si="1"/>
        <v>97.280784847507846</v>
      </c>
      <c r="G11" s="42" t="str">
        <f t="shared" si="2"/>
        <v>2022-01</v>
      </c>
    </row>
    <row r="12" spans="1:7" x14ac:dyDescent="0.25">
      <c r="A12" s="31">
        <v>44579</v>
      </c>
      <c r="B12" s="32">
        <v>42952.017211914099</v>
      </c>
      <c r="C12" s="33">
        <f t="shared" si="3"/>
        <v>-1.7709611038041473E-2</v>
      </c>
      <c r="D12" s="32">
        <f>MAX($B$2:B12)</f>
        <v>44948.645019531301</v>
      </c>
      <c r="E12" s="34">
        <f t="shared" si="0"/>
        <v>-4.4420200136169097E-2</v>
      </c>
      <c r="F12" s="35">
        <f t="shared" si="1"/>
        <v>95.557979986383089</v>
      </c>
      <c r="G12" s="36" t="str">
        <f t="shared" si="2"/>
        <v>2022-01</v>
      </c>
    </row>
    <row r="13" spans="1:7" x14ac:dyDescent="0.25">
      <c r="A13" s="37">
        <v>44580</v>
      </c>
      <c r="B13" s="38">
        <v>42506.021118164099</v>
      </c>
      <c r="C13" s="39">
        <f t="shared" si="3"/>
        <v>-1.038358900699754E-2</v>
      </c>
      <c r="D13" s="38">
        <f>MAX($B$2:B13)</f>
        <v>44948.645019531301</v>
      </c>
      <c r="E13" s="40">
        <f t="shared" si="0"/>
        <v>-5.4342548041344085E-2</v>
      </c>
      <c r="F13" s="41">
        <f t="shared" si="1"/>
        <v>94.565745195865588</v>
      </c>
      <c r="G13" s="42" t="str">
        <f t="shared" si="2"/>
        <v>2022-01</v>
      </c>
    </row>
    <row r="14" spans="1:7" x14ac:dyDescent="0.25">
      <c r="A14" s="31">
        <v>44581</v>
      </c>
      <c r="B14" s="32">
        <v>42035.559082031301</v>
      </c>
      <c r="C14" s="33">
        <f t="shared" si="3"/>
        <v>-1.1068126909007603E-2</v>
      </c>
      <c r="D14" s="32">
        <f>MAX($B$2:B14)</f>
        <v>44948.645019531301</v>
      </c>
      <c r="E14" s="34">
        <f t="shared" si="0"/>
        <v>-6.4809204732071302E-2</v>
      </c>
      <c r="F14" s="35">
        <f t="shared" si="1"/>
        <v>93.519079526792865</v>
      </c>
      <c r="G14" s="36" t="str">
        <f t="shared" si="2"/>
        <v>2022-01</v>
      </c>
    </row>
    <row r="15" spans="1:7" x14ac:dyDescent="0.25">
      <c r="A15" s="37">
        <v>44582</v>
      </c>
      <c r="B15" s="38">
        <v>41210.379028320298</v>
      </c>
      <c r="C15" s="39">
        <f t="shared" si="3"/>
        <v>-1.9630524054662479E-2</v>
      </c>
      <c r="D15" s="38">
        <f>MAX($B$2:B15)</f>
        <v>44948.645019531301</v>
      </c>
      <c r="E15" s="40">
        <f t="shared" si="0"/>
        <v>-8.3167490134277378E-2</v>
      </c>
      <c r="F15" s="41">
        <f t="shared" si="1"/>
        <v>91.683250986572261</v>
      </c>
      <c r="G15" s="42" t="str">
        <f t="shared" si="2"/>
        <v>2022-01</v>
      </c>
    </row>
    <row r="16" spans="1:7" x14ac:dyDescent="0.25">
      <c r="A16" s="31">
        <v>44585</v>
      </c>
      <c r="B16" s="32">
        <v>41385.3759765625</v>
      </c>
      <c r="C16" s="33">
        <f t="shared" si="3"/>
        <v>4.246428991151463E-3</v>
      </c>
      <c r="D16" s="32">
        <f>MAX($B$2:B16)</f>
        <v>44948.645019531301</v>
      </c>
      <c r="E16" s="34">
        <f t="shared" si="0"/>
        <v>-7.9274225984353297E-2</v>
      </c>
      <c r="F16" s="35">
        <f t="shared" si="1"/>
        <v>92.072577401564672</v>
      </c>
      <c r="G16" s="36" t="str">
        <f t="shared" si="2"/>
        <v>2022-01</v>
      </c>
    </row>
    <row r="17" spans="1:7" x14ac:dyDescent="0.25">
      <c r="A17" s="37">
        <v>44586</v>
      </c>
      <c r="B17" s="38">
        <v>40880.111694335901</v>
      </c>
      <c r="C17" s="39">
        <f t="shared" si="3"/>
        <v>-1.2208763852060711E-2</v>
      </c>
      <c r="D17" s="38">
        <f>MAX($B$2:B17)</f>
        <v>44948.645019531301</v>
      </c>
      <c r="E17" s="40">
        <f t="shared" si="0"/>
        <v>-9.0515149531816164E-2</v>
      </c>
      <c r="F17" s="41">
        <f t="shared" si="1"/>
        <v>90.948485046818377</v>
      </c>
      <c r="G17" s="42" t="str">
        <f t="shared" si="2"/>
        <v>2022-01</v>
      </c>
    </row>
    <row r="18" spans="1:7" x14ac:dyDescent="0.25">
      <c r="A18" s="31">
        <v>44587</v>
      </c>
      <c r="B18" s="32">
        <v>40777.548217773401</v>
      </c>
      <c r="C18" s="33">
        <f t="shared" si="3"/>
        <v>-2.5088844504480567E-3</v>
      </c>
      <c r="D18" s="32">
        <f>MAX($B$2:B18)</f>
        <v>44948.645019531301</v>
      </c>
      <c r="E18" s="34">
        <f t="shared" si="0"/>
        <v>-9.2796941931073906E-2</v>
      </c>
      <c r="F18" s="35">
        <f t="shared" si="1"/>
        <v>90.720305806892611</v>
      </c>
      <c r="G18" s="36" t="str">
        <f t="shared" si="2"/>
        <v>2022-01</v>
      </c>
    </row>
    <row r="19" spans="1:7" x14ac:dyDescent="0.25">
      <c r="A19" s="37">
        <v>44588</v>
      </c>
      <c r="B19" s="38">
        <v>40576.190185546897</v>
      </c>
      <c r="C19" s="39">
        <f t="shared" si="3"/>
        <v>-4.9379631936463664E-3</v>
      </c>
      <c r="D19" s="38">
        <f>MAX($B$2:B19)</f>
        <v>44948.645019531301</v>
      </c>
      <c r="E19" s="40">
        <f t="shared" si="0"/>
        <v>-9.7276677240981657E-2</v>
      </c>
      <c r="F19" s="41">
        <f t="shared" si="1"/>
        <v>90.272332275901832</v>
      </c>
      <c r="G19" s="42" t="str">
        <f t="shared" si="2"/>
        <v>2022-01</v>
      </c>
    </row>
    <row r="20" spans="1:7" x14ac:dyDescent="0.25">
      <c r="A20" s="31">
        <v>44589</v>
      </c>
      <c r="B20" s="32">
        <v>41583.926391601599</v>
      </c>
      <c r="C20" s="33">
        <f t="shared" si="3"/>
        <v>2.4835653654187828E-2</v>
      </c>
      <c r="D20" s="32">
        <f>MAX($B$2:B20)</f>
        <v>44948.645019531301</v>
      </c>
      <c r="E20" s="34">
        <f t="shared" si="0"/>
        <v>-7.4856953451380992E-2</v>
      </c>
      <c r="F20" s="35">
        <f t="shared" si="1"/>
        <v>92.514304654861903</v>
      </c>
      <c r="G20" s="36" t="str">
        <f t="shared" si="2"/>
        <v>2022-01</v>
      </c>
    </row>
    <row r="21" spans="1:7" x14ac:dyDescent="0.25">
      <c r="A21" s="37">
        <v>44592</v>
      </c>
      <c r="B21" s="38">
        <v>42332.888793945298</v>
      </c>
      <c r="C21" s="39">
        <f t="shared" si="3"/>
        <v>1.8010863026512114E-2</v>
      </c>
      <c r="D21" s="38">
        <f>MAX($B$2:B21)</f>
        <v>44948.645019531301</v>
      </c>
      <c r="E21" s="40">
        <f t="shared" si="0"/>
        <v>-5.8194328760063696E-2</v>
      </c>
      <c r="F21" s="41">
        <f t="shared" si="1"/>
        <v>94.180567123993626</v>
      </c>
      <c r="G21" s="42" t="str">
        <f t="shared" si="2"/>
        <v>2022-01</v>
      </c>
    </row>
    <row r="22" spans="1:7" x14ac:dyDescent="0.25">
      <c r="A22" s="31">
        <v>44593</v>
      </c>
      <c r="B22" s="32">
        <v>42618.930053710901</v>
      </c>
      <c r="C22" s="33">
        <f t="shared" si="3"/>
        <v>6.7569511062168797E-3</v>
      </c>
      <c r="D22" s="32">
        <f>MAX($B$2:B22)</f>
        <v>44948.645019531301</v>
      </c>
      <c r="E22" s="34">
        <f t="shared" si="0"/>
        <v>-5.1830593887937648E-2</v>
      </c>
      <c r="F22" s="35">
        <f t="shared" si="1"/>
        <v>94.816940611206235</v>
      </c>
      <c r="G22" s="36" t="str">
        <f t="shared" si="2"/>
        <v>2022-02</v>
      </c>
    </row>
    <row r="23" spans="1:7" x14ac:dyDescent="0.25">
      <c r="A23" s="37">
        <v>44594</v>
      </c>
      <c r="B23" s="38">
        <v>43032.937622070298</v>
      </c>
      <c r="C23" s="39">
        <f t="shared" si="3"/>
        <v>9.714170858762472E-3</v>
      </c>
      <c r="D23" s="38">
        <f>MAX($B$2:B23)</f>
        <v>44948.645019531301</v>
      </c>
      <c r="E23" s="40">
        <f t="shared" si="0"/>
        <v>-4.2619914273913762E-2</v>
      </c>
      <c r="F23" s="41">
        <f t="shared" si="1"/>
        <v>95.738008572608621</v>
      </c>
      <c r="G23" s="42" t="str">
        <f t="shared" si="2"/>
        <v>2022-02</v>
      </c>
    </row>
    <row r="24" spans="1:7" x14ac:dyDescent="0.25">
      <c r="A24" s="31">
        <v>44595</v>
      </c>
      <c r="B24" s="32">
        <v>42021.447753906301</v>
      </c>
      <c r="C24" s="33">
        <f t="shared" si="3"/>
        <v>-2.350501555453266E-2</v>
      </c>
      <c r="D24" s="32">
        <f>MAX($B$2:B24)</f>
        <v>44948.645019531301</v>
      </c>
      <c r="E24" s="34">
        <f t="shared" si="0"/>
        <v>-6.5123148080505233E-2</v>
      </c>
      <c r="F24" s="35">
        <f t="shared" si="1"/>
        <v>93.487685191949481</v>
      </c>
      <c r="G24" s="36" t="str">
        <f t="shared" si="2"/>
        <v>2022-02</v>
      </c>
    </row>
    <row r="25" spans="1:7" x14ac:dyDescent="0.25">
      <c r="A25" s="37">
        <v>44596</v>
      </c>
      <c r="B25" s="38">
        <v>42219.04296875</v>
      </c>
      <c r="C25" s="39">
        <f t="shared" si="3"/>
        <v>4.7022467193631456E-3</v>
      </c>
      <c r="D25" s="38">
        <f>MAX($B$2:B25)</f>
        <v>44948.645019531301</v>
      </c>
      <c r="E25" s="40">
        <f t="shared" si="0"/>
        <v>-6.0727126470558113E-2</v>
      </c>
      <c r="F25" s="41">
        <f t="shared" si="1"/>
        <v>93.927287352944191</v>
      </c>
      <c r="G25" s="42" t="str">
        <f t="shared" si="2"/>
        <v>2022-02</v>
      </c>
    </row>
    <row r="26" spans="1:7" x14ac:dyDescent="0.25">
      <c r="A26" s="31">
        <v>44599</v>
      </c>
      <c r="B26" s="32">
        <v>42083.551025390603</v>
      </c>
      <c r="C26" s="33">
        <f t="shared" si="3"/>
        <v>-3.20926136245403E-3</v>
      </c>
      <c r="D26" s="32">
        <f>MAX($B$2:B26)</f>
        <v>44948.645019531301</v>
      </c>
      <c r="E26" s="34">
        <f t="shared" si="0"/>
        <v>-6.3741498612377323E-2</v>
      </c>
      <c r="F26" s="35">
        <f t="shared" si="1"/>
        <v>93.625850138762274</v>
      </c>
      <c r="G26" s="36" t="str">
        <f t="shared" si="2"/>
        <v>2022-02</v>
      </c>
    </row>
    <row r="27" spans="1:7" x14ac:dyDescent="0.25">
      <c r="A27" s="37">
        <v>44600</v>
      </c>
      <c r="B27" s="38">
        <v>42429.806518554702</v>
      </c>
      <c r="C27" s="39">
        <f t="shared" si="3"/>
        <v>8.2278107414268664E-3</v>
      </c>
      <c r="D27" s="38">
        <f>MAX($B$2:B27)</f>
        <v>44948.645019531301</v>
      </c>
      <c r="E27" s="40">
        <f t="shared" si="0"/>
        <v>-5.6038140857907925E-2</v>
      </c>
      <c r="F27" s="41">
        <f t="shared" si="1"/>
        <v>94.396185914209212</v>
      </c>
      <c r="G27" s="42" t="str">
        <f t="shared" si="2"/>
        <v>2022-02</v>
      </c>
    </row>
    <row r="28" spans="1:7" x14ac:dyDescent="0.25">
      <c r="A28" s="31">
        <v>44601</v>
      </c>
      <c r="B28" s="32">
        <v>43050.814819335901</v>
      </c>
      <c r="C28" s="33">
        <f t="shared" si="3"/>
        <v>1.4636133221810343E-2</v>
      </c>
      <c r="D28" s="32">
        <f>MAX($B$2:B28)</f>
        <v>44948.645019531301</v>
      </c>
      <c r="E28" s="34">
        <f t="shared" si="0"/>
        <v>-4.2222189331196702E-2</v>
      </c>
      <c r="F28" s="35">
        <f t="shared" si="1"/>
        <v>95.777781066880323</v>
      </c>
      <c r="G28" s="36" t="str">
        <f t="shared" si="2"/>
        <v>2022-02</v>
      </c>
    </row>
    <row r="29" spans="1:7" x14ac:dyDescent="0.25">
      <c r="A29" s="37">
        <v>44602</v>
      </c>
      <c r="B29" s="38">
        <v>42277.374267578103</v>
      </c>
      <c r="C29" s="39">
        <f t="shared" si="3"/>
        <v>-1.7965758720330016E-2</v>
      </c>
      <c r="D29" s="38">
        <f>MAX($B$2:B29)</f>
        <v>44948.645019531301</v>
      </c>
      <c r="E29" s="40">
        <f t="shared" si="0"/>
        <v>-5.9429394385358325E-2</v>
      </c>
      <c r="F29" s="41">
        <f t="shared" si="1"/>
        <v>94.057060561464169</v>
      </c>
      <c r="G29" s="42" t="str">
        <f t="shared" si="2"/>
        <v>2022-02</v>
      </c>
    </row>
    <row r="30" spans="1:7" x14ac:dyDescent="0.25">
      <c r="A30" s="31">
        <v>44603</v>
      </c>
      <c r="B30" s="32">
        <v>41443.719482421897</v>
      </c>
      <c r="C30" s="33">
        <f t="shared" si="3"/>
        <v>-1.9718698230403731E-2</v>
      </c>
      <c r="D30" s="32">
        <f>MAX($B$2:B30)</f>
        <v>44948.645019531301</v>
      </c>
      <c r="E30" s="34">
        <f t="shared" si="0"/>
        <v>-7.7976222321861521E-2</v>
      </c>
      <c r="F30" s="35">
        <f t="shared" si="1"/>
        <v>92.202377767813843</v>
      </c>
      <c r="G30" s="36" t="str">
        <f t="shared" si="2"/>
        <v>2022-02</v>
      </c>
    </row>
    <row r="31" spans="1:7" x14ac:dyDescent="0.25">
      <c r="A31" s="37">
        <v>44606</v>
      </c>
      <c r="B31" s="38">
        <v>41308.224487304702</v>
      </c>
      <c r="C31" s="39">
        <f t="shared" si="3"/>
        <v>-3.2693734251980633E-3</v>
      </c>
      <c r="D31" s="38">
        <f>MAX($B$2:B31)</f>
        <v>44948.645019531301</v>
      </c>
      <c r="E31" s="40">
        <f t="shared" si="0"/>
        <v>-8.0990662358003118E-2</v>
      </c>
      <c r="F31" s="41">
        <f t="shared" si="1"/>
        <v>91.900933764199692</v>
      </c>
      <c r="G31" s="42" t="str">
        <f t="shared" si="2"/>
        <v>2022-02</v>
      </c>
    </row>
    <row r="32" spans="1:7" x14ac:dyDescent="0.25">
      <c r="A32" s="31">
        <v>44607</v>
      </c>
      <c r="B32" s="32">
        <v>41974.398803710901</v>
      </c>
      <c r="C32" s="33">
        <f t="shared" si="3"/>
        <v>1.6126917210177671E-2</v>
      </c>
      <c r="D32" s="32">
        <f>MAX($B$2:B32)</f>
        <v>44948.645019531301</v>
      </c>
      <c r="E32" s="34">
        <f t="shared" si="0"/>
        <v>-6.6169874854470345E-2</v>
      </c>
      <c r="F32" s="35">
        <f t="shared" si="1"/>
        <v>93.383012514552959</v>
      </c>
      <c r="G32" s="36" t="str">
        <f t="shared" si="2"/>
        <v>2022-02</v>
      </c>
    </row>
    <row r="33" spans="1:7" x14ac:dyDescent="0.25">
      <c r="A33" s="37">
        <v>44608</v>
      </c>
      <c r="B33" s="38">
        <v>42021.447753906301</v>
      </c>
      <c r="C33" s="39">
        <f t="shared" si="3"/>
        <v>1.1208963448272602E-3</v>
      </c>
      <c r="D33" s="38">
        <f>MAX($B$2:B33)</f>
        <v>44948.645019531301</v>
      </c>
      <c r="E33" s="40">
        <f t="shared" si="0"/>
        <v>-6.5123148080505233E-2</v>
      </c>
      <c r="F33" s="41">
        <f t="shared" si="1"/>
        <v>93.487685191949481</v>
      </c>
      <c r="G33" s="42" t="str">
        <f t="shared" si="2"/>
        <v>2022-02</v>
      </c>
    </row>
    <row r="34" spans="1:7" x14ac:dyDescent="0.25">
      <c r="A34" s="31">
        <v>44609</v>
      </c>
      <c r="B34" s="32">
        <v>41123.806762695298</v>
      </c>
      <c r="C34" s="33">
        <f t="shared" si="3"/>
        <v>-2.136149607381288E-2</v>
      </c>
      <c r="D34" s="32">
        <f>MAX($B$2:B34)</f>
        <v>44948.645019531301</v>
      </c>
      <c r="E34" s="34">
        <f t="shared" si="0"/>
        <v>-8.5093516282282011E-2</v>
      </c>
      <c r="F34" s="35">
        <f t="shared" si="1"/>
        <v>91.490648371771798</v>
      </c>
      <c r="G34" s="36" t="str">
        <f t="shared" si="2"/>
        <v>2022-02</v>
      </c>
    </row>
    <row r="35" spans="1:7" x14ac:dyDescent="0.25">
      <c r="A35" s="37">
        <v>44610</v>
      </c>
      <c r="B35" s="38">
        <v>40857.528686523401</v>
      </c>
      <c r="C35" s="39">
        <f t="shared" si="3"/>
        <v>-6.4750347094191252E-3</v>
      </c>
      <c r="D35" s="38">
        <f>MAX($B$2:B35)</f>
        <v>44948.645019531301</v>
      </c>
      <c r="E35" s="40">
        <f t="shared" si="0"/>
        <v>-9.1017567520226828E-2</v>
      </c>
      <c r="F35" s="41">
        <f t="shared" si="1"/>
        <v>90.898243247977319</v>
      </c>
      <c r="G35" s="42" t="str">
        <f t="shared" si="2"/>
        <v>2022-02</v>
      </c>
    </row>
    <row r="36" spans="1:7" x14ac:dyDescent="0.25">
      <c r="A36" s="31">
        <v>44614</v>
      </c>
      <c r="B36" s="32">
        <v>40419.064331054702</v>
      </c>
      <c r="C36" s="33">
        <f t="shared" si="3"/>
        <v>-1.0731543721911985E-2</v>
      </c>
      <c r="D36" s="32">
        <f>MAX($B$2:B36)</f>
        <v>44948.645019531301</v>
      </c>
      <c r="E36" s="34">
        <f t="shared" si="0"/>
        <v>-0.10077235223683345</v>
      </c>
      <c r="F36" s="35">
        <f t="shared" si="1"/>
        <v>89.922764776316654</v>
      </c>
      <c r="G36" s="36" t="str">
        <f t="shared" si="2"/>
        <v>2022-02</v>
      </c>
    </row>
    <row r="37" spans="1:7" x14ac:dyDescent="0.25">
      <c r="A37" s="37">
        <v>44615</v>
      </c>
      <c r="B37" s="38">
        <v>39702.084350585901</v>
      </c>
      <c r="C37" s="39">
        <f t="shared" si="3"/>
        <v>-1.7738658534901641E-2</v>
      </c>
      <c r="D37" s="38">
        <f>MAX($B$2:B37)</f>
        <v>44948.645019531301</v>
      </c>
      <c r="E37" s="40">
        <f t="shared" si="0"/>
        <v>-0.11672344442564708</v>
      </c>
      <c r="F37" s="41">
        <f t="shared" si="1"/>
        <v>88.327655557435293</v>
      </c>
      <c r="G37" s="42" t="str">
        <f t="shared" si="2"/>
        <v>2022-02</v>
      </c>
    </row>
    <row r="38" spans="1:7" x14ac:dyDescent="0.25">
      <c r="A38" s="31">
        <v>44616</v>
      </c>
      <c r="B38" s="32">
        <v>40299.560546875</v>
      </c>
      <c r="C38" s="33">
        <f t="shared" si="3"/>
        <v>1.5048988134052088E-2</v>
      </c>
      <c r="D38" s="32">
        <f>MAX($B$2:B38)</f>
        <v>44948.645019531301</v>
      </c>
      <c r="E38" s="34">
        <f t="shared" si="0"/>
        <v>-0.10343102602172227</v>
      </c>
      <c r="F38" s="35">
        <f t="shared" si="1"/>
        <v>89.656897397827777</v>
      </c>
      <c r="G38" s="36" t="str">
        <f t="shared" si="2"/>
        <v>2022-02</v>
      </c>
    </row>
    <row r="39" spans="1:7" x14ac:dyDescent="0.25">
      <c r="A39" s="37">
        <v>44617</v>
      </c>
      <c r="B39" s="38">
        <v>41188.735961914099</v>
      </c>
      <c r="C39" s="39">
        <f t="shared" si="3"/>
        <v>2.2064146679833918E-2</v>
      </c>
      <c r="D39" s="38">
        <f>MAX($B$2:B39)</f>
        <v>44948.645019531301</v>
      </c>
      <c r="E39" s="40">
        <f t="shared" si="0"/>
        <v>-8.3648996671277343E-2</v>
      </c>
      <c r="F39" s="41">
        <f t="shared" si="1"/>
        <v>91.63510033287227</v>
      </c>
      <c r="G39" s="42" t="str">
        <f t="shared" si="2"/>
        <v>2022-02</v>
      </c>
    </row>
    <row r="40" spans="1:7" x14ac:dyDescent="0.25">
      <c r="A40" s="31">
        <v>44620</v>
      </c>
      <c r="B40" s="32">
        <v>41083.349609375</v>
      </c>
      <c r="C40" s="33">
        <f t="shared" si="3"/>
        <v>-2.5586207024305141E-3</v>
      </c>
      <c r="D40" s="32">
        <f>MAX($B$2:B40)</f>
        <v>44948.645019531301</v>
      </c>
      <c r="E40" s="34">
        <f t="shared" si="0"/>
        <v>-8.5993591319087237E-2</v>
      </c>
      <c r="F40" s="35">
        <f t="shared" si="1"/>
        <v>91.400640868091273</v>
      </c>
      <c r="G40" s="36" t="str">
        <f t="shared" si="2"/>
        <v>2022-02</v>
      </c>
    </row>
    <row r="41" spans="1:7" x14ac:dyDescent="0.25">
      <c r="A41" s="37">
        <v>44621</v>
      </c>
      <c r="B41" s="38">
        <v>40457.638549804702</v>
      </c>
      <c r="C41" s="39">
        <f t="shared" si="3"/>
        <v>-1.5230283448638637E-2</v>
      </c>
      <c r="D41" s="38">
        <f>MAX($B$2:B41)</f>
        <v>44948.645019531301</v>
      </c>
      <c r="E41" s="40">
        <f t="shared" si="0"/>
        <v>-9.9914167997169789E-2</v>
      </c>
      <c r="F41" s="41">
        <f t="shared" si="1"/>
        <v>90.008583200283027</v>
      </c>
      <c r="G41" s="42" t="str">
        <f t="shared" si="2"/>
        <v>2022-03</v>
      </c>
    </row>
    <row r="42" spans="1:7" x14ac:dyDescent="0.25">
      <c r="A42" s="31">
        <v>44622</v>
      </c>
      <c r="B42" s="32">
        <v>41201.910400390603</v>
      </c>
      <c r="C42" s="33">
        <f t="shared" si="3"/>
        <v>1.8396324582060863E-2</v>
      </c>
      <c r="D42" s="32">
        <f>MAX($B$2:B42)</f>
        <v>44948.645019531301</v>
      </c>
      <c r="E42" s="34">
        <f t="shared" si="0"/>
        <v>-8.3355896879931501E-2</v>
      </c>
      <c r="F42" s="35">
        <f t="shared" si="1"/>
        <v>91.664410312006851</v>
      </c>
      <c r="G42" s="36" t="str">
        <f t="shared" si="2"/>
        <v>2022-03</v>
      </c>
    </row>
    <row r="43" spans="1:7" x14ac:dyDescent="0.25">
      <c r="A43" s="37">
        <v>44623</v>
      </c>
      <c r="B43" s="38">
        <v>40996.783447265603</v>
      </c>
      <c r="C43" s="39">
        <f t="shared" si="3"/>
        <v>-4.9785786904448237E-3</v>
      </c>
      <c r="D43" s="38">
        <f>MAX($B$2:B43)</f>
        <v>44948.645019531301</v>
      </c>
      <c r="E43" s="40">
        <f t="shared" si="0"/>
        <v>-8.7919481678446987E-2</v>
      </c>
      <c r="F43" s="41">
        <f t="shared" si="1"/>
        <v>91.208051832155306</v>
      </c>
      <c r="G43" s="42" t="str">
        <f t="shared" si="2"/>
        <v>2022-03</v>
      </c>
    </row>
    <row r="44" spans="1:7" x14ac:dyDescent="0.25">
      <c r="A44" s="31">
        <v>44624</v>
      </c>
      <c r="B44" s="32">
        <v>40663.699340820298</v>
      </c>
      <c r="C44" s="33">
        <f t="shared" si="3"/>
        <v>-8.124639994592564E-3</v>
      </c>
      <c r="D44" s="32">
        <f>MAX($B$2:B44)</f>
        <v>44948.645019531301</v>
      </c>
      <c r="E44" s="34">
        <f t="shared" si="0"/>
        <v>-9.5329807535890931E-2</v>
      </c>
      <c r="F44" s="35">
        <f t="shared" si="1"/>
        <v>90.467019246410914</v>
      </c>
      <c r="G44" s="36" t="str">
        <f t="shared" si="2"/>
        <v>2022-03</v>
      </c>
    </row>
    <row r="45" spans="1:7" x14ac:dyDescent="0.25">
      <c r="A45" s="37">
        <v>44627</v>
      </c>
      <c r="B45" s="38">
        <v>39464.962768554702</v>
      </c>
      <c r="C45" s="39">
        <f t="shared" si="3"/>
        <v>-2.9479279841670536E-2</v>
      </c>
      <c r="D45" s="38">
        <f>MAX($B$2:B45)</f>
        <v>44948.645019531301</v>
      </c>
      <c r="E45" s="40">
        <f t="shared" si="0"/>
        <v>-0.12199883330395844</v>
      </c>
      <c r="F45" s="41">
        <f t="shared" si="1"/>
        <v>87.800116669604151</v>
      </c>
      <c r="G45" s="42" t="str">
        <f t="shared" si="2"/>
        <v>2022-03</v>
      </c>
    </row>
    <row r="46" spans="1:7" x14ac:dyDescent="0.25">
      <c r="A46" s="31">
        <v>44628</v>
      </c>
      <c r="B46" s="32">
        <v>39165.765380859397</v>
      </c>
      <c r="C46" s="33">
        <f t="shared" si="3"/>
        <v>-7.5813422009282094E-3</v>
      </c>
      <c r="D46" s="32">
        <f>MAX($B$2:B46)</f>
        <v>44948.645019531301</v>
      </c>
      <c r="E46" s="34">
        <f t="shared" si="0"/>
        <v>-0.12865526060149535</v>
      </c>
      <c r="F46" s="35">
        <f t="shared" si="1"/>
        <v>87.134473939850466</v>
      </c>
      <c r="G46" s="36" t="str">
        <f t="shared" si="2"/>
        <v>2022-03</v>
      </c>
    </row>
    <row r="47" spans="1:7" x14ac:dyDescent="0.25">
      <c r="A47" s="37">
        <v>44629</v>
      </c>
      <c r="B47" s="38">
        <v>40215.829467773401</v>
      </c>
      <c r="C47" s="39">
        <f t="shared" si="3"/>
        <v>2.68107638572328E-2</v>
      </c>
      <c r="D47" s="38">
        <f>MAX($B$2:B47)</f>
        <v>44948.645019531301</v>
      </c>
      <c r="E47" s="40">
        <f t="shared" si="0"/>
        <v>-0.10529384255523999</v>
      </c>
      <c r="F47" s="41">
        <f t="shared" si="1"/>
        <v>89.470615744476007</v>
      </c>
      <c r="G47" s="42" t="str">
        <f t="shared" si="2"/>
        <v>2022-03</v>
      </c>
    </row>
    <row r="48" spans="1:7" x14ac:dyDescent="0.25">
      <c r="A48" s="31">
        <v>44630</v>
      </c>
      <c r="B48" s="32">
        <v>40034.225463867202</v>
      </c>
      <c r="C48" s="33">
        <f t="shared" si="3"/>
        <v>-4.5157343839377084E-3</v>
      </c>
      <c r="D48" s="32">
        <f>MAX($B$2:B48)</f>
        <v>44948.645019531301</v>
      </c>
      <c r="E48" s="34">
        <f t="shared" si="0"/>
        <v>-0.109334097913934</v>
      </c>
      <c r="F48" s="35">
        <f t="shared" si="1"/>
        <v>89.066590208606598</v>
      </c>
      <c r="G48" s="36" t="str">
        <f t="shared" si="2"/>
        <v>2022-03</v>
      </c>
    </row>
    <row r="49" spans="1:7" x14ac:dyDescent="0.25">
      <c r="A49" s="37">
        <v>44631</v>
      </c>
      <c r="B49" s="38">
        <v>39525.192260742202</v>
      </c>
      <c r="C49" s="39">
        <f t="shared" si="3"/>
        <v>-1.2714950700980276E-2</v>
      </c>
      <c r="D49" s="38">
        <f>MAX($B$2:B49)</f>
        <v>44948.645019531301</v>
      </c>
      <c r="E49" s="40">
        <f t="shared" si="0"/>
        <v>-0.12065887095000249</v>
      </c>
      <c r="F49" s="41">
        <f t="shared" si="1"/>
        <v>87.934112904999751</v>
      </c>
      <c r="G49" s="42" t="str">
        <f t="shared" si="2"/>
        <v>2022-03</v>
      </c>
    </row>
    <row r="50" spans="1:7" x14ac:dyDescent="0.25">
      <c r="A50" s="31">
        <v>44634</v>
      </c>
      <c r="B50" s="32">
        <v>39236.325073242202</v>
      </c>
      <c r="C50" s="33">
        <f t="shared" si="3"/>
        <v>-7.3084321916609962E-3</v>
      </c>
      <c r="D50" s="32">
        <f>MAX($B$2:B50)</f>
        <v>44948.645019531301</v>
      </c>
      <c r="E50" s="34">
        <f t="shared" si="0"/>
        <v>-0.12708547596500308</v>
      </c>
      <c r="F50" s="35">
        <f t="shared" si="1"/>
        <v>87.29145240349969</v>
      </c>
      <c r="G50" s="36" t="str">
        <f t="shared" si="2"/>
        <v>2022-03</v>
      </c>
    </row>
    <row r="51" spans="1:7" x14ac:dyDescent="0.25">
      <c r="A51" s="37">
        <v>44635</v>
      </c>
      <c r="B51" s="38">
        <v>40099.1455078125</v>
      </c>
      <c r="C51" s="39">
        <f t="shared" si="3"/>
        <v>2.1990347795306509E-2</v>
      </c>
      <c r="D51" s="38">
        <f>MAX($B$2:B51)</f>
        <v>44948.645019531301</v>
      </c>
      <c r="E51" s="40">
        <f t="shared" si="0"/>
        <v>-0.10788978198589905</v>
      </c>
      <c r="F51" s="41">
        <f t="shared" si="1"/>
        <v>89.211021801410098</v>
      </c>
      <c r="G51" s="42" t="str">
        <f t="shared" si="2"/>
        <v>2022-03</v>
      </c>
    </row>
    <row r="52" spans="1:7" x14ac:dyDescent="0.25">
      <c r="A52" s="31">
        <v>44636</v>
      </c>
      <c r="B52" s="32">
        <v>40988.317871093801</v>
      </c>
      <c r="C52" s="33">
        <f t="shared" si="3"/>
        <v>2.2174346909912712E-2</v>
      </c>
      <c r="D52" s="32">
        <f>MAX($B$2:B52)</f>
        <v>44948.645019531301</v>
      </c>
      <c r="E52" s="34">
        <f t="shared" si="0"/>
        <v>-8.8107820529776615E-2</v>
      </c>
      <c r="F52" s="35">
        <f t="shared" si="1"/>
        <v>91.189217947022343</v>
      </c>
      <c r="G52" s="36" t="str">
        <f t="shared" si="2"/>
        <v>2022-03</v>
      </c>
    </row>
    <row r="53" spans="1:7" x14ac:dyDescent="0.25">
      <c r="A53" s="37">
        <v>44637</v>
      </c>
      <c r="B53" s="38">
        <v>41501.116943359397</v>
      </c>
      <c r="C53" s="39">
        <f t="shared" si="3"/>
        <v>1.2510859164270194E-2</v>
      </c>
      <c r="D53" s="38">
        <f>MAX($B$2:B53)</f>
        <v>44948.645019531301</v>
      </c>
      <c r="E53" s="40">
        <f t="shared" si="0"/>
        <v>-7.6699265899425217E-2</v>
      </c>
      <c r="F53" s="41">
        <f t="shared" si="1"/>
        <v>92.33007341005748</v>
      </c>
      <c r="G53" s="42" t="str">
        <f t="shared" si="2"/>
        <v>2022-03</v>
      </c>
    </row>
    <row r="54" spans="1:7" x14ac:dyDescent="0.25">
      <c r="A54" s="31">
        <v>44638</v>
      </c>
      <c r="B54" s="32">
        <v>41955.670166015603</v>
      </c>
      <c r="C54" s="33">
        <f t="shared" si="3"/>
        <v>1.0952794915774833E-2</v>
      </c>
      <c r="D54" s="32">
        <f>MAX($B$2:B54)</f>
        <v>44948.645019531301</v>
      </c>
      <c r="E54" s="34">
        <f t="shared" si="0"/>
        <v>-6.6586542313237129E-2</v>
      </c>
      <c r="F54" s="35">
        <f t="shared" si="1"/>
        <v>93.341345768676291</v>
      </c>
      <c r="G54" s="36" t="str">
        <f t="shared" si="2"/>
        <v>2022-03</v>
      </c>
    </row>
    <row r="55" spans="1:7" x14ac:dyDescent="0.25">
      <c r="A55" s="37">
        <v>44641</v>
      </c>
      <c r="B55" s="38">
        <v>41943.399047851599</v>
      </c>
      <c r="C55" s="39">
        <f t="shared" si="3"/>
        <v>-2.9247818269728665E-4</v>
      </c>
      <c r="D55" s="38">
        <f>MAX($B$2:B55)</f>
        <v>44948.645019531301</v>
      </c>
      <c r="E55" s="40">
        <f t="shared" si="0"/>
        <v>-6.685954538504657E-2</v>
      </c>
      <c r="F55" s="41">
        <f t="shared" si="1"/>
        <v>93.31404546149534</v>
      </c>
      <c r="G55" s="42" t="str">
        <f t="shared" si="2"/>
        <v>2022-03</v>
      </c>
    </row>
    <row r="56" spans="1:7" x14ac:dyDescent="0.25">
      <c r="A56" s="31">
        <v>44642</v>
      </c>
      <c r="B56" s="32">
        <v>42434.197998046897</v>
      </c>
      <c r="C56" s="33">
        <f t="shared" si="3"/>
        <v>1.1701458664219455E-2</v>
      </c>
      <c r="D56" s="32">
        <f>MAX($B$2:B56)</f>
        <v>44948.645019531301</v>
      </c>
      <c r="E56" s="34">
        <f t="shared" si="0"/>
        <v>-5.5940440927458757E-2</v>
      </c>
      <c r="F56" s="35">
        <f t="shared" si="1"/>
        <v>94.405955907254125</v>
      </c>
      <c r="G56" s="36" t="str">
        <f t="shared" si="2"/>
        <v>2022-03</v>
      </c>
    </row>
    <row r="57" spans="1:7" x14ac:dyDescent="0.25">
      <c r="A57" s="37">
        <v>44643</v>
      </c>
      <c r="B57" s="38">
        <v>41887.7197265625</v>
      </c>
      <c r="C57" s="39">
        <f t="shared" si="3"/>
        <v>-1.2878251440254562E-2</v>
      </c>
      <c r="D57" s="38">
        <f>MAX($B$2:B57)</f>
        <v>44948.645019531301</v>
      </c>
      <c r="E57" s="40">
        <f t="shared" si="0"/>
        <v>-6.8098277303770827E-2</v>
      </c>
      <c r="F57" s="41">
        <f t="shared" si="1"/>
        <v>93.19017226962292</v>
      </c>
      <c r="G57" s="42" t="str">
        <f t="shared" si="2"/>
        <v>2022-03</v>
      </c>
    </row>
    <row r="58" spans="1:7" x14ac:dyDescent="0.25">
      <c r="A58" s="31">
        <v>44644</v>
      </c>
      <c r="B58" s="32">
        <v>42519.143676757798</v>
      </c>
      <c r="C58" s="33">
        <f t="shared" si="3"/>
        <v>1.5074202041007512E-2</v>
      </c>
      <c r="D58" s="32">
        <f>MAX($B$2:B58)</f>
        <v>44948.645019531301</v>
      </c>
      <c r="E58" s="34">
        <f t="shared" si="0"/>
        <v>-5.4050602453484919E-2</v>
      </c>
      <c r="F58" s="35">
        <f t="shared" si="1"/>
        <v>94.594939754651506</v>
      </c>
      <c r="G58" s="36" t="str">
        <f t="shared" si="2"/>
        <v>2022-03</v>
      </c>
    </row>
    <row r="59" spans="1:7" x14ac:dyDescent="0.25">
      <c r="A59" s="37">
        <v>44645</v>
      </c>
      <c r="B59" s="38">
        <v>42726.794433593801</v>
      </c>
      <c r="C59" s="39">
        <f t="shared" si="3"/>
        <v>4.8837003495325604E-3</v>
      </c>
      <c r="D59" s="38">
        <f>MAX($B$2:B59)</f>
        <v>44948.645019531301</v>
      </c>
      <c r="E59" s="40">
        <f t="shared" si="0"/>
        <v>-4.943086905004701E-2</v>
      </c>
      <c r="F59" s="41">
        <f t="shared" si="1"/>
        <v>95.056913094995295</v>
      </c>
      <c r="G59" s="42" t="str">
        <f t="shared" si="2"/>
        <v>2022-03</v>
      </c>
    </row>
    <row r="60" spans="1:7" x14ac:dyDescent="0.25">
      <c r="A60" s="31">
        <v>44648</v>
      </c>
      <c r="B60" s="32">
        <v>43030.706787109397</v>
      </c>
      <c r="C60" s="33">
        <f t="shared" si="3"/>
        <v>7.1129219391343756E-3</v>
      </c>
      <c r="D60" s="32">
        <f>MAX($B$2:B60)</f>
        <v>44948.645019531301</v>
      </c>
      <c r="E60" s="34">
        <f t="shared" si="0"/>
        <v>-4.266954502384912E-2</v>
      </c>
      <c r="F60" s="35">
        <f t="shared" si="1"/>
        <v>95.733045497615095</v>
      </c>
      <c r="G60" s="36" t="str">
        <f t="shared" si="2"/>
        <v>2022-03</v>
      </c>
    </row>
    <row r="61" spans="1:7" x14ac:dyDescent="0.25">
      <c r="A61" s="37">
        <v>44649</v>
      </c>
      <c r="B61" s="38">
        <v>43563.034057617202</v>
      </c>
      <c r="C61" s="39">
        <f t="shared" si="3"/>
        <v>1.2370869787044159E-2</v>
      </c>
      <c r="D61" s="38">
        <f>MAX($B$2:B61)</f>
        <v>44948.645019531301</v>
      </c>
      <c r="E61" s="40">
        <f t="shared" si="0"/>
        <v>-3.0826534622167556E-2</v>
      </c>
      <c r="F61" s="41">
        <f t="shared" si="1"/>
        <v>96.917346537783246</v>
      </c>
      <c r="G61" s="42" t="str">
        <f t="shared" si="2"/>
        <v>2022-03</v>
      </c>
    </row>
    <row r="62" spans="1:7" x14ac:dyDescent="0.25">
      <c r="A62" s="31">
        <v>44650</v>
      </c>
      <c r="B62" s="32">
        <v>43294.046020507798</v>
      </c>
      <c r="C62" s="33">
        <f t="shared" si="3"/>
        <v>-6.1746855545836699E-3</v>
      </c>
      <c r="D62" s="32">
        <f>MAX($B$2:B62)</f>
        <v>44948.645019531301</v>
      </c>
      <c r="E62" s="34">
        <f t="shared" si="0"/>
        <v>-3.6810876018721794E-2</v>
      </c>
      <c r="F62" s="35">
        <f t="shared" si="1"/>
        <v>96.318912398127821</v>
      </c>
      <c r="G62" s="36" t="str">
        <f t="shared" si="2"/>
        <v>2022-03</v>
      </c>
    </row>
    <row r="63" spans="1:7" x14ac:dyDescent="0.25">
      <c r="A63" s="37">
        <v>44651</v>
      </c>
      <c r="B63" s="38">
        <v>42627.688598632798</v>
      </c>
      <c r="C63" s="39">
        <f t="shared" si="3"/>
        <v>-1.5391433306079949E-2</v>
      </c>
      <c r="D63" s="38">
        <f>MAX($B$2:B63)</f>
        <v>44948.645019531301</v>
      </c>
      <c r="E63" s="40">
        <f t="shared" si="0"/>
        <v>-5.1635737181621177E-2</v>
      </c>
      <c r="F63" s="41">
        <f t="shared" si="1"/>
        <v>94.836426281837888</v>
      </c>
      <c r="G63" s="42" t="str">
        <f t="shared" si="2"/>
        <v>2022-03</v>
      </c>
    </row>
    <row r="64" spans="1:7" x14ac:dyDescent="0.25">
      <c r="A64" s="31">
        <v>44652</v>
      </c>
      <c r="B64" s="32">
        <v>42748.501586914099</v>
      </c>
      <c r="C64" s="33">
        <f t="shared" si="3"/>
        <v>2.834143540336731E-3</v>
      </c>
      <c r="D64" s="32">
        <f>MAX($B$2:B64)</f>
        <v>44948.645019531301</v>
      </c>
      <c r="E64" s="34">
        <f t="shared" si="0"/>
        <v>-4.8947936732268271E-2</v>
      </c>
      <c r="F64" s="35">
        <f t="shared" si="1"/>
        <v>95.105206326773171</v>
      </c>
      <c r="G64" s="36" t="str">
        <f t="shared" si="2"/>
        <v>2022-04</v>
      </c>
    </row>
    <row r="65" spans="1:7" x14ac:dyDescent="0.25">
      <c r="A65" s="37">
        <v>44655</v>
      </c>
      <c r="B65" s="38">
        <v>43114.706420898401</v>
      </c>
      <c r="C65" s="39">
        <f t="shared" si="3"/>
        <v>8.5664952077852963E-3</v>
      </c>
      <c r="D65" s="38">
        <f>MAX($B$2:B65)</f>
        <v>44948.645019531301</v>
      </c>
      <c r="E65" s="40">
        <f t="shared" si="0"/>
        <v>-4.0800753789930866E-2</v>
      </c>
      <c r="F65" s="41">
        <f t="shared" si="1"/>
        <v>95.919924621006913</v>
      </c>
      <c r="G65" s="42" t="str">
        <f t="shared" si="2"/>
        <v>2022-04</v>
      </c>
    </row>
    <row r="66" spans="1:7" x14ac:dyDescent="0.25">
      <c r="A66" s="31">
        <v>44656</v>
      </c>
      <c r="B66" s="32">
        <v>42570.114135742202</v>
      </c>
      <c r="C66" s="33">
        <f t="shared" si="3"/>
        <v>-1.2631241874633936E-2</v>
      </c>
      <c r="D66" s="32">
        <f>MAX($B$2:B66)</f>
        <v>44948.645019531301</v>
      </c>
      <c r="E66" s="34">
        <f t="shared" ref="E66:E129" si="4">B66/D66-1</f>
        <v>-5.2916631474776765E-2</v>
      </c>
      <c r="F66" s="35">
        <f t="shared" ref="F66:F129" si="5">B66/$B$2*100</f>
        <v>94.708336852522322</v>
      </c>
      <c r="G66" s="36" t="str">
        <f t="shared" ref="G66:G129" si="6">TEXT(A66,"YYYY-MM")</f>
        <v>2022-04</v>
      </c>
    </row>
    <row r="67" spans="1:7" x14ac:dyDescent="0.25">
      <c r="A67" s="37">
        <v>44657</v>
      </c>
      <c r="B67" s="38">
        <v>42144.439697265603</v>
      </c>
      <c r="C67" s="39">
        <f t="shared" ref="C67:C130" si="7">B67/B66-1</f>
        <v>-9.9993727317541081E-3</v>
      </c>
      <c r="D67" s="38">
        <f>MAX($B$2:B67)</f>
        <v>44948.645019531301</v>
      </c>
      <c r="E67" s="40">
        <f t="shared" si="4"/>
        <v>-6.2386871084705642E-2</v>
      </c>
      <c r="F67" s="41">
        <f t="shared" si="5"/>
        <v>93.761312891529442</v>
      </c>
      <c r="G67" s="42" t="str">
        <f t="shared" si="6"/>
        <v>2022-04</v>
      </c>
    </row>
    <row r="68" spans="1:7" x14ac:dyDescent="0.25">
      <c r="A68" s="31">
        <v>44658</v>
      </c>
      <c r="B68" s="32">
        <v>42356.799316406301</v>
      </c>
      <c r="C68" s="33">
        <f t="shared" si="7"/>
        <v>5.0388525904279113E-3</v>
      </c>
      <c r="D68" s="32">
        <f>MAX($B$2:B68)</f>
        <v>44948.645019531301</v>
      </c>
      <c r="E68" s="34">
        <f t="shared" si="4"/>
        <v>-5.7662376741251631E-2</v>
      </c>
      <c r="F68" s="35">
        <f t="shared" si="5"/>
        <v>94.233762325874835</v>
      </c>
      <c r="G68" s="36" t="str">
        <f t="shared" si="6"/>
        <v>2022-04</v>
      </c>
    </row>
    <row r="69" spans="1:7" x14ac:dyDescent="0.25">
      <c r="A69" s="37">
        <v>44659</v>
      </c>
      <c r="B69" s="38">
        <v>42243.551635742202</v>
      </c>
      <c r="C69" s="39">
        <f t="shared" si="7"/>
        <v>-2.6736600142549527E-3</v>
      </c>
      <c r="D69" s="38">
        <f>MAX($B$2:B69)</f>
        <v>44948.645019531301</v>
      </c>
      <c r="E69" s="40">
        <f t="shared" si="4"/>
        <v>-6.0181867164486702E-2</v>
      </c>
      <c r="F69" s="41">
        <f t="shared" si="5"/>
        <v>93.981813283551332</v>
      </c>
      <c r="G69" s="42" t="str">
        <f t="shared" si="6"/>
        <v>2022-04</v>
      </c>
    </row>
    <row r="70" spans="1:7" x14ac:dyDescent="0.25">
      <c r="A70" s="31">
        <v>44662</v>
      </c>
      <c r="B70" s="32">
        <v>41521.5087890625</v>
      </c>
      <c r="C70" s="33">
        <f t="shared" si="7"/>
        <v>-1.7092380226590209E-2</v>
      </c>
      <c r="D70" s="32">
        <f>MAX($B$2:B70)</f>
        <v>44948.645019531301</v>
      </c>
      <c r="E70" s="34">
        <f t="shared" si="4"/>
        <v>-7.6245596034755336E-2</v>
      </c>
      <c r="F70" s="35">
        <f t="shared" si="5"/>
        <v>92.375440396524468</v>
      </c>
      <c r="G70" s="36" t="str">
        <f t="shared" si="6"/>
        <v>2022-04</v>
      </c>
    </row>
    <row r="71" spans="1:7" x14ac:dyDescent="0.25">
      <c r="A71" s="37">
        <v>44663</v>
      </c>
      <c r="B71" s="38">
        <v>41367.654418945298</v>
      </c>
      <c r="C71" s="39">
        <f t="shared" si="7"/>
        <v>-3.7054137627515749E-3</v>
      </c>
      <c r="D71" s="38">
        <f>MAX($B$2:B71)</f>
        <v>44948.645019531301</v>
      </c>
      <c r="E71" s="40">
        <f t="shared" si="4"/>
        <v>-7.9668488316610553E-2</v>
      </c>
      <c r="F71" s="41">
        <f t="shared" si="5"/>
        <v>92.033151168338946</v>
      </c>
      <c r="G71" s="42" t="str">
        <f t="shared" si="6"/>
        <v>2022-04</v>
      </c>
    </row>
    <row r="72" spans="1:7" x14ac:dyDescent="0.25">
      <c r="A72" s="31">
        <v>44664</v>
      </c>
      <c r="B72" s="32">
        <v>41841.470336914099</v>
      </c>
      <c r="C72" s="33">
        <f t="shared" si="7"/>
        <v>1.1453777706859958E-2</v>
      </c>
      <c r="D72" s="32">
        <f>MAX($B$2:B72)</f>
        <v>44948.645019531301</v>
      </c>
      <c r="E72" s="34">
        <f t="shared" si="4"/>
        <v>-6.9127215765170669E-2</v>
      </c>
      <c r="F72" s="35">
        <f t="shared" si="5"/>
        <v>93.087278423482928</v>
      </c>
      <c r="G72" s="36" t="str">
        <f t="shared" si="6"/>
        <v>2022-04</v>
      </c>
    </row>
    <row r="73" spans="1:7" x14ac:dyDescent="0.25">
      <c r="A73" s="37">
        <v>44665</v>
      </c>
      <c r="B73" s="38">
        <v>41320.462036132798</v>
      </c>
      <c r="C73" s="39">
        <f t="shared" si="7"/>
        <v>-1.2451959660739975E-2</v>
      </c>
      <c r="D73" s="38">
        <f>MAX($B$2:B73)</f>
        <v>44948.645019531301</v>
      </c>
      <c r="E73" s="40">
        <f t="shared" si="4"/>
        <v>-8.0718406123743369E-2</v>
      </c>
      <c r="F73" s="41">
        <f t="shared" si="5"/>
        <v>91.928159387625669</v>
      </c>
      <c r="G73" s="42" t="str">
        <f t="shared" si="6"/>
        <v>2022-04</v>
      </c>
    </row>
    <row r="74" spans="1:7" x14ac:dyDescent="0.25">
      <c r="A74" s="31">
        <v>44669</v>
      </c>
      <c r="B74" s="32">
        <v>41337.457275390603</v>
      </c>
      <c r="C74" s="33">
        <f t="shared" si="7"/>
        <v>4.113032241253034E-4</v>
      </c>
      <c r="D74" s="32">
        <f>MAX($B$2:B74)</f>
        <v>44948.645019531301</v>
      </c>
      <c r="E74" s="34">
        <f t="shared" si="4"/>
        <v>-8.0340302640303118E-2</v>
      </c>
      <c r="F74" s="35">
        <f t="shared" si="5"/>
        <v>91.965969735969693</v>
      </c>
      <c r="G74" s="36" t="str">
        <f t="shared" si="6"/>
        <v>2022-04</v>
      </c>
    </row>
    <row r="75" spans="1:7" x14ac:dyDescent="0.25">
      <c r="A75" s="37">
        <v>44670</v>
      </c>
      <c r="B75" s="38">
        <v>42004.748535156301</v>
      </c>
      <c r="C75" s="39">
        <f t="shared" si="7"/>
        <v>1.6142532795865971E-2</v>
      </c>
      <c r="D75" s="38">
        <f>MAX($B$2:B75)</f>
        <v>44948.645019531301</v>
      </c>
      <c r="E75" s="40">
        <f t="shared" si="4"/>
        <v>-6.5494665814638142E-2</v>
      </c>
      <c r="F75" s="41">
        <f t="shared" si="5"/>
        <v>93.450533418536182</v>
      </c>
      <c r="G75" s="42" t="str">
        <f t="shared" si="6"/>
        <v>2022-04</v>
      </c>
    </row>
    <row r="76" spans="1:7" x14ac:dyDescent="0.25">
      <c r="A76" s="31">
        <v>44671</v>
      </c>
      <c r="B76" s="32">
        <v>41973.602294921897</v>
      </c>
      <c r="C76" s="33">
        <f t="shared" si="7"/>
        <v>-7.4149331493644777E-4</v>
      </c>
      <c r="D76" s="32">
        <f>MAX($B$2:B76)</f>
        <v>44948.645019531301</v>
      </c>
      <c r="E76" s="34">
        <f t="shared" si="4"/>
        <v>-6.618759527270901E-2</v>
      </c>
      <c r="F76" s="35">
        <f t="shared" si="5"/>
        <v>93.381240472729104</v>
      </c>
      <c r="G76" s="36" t="str">
        <f t="shared" si="6"/>
        <v>2022-04</v>
      </c>
    </row>
    <row r="77" spans="1:7" x14ac:dyDescent="0.25">
      <c r="A77" s="37">
        <v>44672</v>
      </c>
      <c r="B77" s="38">
        <v>41345.947265625</v>
      </c>
      <c r="C77" s="39">
        <f t="shared" si="7"/>
        <v>-1.4953565931433821E-2</v>
      </c>
      <c r="D77" s="38">
        <f>MAX($B$2:B77)</f>
        <v>44948.645019531301</v>
      </c>
      <c r="E77" s="40">
        <f t="shared" si="4"/>
        <v>-8.0151420634389292E-2</v>
      </c>
      <c r="F77" s="41">
        <f t="shared" si="5"/>
        <v>91.98485793656107</v>
      </c>
      <c r="G77" s="42" t="str">
        <f t="shared" si="6"/>
        <v>2022-04</v>
      </c>
    </row>
    <row r="78" spans="1:7" x14ac:dyDescent="0.25">
      <c r="A78" s="31">
        <v>44673</v>
      </c>
      <c r="B78" s="32">
        <v>40211.4501953125</v>
      </c>
      <c r="C78" s="33">
        <f t="shared" si="7"/>
        <v>-2.7439136005857567E-2</v>
      </c>
      <c r="D78" s="32">
        <f>MAX($B$2:B78)</f>
        <v>44948.645019531301</v>
      </c>
      <c r="E78" s="34">
        <f t="shared" si="4"/>
        <v>-0.10539127090839717</v>
      </c>
      <c r="F78" s="35">
        <f t="shared" si="5"/>
        <v>89.460872909160287</v>
      </c>
      <c r="G78" s="36" t="str">
        <f t="shared" si="6"/>
        <v>2022-04</v>
      </c>
    </row>
    <row r="79" spans="1:7" x14ac:dyDescent="0.25">
      <c r="A79" s="37">
        <v>44676</v>
      </c>
      <c r="B79" s="38">
        <v>40444.583129882798</v>
      </c>
      <c r="C79" s="39">
        <f t="shared" si="7"/>
        <v>5.7976753744999332E-3</v>
      </c>
      <c r="D79" s="38">
        <f>MAX($B$2:B79)</f>
        <v>44948.645019531301</v>
      </c>
      <c r="E79" s="40">
        <f t="shared" si="4"/>
        <v>-0.10020461990993001</v>
      </c>
      <c r="F79" s="41">
        <f t="shared" si="5"/>
        <v>89.979538009007001</v>
      </c>
      <c r="G79" s="42" t="str">
        <f t="shared" si="6"/>
        <v>2022-04</v>
      </c>
    </row>
    <row r="80" spans="1:7" x14ac:dyDescent="0.25">
      <c r="A80" s="31">
        <v>44677</v>
      </c>
      <c r="B80" s="32">
        <v>39273.269653320298</v>
      </c>
      <c r="C80" s="33">
        <f t="shared" si="7"/>
        <v>-2.8960948189303171E-2</v>
      </c>
      <c r="D80" s="32">
        <f>MAX($B$2:B80)</f>
        <v>44948.645019531301</v>
      </c>
      <c r="E80" s="34">
        <f t="shared" si="4"/>
        <v>-0.12626354729369282</v>
      </c>
      <c r="F80" s="35">
        <f t="shared" si="5"/>
        <v>87.373645270630718</v>
      </c>
      <c r="G80" s="36" t="str">
        <f t="shared" si="6"/>
        <v>2022-04</v>
      </c>
    </row>
    <row r="81" spans="1:7" x14ac:dyDescent="0.25">
      <c r="A81" s="37">
        <v>44678</v>
      </c>
      <c r="B81" s="38">
        <v>39383.697509765603</v>
      </c>
      <c r="C81" s="39">
        <f t="shared" si="7"/>
        <v>2.8117815863077933E-3</v>
      </c>
      <c r="D81" s="38">
        <f>MAX($B$2:B81)</f>
        <v>44948.645019531301</v>
      </c>
      <c r="E81" s="40">
        <f t="shared" si="4"/>
        <v>-0.12380679122468741</v>
      </c>
      <c r="F81" s="41">
        <f t="shared" si="5"/>
        <v>87.619320877531266</v>
      </c>
      <c r="G81" s="42" t="str">
        <f t="shared" si="6"/>
        <v>2022-04</v>
      </c>
    </row>
    <row r="82" spans="1:7" x14ac:dyDescent="0.25">
      <c r="A82" s="31">
        <v>44679</v>
      </c>
      <c r="B82" s="32">
        <v>40378.509521484397</v>
      </c>
      <c r="C82" s="33">
        <f t="shared" si="7"/>
        <v>2.5259487417912396E-2</v>
      </c>
      <c r="D82" s="32">
        <f>MAX($B$2:B82)</f>
        <v>44948.645019531301</v>
      </c>
      <c r="E82" s="34">
        <f t="shared" si="4"/>
        <v>-0.10167459989196703</v>
      </c>
      <c r="F82" s="35">
        <f t="shared" si="5"/>
        <v>89.832540010803299</v>
      </c>
      <c r="G82" s="36" t="str">
        <f t="shared" si="6"/>
        <v>2022-04</v>
      </c>
    </row>
    <row r="83" spans="1:7" x14ac:dyDescent="0.25">
      <c r="A83" s="37">
        <v>44680</v>
      </c>
      <c r="B83" s="38">
        <v>38886.294555664099</v>
      </c>
      <c r="C83" s="39">
        <f t="shared" si="7"/>
        <v>-3.6955672299551545E-2</v>
      </c>
      <c r="D83" s="38">
        <f>MAX($B$2:B83)</f>
        <v>44948.645019531301</v>
      </c>
      <c r="E83" s="40">
        <f t="shared" si="4"/>
        <v>-0.1348728189967231</v>
      </c>
      <c r="F83" s="41">
        <f t="shared" si="5"/>
        <v>86.512718100327689</v>
      </c>
      <c r="G83" s="42" t="str">
        <f t="shared" si="6"/>
        <v>2022-04</v>
      </c>
    </row>
    <row r="84" spans="1:7" x14ac:dyDescent="0.25">
      <c r="A84" s="31">
        <v>44683</v>
      </c>
      <c r="B84" s="32">
        <v>39120.373535156301</v>
      </c>
      <c r="C84" s="33">
        <f t="shared" si="7"/>
        <v>6.0195753328240453E-3</v>
      </c>
      <c r="D84" s="32">
        <f>MAX($B$2:B84)</f>
        <v>44948.645019531301</v>
      </c>
      <c r="E84" s="34">
        <f t="shared" si="4"/>
        <v>-0.12966512075820025</v>
      </c>
      <c r="F84" s="35">
        <f t="shared" si="5"/>
        <v>87.03348792417998</v>
      </c>
      <c r="G84" s="36" t="str">
        <f t="shared" si="6"/>
        <v>2022-05</v>
      </c>
    </row>
    <row r="85" spans="1:7" x14ac:dyDescent="0.25">
      <c r="A85" s="37">
        <v>44684</v>
      </c>
      <c r="B85" s="38">
        <v>39299.697875976599</v>
      </c>
      <c r="C85" s="39">
        <f t="shared" si="7"/>
        <v>4.5839117732131562E-3</v>
      </c>
      <c r="D85" s="38">
        <f>MAX($B$2:B85)</f>
        <v>44948.645019531301</v>
      </c>
      <c r="E85" s="40">
        <f t="shared" si="4"/>
        <v>-0.12567558245860566</v>
      </c>
      <c r="F85" s="41">
        <f t="shared" si="5"/>
        <v>87.432441754139433</v>
      </c>
      <c r="G85" s="42" t="str">
        <f t="shared" si="6"/>
        <v>2022-05</v>
      </c>
    </row>
    <row r="86" spans="1:7" x14ac:dyDescent="0.25">
      <c r="A86" s="31">
        <v>44685</v>
      </c>
      <c r="B86" s="32">
        <v>40496.487426757798</v>
      </c>
      <c r="C86" s="33">
        <f t="shared" si="7"/>
        <v>3.0452894435933686E-2</v>
      </c>
      <c r="D86" s="32">
        <f>MAX($B$2:B86)</f>
        <v>44948.645019531301</v>
      </c>
      <c r="E86" s="34">
        <f t="shared" si="4"/>
        <v>-9.9049873268458488E-2</v>
      </c>
      <c r="F86" s="35">
        <f t="shared" si="5"/>
        <v>90.095012673154145</v>
      </c>
      <c r="G86" s="36" t="str">
        <f t="shared" si="6"/>
        <v>2022-05</v>
      </c>
    </row>
    <row r="87" spans="1:7" x14ac:dyDescent="0.25">
      <c r="A87" s="37">
        <v>44686</v>
      </c>
      <c r="B87" s="38">
        <v>39057.125854492202</v>
      </c>
      <c r="C87" s="39">
        <f t="shared" si="7"/>
        <v>-3.5542874548535441E-2</v>
      </c>
      <c r="D87" s="38">
        <f>MAX($B$2:B87)</f>
        <v>44948.645019531301</v>
      </c>
      <c r="E87" s="40">
        <f t="shared" si="4"/>
        <v>-0.13107223059736484</v>
      </c>
      <c r="F87" s="41">
        <f t="shared" si="5"/>
        <v>86.892776940263516</v>
      </c>
      <c r="G87" s="42" t="str">
        <f t="shared" si="6"/>
        <v>2022-05</v>
      </c>
    </row>
    <row r="88" spans="1:7" x14ac:dyDescent="0.25">
      <c r="A88" s="31">
        <v>44687</v>
      </c>
      <c r="B88" s="32">
        <v>38824.002075195298</v>
      </c>
      <c r="C88" s="33">
        <f t="shared" si="7"/>
        <v>-5.9687899249271092E-3</v>
      </c>
      <c r="D88" s="32">
        <f>MAX($B$2:B88)</f>
        <v>44948.645019531301</v>
      </c>
      <c r="E88" s="34">
        <f t="shared" si="4"/>
        <v>-0.13625867791286461</v>
      </c>
      <c r="F88" s="35">
        <f t="shared" si="5"/>
        <v>86.374132208713533</v>
      </c>
      <c r="G88" s="36" t="str">
        <f t="shared" si="6"/>
        <v>2022-05</v>
      </c>
    </row>
    <row r="89" spans="1:7" x14ac:dyDescent="0.25">
      <c r="A89" s="37">
        <v>44690</v>
      </c>
      <c r="B89" s="38">
        <v>37580.95703125</v>
      </c>
      <c r="C89" s="39">
        <f t="shared" si="7"/>
        <v>-3.2017437087957568E-2</v>
      </c>
      <c r="D89" s="38">
        <f>MAX($B$2:B89)</f>
        <v>44948.645019531301</v>
      </c>
      <c r="E89" s="40">
        <f t="shared" si="4"/>
        <v>-0.16391346135305873</v>
      </c>
      <c r="F89" s="41">
        <f t="shared" si="5"/>
        <v>83.608653864694134</v>
      </c>
      <c r="G89" s="42" t="str">
        <f t="shared" si="6"/>
        <v>2022-05</v>
      </c>
    </row>
    <row r="90" spans="1:7" x14ac:dyDescent="0.25">
      <c r="A90" s="31">
        <v>44691</v>
      </c>
      <c r="B90" s="32">
        <v>37667.800903320298</v>
      </c>
      <c r="C90" s="33">
        <f t="shared" si="7"/>
        <v>2.3108478051285797E-3</v>
      </c>
      <c r="D90" s="32">
        <f>MAX($B$2:B90)</f>
        <v>44948.645019531301</v>
      </c>
      <c r="E90" s="34">
        <f t="shared" si="4"/>
        <v>-0.16198139261032884</v>
      </c>
      <c r="F90" s="35">
        <f t="shared" si="5"/>
        <v>83.801860738967122</v>
      </c>
      <c r="G90" s="36" t="str">
        <f t="shared" si="6"/>
        <v>2022-05</v>
      </c>
    </row>
    <row r="91" spans="1:7" x14ac:dyDescent="0.25">
      <c r="A91" s="37">
        <v>44692</v>
      </c>
      <c r="B91" s="38">
        <v>37069.400024414099</v>
      </c>
      <c r="C91" s="39">
        <f t="shared" si="7"/>
        <v>-1.5886270622542553E-2</v>
      </c>
      <c r="D91" s="38">
        <f>MAX($B$2:B91)</f>
        <v>44948.645019531301</v>
      </c>
      <c r="E91" s="40">
        <f t="shared" si="4"/>
        <v>-0.17529438299404743</v>
      </c>
      <c r="F91" s="41">
        <f t="shared" si="5"/>
        <v>82.470561700595255</v>
      </c>
      <c r="G91" s="42" t="str">
        <f t="shared" si="6"/>
        <v>2022-05</v>
      </c>
    </row>
    <row r="92" spans="1:7" x14ac:dyDescent="0.25">
      <c r="A92" s="31">
        <v>44693</v>
      </c>
      <c r="B92" s="32">
        <v>37030.700683593801</v>
      </c>
      <c r="C92" s="33">
        <f t="shared" si="7"/>
        <v>-1.0439699804909441E-3</v>
      </c>
      <c r="D92" s="32">
        <f>MAX($B$2:B92)</f>
        <v>44948.645019531301</v>
      </c>
      <c r="E92" s="34">
        <f t="shared" si="4"/>
        <v>-0.17615535090094392</v>
      </c>
      <c r="F92" s="35">
        <f t="shared" si="5"/>
        <v>82.384464909905603</v>
      </c>
      <c r="G92" s="36" t="str">
        <f t="shared" si="6"/>
        <v>2022-05</v>
      </c>
    </row>
    <row r="93" spans="1:7" x14ac:dyDescent="0.25">
      <c r="A93" s="37">
        <v>44694</v>
      </c>
      <c r="B93" s="38">
        <v>37916.030883789099</v>
      </c>
      <c r="C93" s="39">
        <f t="shared" si="7"/>
        <v>2.3908005623764383E-2</v>
      </c>
      <c r="D93" s="38">
        <f>MAX($B$2:B93)</f>
        <v>44948.645019531301</v>
      </c>
      <c r="E93" s="40">
        <f t="shared" si="4"/>
        <v>-0.15645886839717538</v>
      </c>
      <c r="F93" s="41">
        <f t="shared" si="5"/>
        <v>84.354113160282466</v>
      </c>
      <c r="G93" s="42" t="str">
        <f t="shared" si="6"/>
        <v>2022-05</v>
      </c>
    </row>
    <row r="94" spans="1:7" x14ac:dyDescent="0.25">
      <c r="A94" s="31">
        <v>44697</v>
      </c>
      <c r="B94" s="32">
        <v>37762.176513671897</v>
      </c>
      <c r="C94" s="33">
        <f t="shared" si="7"/>
        <v>-4.057765713630701E-3</v>
      </c>
      <c r="D94" s="32">
        <f>MAX($B$2:B94)</f>
        <v>44948.645019531301</v>
      </c>
      <c r="E94" s="34">
        <f t="shared" si="4"/>
        <v>-0.15988176067903059</v>
      </c>
      <c r="F94" s="35">
        <f t="shared" si="5"/>
        <v>84.011823932096945</v>
      </c>
      <c r="G94" s="36" t="str">
        <f t="shared" si="6"/>
        <v>2022-05</v>
      </c>
    </row>
    <row r="95" spans="1:7" x14ac:dyDescent="0.25">
      <c r="A95" s="37">
        <v>44698</v>
      </c>
      <c r="B95" s="38">
        <v>38538.96484375</v>
      </c>
      <c r="C95" s="39">
        <f t="shared" si="7"/>
        <v>2.0570539142437116E-2</v>
      </c>
      <c r="D95" s="38">
        <f>MAX($B$2:B95)</f>
        <v>44948.645019531301</v>
      </c>
      <c r="E95" s="40">
        <f t="shared" si="4"/>
        <v>-0.1426000755528033</v>
      </c>
      <c r="F95" s="41">
        <f t="shared" si="5"/>
        <v>85.739992444719675</v>
      </c>
      <c r="G95" s="42" t="str">
        <f t="shared" si="6"/>
        <v>2022-05</v>
      </c>
    </row>
    <row r="96" spans="1:7" x14ac:dyDescent="0.25">
      <c r="A96" s="31">
        <v>44699</v>
      </c>
      <c r="B96" s="32">
        <v>36985.394287109397</v>
      </c>
      <c r="C96" s="33">
        <f t="shared" si="7"/>
        <v>-4.0311683589305147E-2</v>
      </c>
      <c r="D96" s="32">
        <f>MAX($B$2:B96)</f>
        <v>44948.645019531301</v>
      </c>
      <c r="E96" s="34">
        <f t="shared" si="4"/>
        <v>-0.17716331001661278</v>
      </c>
      <c r="F96" s="35">
        <f t="shared" si="5"/>
        <v>82.283668998338726</v>
      </c>
      <c r="G96" s="36" t="str">
        <f t="shared" si="6"/>
        <v>2022-05</v>
      </c>
    </row>
    <row r="97" spans="1:7" x14ac:dyDescent="0.25">
      <c r="A97" s="37">
        <v>44700</v>
      </c>
      <c r="B97" s="38">
        <v>36758.877563476599</v>
      </c>
      <c r="C97" s="39">
        <f t="shared" si="7"/>
        <v>-6.124491248475028E-3</v>
      </c>
      <c r="D97" s="38">
        <f>MAX($B$2:B97)</f>
        <v>44948.645019531301</v>
      </c>
      <c r="E97" s="40">
        <f t="shared" si="4"/>
        <v>-0.18220276612334019</v>
      </c>
      <c r="F97" s="41">
        <f t="shared" si="5"/>
        <v>81.779723387665982</v>
      </c>
      <c r="G97" s="42" t="str">
        <f t="shared" si="6"/>
        <v>2022-05</v>
      </c>
    </row>
    <row r="98" spans="1:7" x14ac:dyDescent="0.25">
      <c r="A98" s="31">
        <v>44701</v>
      </c>
      <c r="B98" s="32">
        <v>36774.9267578125</v>
      </c>
      <c r="C98" s="33">
        <f t="shared" si="7"/>
        <v>4.3660730141148463E-4</v>
      </c>
      <c r="D98" s="32">
        <f>MAX($B$2:B98)</f>
        <v>44948.645019531301</v>
      </c>
      <c r="E98" s="34">
        <f t="shared" si="4"/>
        <v>-0.18184570987995563</v>
      </c>
      <c r="F98" s="35">
        <f t="shared" si="5"/>
        <v>81.815429012004444</v>
      </c>
      <c r="G98" s="36" t="str">
        <f t="shared" si="6"/>
        <v>2022-05</v>
      </c>
    </row>
    <row r="99" spans="1:7" x14ac:dyDescent="0.25">
      <c r="A99" s="37">
        <v>44704</v>
      </c>
      <c r="B99" s="38">
        <v>37462.976074218801</v>
      </c>
      <c r="C99" s="39">
        <f t="shared" si="7"/>
        <v>1.8709739952374793E-2</v>
      </c>
      <c r="D99" s="38">
        <f>MAX($B$2:B99)</f>
        <v>44948.645019531301</v>
      </c>
      <c r="E99" s="40">
        <f t="shared" si="4"/>
        <v>-0.16653825587088977</v>
      </c>
      <c r="F99" s="41">
        <f t="shared" si="5"/>
        <v>83.346174412911026</v>
      </c>
      <c r="G99" s="42" t="str">
        <f t="shared" si="6"/>
        <v>2022-05</v>
      </c>
    </row>
    <row r="100" spans="1:7" x14ac:dyDescent="0.25">
      <c r="A100" s="31">
        <v>44705</v>
      </c>
      <c r="B100" s="32">
        <v>37177.001953125</v>
      </c>
      <c r="C100" s="33">
        <f t="shared" si="7"/>
        <v>-7.633513165832051E-3</v>
      </c>
      <c r="D100" s="32">
        <f>MAX($B$2:B100)</f>
        <v>44948.645019531301</v>
      </c>
      <c r="E100" s="34">
        <f t="shared" si="4"/>
        <v>-0.17290049706791677</v>
      </c>
      <c r="F100" s="35">
        <f t="shared" si="5"/>
        <v>82.709950293208323</v>
      </c>
      <c r="G100" s="36" t="str">
        <f t="shared" si="6"/>
        <v>2022-05</v>
      </c>
    </row>
    <row r="101" spans="1:7" x14ac:dyDescent="0.25">
      <c r="A101" s="37">
        <v>44706</v>
      </c>
      <c r="B101" s="38">
        <v>37505.456542968801</v>
      </c>
      <c r="C101" s="39">
        <f t="shared" si="7"/>
        <v>8.8348864240836988E-3</v>
      </c>
      <c r="D101" s="38">
        <f>MAX($B$2:B101)</f>
        <v>44948.645019531301</v>
      </c>
      <c r="E101" s="40">
        <f t="shared" si="4"/>
        <v>-0.16559316689809556</v>
      </c>
      <c r="F101" s="41">
        <f t="shared" si="5"/>
        <v>83.440683310190451</v>
      </c>
      <c r="G101" s="42" t="str">
        <f t="shared" si="6"/>
        <v>2022-05</v>
      </c>
    </row>
    <row r="102" spans="1:7" x14ac:dyDescent="0.25">
      <c r="A102" s="31">
        <v>44707</v>
      </c>
      <c r="B102" s="32">
        <v>38254.861450195298</v>
      </c>
      <c r="C102" s="33">
        <f t="shared" si="7"/>
        <v>1.9981223435260098E-2</v>
      </c>
      <c r="D102" s="32">
        <f>MAX($B$2:B102)</f>
        <v>44948.645019531301</v>
      </c>
      <c r="E102" s="34">
        <f t="shared" si="4"/>
        <v>-0.14892069752997872</v>
      </c>
      <c r="F102" s="35">
        <f t="shared" si="5"/>
        <v>85.10793024700213</v>
      </c>
      <c r="G102" s="36" t="str">
        <f t="shared" si="6"/>
        <v>2022-05</v>
      </c>
    </row>
    <row r="103" spans="1:7" x14ac:dyDescent="0.25">
      <c r="A103" s="37">
        <v>44708</v>
      </c>
      <c r="B103" s="38">
        <v>39193.991088867202</v>
      </c>
      <c r="C103" s="39">
        <f t="shared" si="7"/>
        <v>2.4549288719672324E-2</v>
      </c>
      <c r="D103" s="38">
        <f>MAX($B$2:B103)</f>
        <v>44948.645019531301</v>
      </c>
      <c r="E103" s="40">
        <f t="shared" si="4"/>
        <v>-0.12802730601030488</v>
      </c>
      <c r="F103" s="41">
        <f t="shared" si="5"/>
        <v>87.19726939896951</v>
      </c>
      <c r="G103" s="42" t="str">
        <f t="shared" si="6"/>
        <v>2022-05</v>
      </c>
    </row>
    <row r="104" spans="1:7" x14ac:dyDescent="0.25">
      <c r="A104" s="31">
        <v>44712</v>
      </c>
      <c r="B104" s="32">
        <v>38974.075317382798</v>
      </c>
      <c r="C104" s="33">
        <f t="shared" si="7"/>
        <v>-5.6109563066892854E-3</v>
      </c>
      <c r="D104" s="32">
        <f>MAX($B$2:B104)</f>
        <v>44948.645019531301</v>
      </c>
      <c r="E104" s="34">
        <f t="shared" si="4"/>
        <v>-0.13291990669690723</v>
      </c>
      <c r="F104" s="35">
        <f t="shared" si="5"/>
        <v>86.708009330309281</v>
      </c>
      <c r="G104" s="36" t="str">
        <f t="shared" si="6"/>
        <v>2022-05</v>
      </c>
    </row>
    <row r="105" spans="1:7" x14ac:dyDescent="0.25">
      <c r="A105" s="37">
        <v>44713</v>
      </c>
      <c r="B105" s="38">
        <v>38658.831787109397</v>
      </c>
      <c r="C105" s="39">
        <f t="shared" si="7"/>
        <v>-8.0885441849802842E-3</v>
      </c>
      <c r="D105" s="38">
        <f>MAX($B$2:B105)</f>
        <v>44948.645019531301</v>
      </c>
      <c r="E105" s="40">
        <f t="shared" si="4"/>
        <v>-0.13993332234350608</v>
      </c>
      <c r="F105" s="41">
        <f t="shared" si="5"/>
        <v>86.006667765649397</v>
      </c>
      <c r="G105" s="42" t="str">
        <f t="shared" si="6"/>
        <v>2022-06</v>
      </c>
    </row>
    <row r="106" spans="1:7" x14ac:dyDescent="0.25">
      <c r="A106" s="31">
        <v>44714</v>
      </c>
      <c r="B106" s="32">
        <v>39395.028686523401</v>
      </c>
      <c r="C106" s="33">
        <f t="shared" si="7"/>
        <v>1.9043433683360478E-2</v>
      </c>
      <c r="D106" s="32">
        <f>MAX($B$2:B106)</f>
        <v>44948.645019531301</v>
      </c>
      <c r="E106" s="34">
        <f t="shared" si="4"/>
        <v>-0.12355469960428656</v>
      </c>
      <c r="F106" s="35">
        <f t="shared" si="5"/>
        <v>87.64453003957135</v>
      </c>
      <c r="G106" s="36" t="str">
        <f t="shared" si="6"/>
        <v>2022-06</v>
      </c>
    </row>
    <row r="107" spans="1:7" x14ac:dyDescent="0.25">
      <c r="A107" s="37">
        <v>44715</v>
      </c>
      <c r="B107" s="38">
        <v>38748.498535156301</v>
      </c>
      <c r="C107" s="39">
        <f t="shared" si="7"/>
        <v>-1.641146542909544E-2</v>
      </c>
      <c r="D107" s="38">
        <f>MAX($B$2:B107)</f>
        <v>44948.645019531301</v>
      </c>
      <c r="E107" s="40">
        <f t="shared" si="4"/>
        <v>-0.13793845135222393</v>
      </c>
      <c r="F107" s="41">
        <f t="shared" si="5"/>
        <v>86.206154864777602</v>
      </c>
      <c r="G107" s="42" t="str">
        <f t="shared" si="6"/>
        <v>2022-06</v>
      </c>
    </row>
    <row r="108" spans="1:7" x14ac:dyDescent="0.25">
      <c r="A108" s="31">
        <v>44718</v>
      </c>
      <c r="B108" s="32">
        <v>38866.4794921875</v>
      </c>
      <c r="C108" s="33">
        <f t="shared" si="7"/>
        <v>3.0447878367250159E-3</v>
      </c>
      <c r="D108" s="32">
        <f>MAX($B$2:B108)</f>
        <v>44948.645019531301</v>
      </c>
      <c r="E108" s="34">
        <f t="shared" si="4"/>
        <v>-0.13531365683439289</v>
      </c>
      <c r="F108" s="35">
        <f t="shared" si="5"/>
        <v>86.46863431656071</v>
      </c>
      <c r="G108" s="36" t="str">
        <f t="shared" si="6"/>
        <v>2022-06</v>
      </c>
    </row>
    <row r="109" spans="1:7" x14ac:dyDescent="0.25">
      <c r="A109" s="37">
        <v>44719</v>
      </c>
      <c r="B109" s="38">
        <v>39239.297485351599</v>
      </c>
      <c r="C109" s="39">
        <f t="shared" si="7"/>
        <v>9.5922758643225414E-3</v>
      </c>
      <c r="D109" s="38">
        <f>MAX($B$2:B109)</f>
        <v>44948.645019531301</v>
      </c>
      <c r="E109" s="40">
        <f t="shared" si="4"/>
        <v>-0.12701934689463612</v>
      </c>
      <c r="F109" s="41">
        <f t="shared" si="5"/>
        <v>87.298065310536387</v>
      </c>
      <c r="G109" s="42" t="str">
        <f t="shared" si="6"/>
        <v>2022-06</v>
      </c>
    </row>
    <row r="110" spans="1:7" x14ac:dyDescent="0.25">
      <c r="A110" s="31">
        <v>44720</v>
      </c>
      <c r="B110" s="32">
        <v>38812.680053710901</v>
      </c>
      <c r="C110" s="33">
        <f t="shared" si="7"/>
        <v>-1.0872198509669029E-2</v>
      </c>
      <c r="D110" s="32">
        <f>MAX($B$2:B110)</f>
        <v>44948.645019531301</v>
      </c>
      <c r="E110" s="34">
        <f t="shared" si="4"/>
        <v>-0.13651056585029808</v>
      </c>
      <c r="F110" s="35">
        <f t="shared" si="5"/>
        <v>86.348943414970194</v>
      </c>
      <c r="G110" s="36" t="str">
        <f t="shared" si="6"/>
        <v>2022-06</v>
      </c>
    </row>
    <row r="111" spans="1:7" x14ac:dyDescent="0.25">
      <c r="A111" s="37">
        <v>44721</v>
      </c>
      <c r="B111" s="38">
        <v>37889.599609375</v>
      </c>
      <c r="C111" s="39">
        <f t="shared" si="7"/>
        <v>-2.3782960698887523E-2</v>
      </c>
      <c r="D111" s="38">
        <f>MAX($B$2:B111)</f>
        <v>44948.645019531301</v>
      </c>
      <c r="E111" s="40">
        <f t="shared" si="4"/>
        <v>-0.15704690112658504</v>
      </c>
      <c r="F111" s="41">
        <f t="shared" si="5"/>
        <v>84.295309887341503</v>
      </c>
      <c r="G111" s="42" t="str">
        <f t="shared" si="6"/>
        <v>2022-06</v>
      </c>
    </row>
    <row r="112" spans="1:7" x14ac:dyDescent="0.25">
      <c r="A112" s="31">
        <v>44722</v>
      </c>
      <c r="B112" s="32">
        <v>36790.969848632798</v>
      </c>
      <c r="C112" s="33">
        <f t="shared" si="7"/>
        <v>-2.8995549492963457E-2</v>
      </c>
      <c r="D112" s="32">
        <f>MAX($B$2:B112)</f>
        <v>44948.645019531301</v>
      </c>
      <c r="E112" s="34">
        <f t="shared" si="4"/>
        <v>-0.18148878942521607</v>
      </c>
      <c r="F112" s="35">
        <f t="shared" si="5"/>
        <v>81.851121057478395</v>
      </c>
      <c r="G112" s="36" t="str">
        <f t="shared" si="6"/>
        <v>2022-06</v>
      </c>
    </row>
    <row r="113" spans="1:7" x14ac:dyDescent="0.25">
      <c r="A113" s="37">
        <v>44725</v>
      </c>
      <c r="B113" s="38">
        <v>35394.082641601599</v>
      </c>
      <c r="C113" s="39">
        <f t="shared" si="7"/>
        <v>-3.7968208307047613E-2</v>
      </c>
      <c r="D113" s="38">
        <f>MAX($B$2:B113)</f>
        <v>44948.645019531301</v>
      </c>
      <c r="E113" s="40">
        <f t="shared" si="4"/>
        <v>-0.21256619356997319</v>
      </c>
      <c r="F113" s="41">
        <f t="shared" si="5"/>
        <v>78.743380643002681</v>
      </c>
      <c r="G113" s="42" t="str">
        <f t="shared" si="6"/>
        <v>2022-06</v>
      </c>
    </row>
    <row r="114" spans="1:7" x14ac:dyDescent="0.25">
      <c r="A114" s="31">
        <v>44726</v>
      </c>
      <c r="B114" s="32">
        <v>35287.4267578125</v>
      </c>
      <c r="C114" s="33">
        <f t="shared" si="7"/>
        <v>-3.0133817810477082E-3</v>
      </c>
      <c r="D114" s="32">
        <f>MAX($B$2:B114)</f>
        <v>44948.645019531301</v>
      </c>
      <c r="E114" s="34">
        <f t="shared" si="4"/>
        <v>-0.21493903225605049</v>
      </c>
      <c r="F114" s="35">
        <f t="shared" si="5"/>
        <v>78.506096774394948</v>
      </c>
      <c r="G114" s="36" t="str">
        <f t="shared" si="6"/>
        <v>2022-06</v>
      </c>
    </row>
    <row r="115" spans="1:7" x14ac:dyDescent="0.25">
      <c r="A115" s="37">
        <v>44727</v>
      </c>
      <c r="B115" s="38">
        <v>35790.499877929702</v>
      </c>
      <c r="C115" s="39">
        <f t="shared" si="7"/>
        <v>1.4256441070921166E-2</v>
      </c>
      <c r="D115" s="38">
        <f>MAX($B$2:B115)</f>
        <v>44948.645019531301</v>
      </c>
      <c r="E115" s="40">
        <f t="shared" si="4"/>
        <v>-0.20374685683232852</v>
      </c>
      <c r="F115" s="41">
        <f t="shared" si="5"/>
        <v>79.625314316767145</v>
      </c>
      <c r="G115" s="42" t="str">
        <f t="shared" si="6"/>
        <v>2022-06</v>
      </c>
    </row>
    <row r="116" spans="1:7" x14ac:dyDescent="0.25">
      <c r="A116" s="31">
        <v>44728</v>
      </c>
      <c r="B116" s="32">
        <v>34605.972290039099</v>
      </c>
      <c r="C116" s="33">
        <f t="shared" si="7"/>
        <v>-3.3096145399775345E-2</v>
      </c>
      <c r="D116" s="32">
        <f>MAX($B$2:B116)</f>
        <v>44948.645019531301</v>
      </c>
      <c r="E116" s="34">
        <f t="shared" si="4"/>
        <v>-0.23009976663363385</v>
      </c>
      <c r="F116" s="35">
        <f t="shared" si="5"/>
        <v>76.990023336636611</v>
      </c>
      <c r="G116" s="36" t="str">
        <f t="shared" si="6"/>
        <v>2022-06</v>
      </c>
    </row>
    <row r="117" spans="1:7" x14ac:dyDescent="0.25">
      <c r="A117" s="37">
        <v>44729</v>
      </c>
      <c r="B117" s="38">
        <v>34680.572509765603</v>
      </c>
      <c r="C117" s="39">
        <f t="shared" si="7"/>
        <v>2.1557036196315771E-3</v>
      </c>
      <c r="D117" s="38">
        <f>MAX($B$2:B117)</f>
        <v>44948.645019531301</v>
      </c>
      <c r="E117" s="40">
        <f t="shared" si="4"/>
        <v>-0.22844008991381093</v>
      </c>
      <c r="F117" s="41">
        <f t="shared" si="5"/>
        <v>77.155991008618912</v>
      </c>
      <c r="G117" s="42" t="str">
        <f t="shared" si="6"/>
        <v>2022-06</v>
      </c>
    </row>
    <row r="118" spans="1:7" x14ac:dyDescent="0.25">
      <c r="A118" s="31">
        <v>44733</v>
      </c>
      <c r="B118" s="32">
        <v>35553.604125976599</v>
      </c>
      <c r="C118" s="33">
        <f t="shared" si="7"/>
        <v>2.5173506462880857E-2</v>
      </c>
      <c r="D118" s="32">
        <f>MAX($B$2:B118)</f>
        <v>44948.645019531301</v>
      </c>
      <c r="E118" s="34">
        <f t="shared" si="4"/>
        <v>-0.2090172215307563</v>
      </c>
      <c r="F118" s="35">
        <f t="shared" si="5"/>
        <v>79.098277846924375</v>
      </c>
      <c r="G118" s="36" t="str">
        <f t="shared" si="6"/>
        <v>2022-06</v>
      </c>
    </row>
    <row r="119" spans="1:7" x14ac:dyDescent="0.25">
      <c r="A119" s="37">
        <v>44734</v>
      </c>
      <c r="B119" s="38">
        <v>35489.151000976599</v>
      </c>
      <c r="C119" s="39">
        <f t="shared" si="7"/>
        <v>-1.8128436366570133E-3</v>
      </c>
      <c r="D119" s="38">
        <f>MAX($B$2:B119)</f>
        <v>44948.645019531301</v>
      </c>
      <c r="E119" s="40">
        <f t="shared" si="4"/>
        <v>-0.21045114962740963</v>
      </c>
      <c r="F119" s="41">
        <f t="shared" si="5"/>
        <v>78.954885037259032</v>
      </c>
      <c r="G119" s="42" t="str">
        <f t="shared" si="6"/>
        <v>2022-06</v>
      </c>
    </row>
    <row r="120" spans="1:7" x14ac:dyDescent="0.25">
      <c r="A120" s="31">
        <v>44735</v>
      </c>
      <c r="B120" s="32">
        <v>35837.033081054702</v>
      </c>
      <c r="C120" s="33">
        <f t="shared" si="7"/>
        <v>9.8024909096452451E-3</v>
      </c>
      <c r="D120" s="32">
        <f>MAX($B$2:B120)</f>
        <v>44948.645019531301</v>
      </c>
      <c r="E120" s="34">
        <f t="shared" si="4"/>
        <v>-0.20271160419891143</v>
      </c>
      <c r="F120" s="35">
        <f t="shared" si="5"/>
        <v>79.728839580108854</v>
      </c>
      <c r="G120" s="36" t="str">
        <f t="shared" si="6"/>
        <v>2022-06</v>
      </c>
    </row>
    <row r="121" spans="1:7" x14ac:dyDescent="0.25">
      <c r="A121" s="37">
        <v>44736</v>
      </c>
      <c r="B121" s="38">
        <v>36976.434326171897</v>
      </c>
      <c r="C121" s="39">
        <f t="shared" si="7"/>
        <v>3.179396136226309E-2</v>
      </c>
      <c r="D121" s="38">
        <f>MAX($B$2:B121)</f>
        <v>44948.645019531301</v>
      </c>
      <c r="E121" s="40">
        <f t="shared" si="4"/>
        <v>-0.17736264774823096</v>
      </c>
      <c r="F121" s="41">
        <f t="shared" si="5"/>
        <v>82.263735225176902</v>
      </c>
      <c r="G121" s="42" t="str">
        <f t="shared" si="6"/>
        <v>2022-06</v>
      </c>
    </row>
    <row r="122" spans="1:7" x14ac:dyDescent="0.25">
      <c r="A122" s="31">
        <v>44739</v>
      </c>
      <c r="B122" s="32">
        <v>36835.192871093801</v>
      </c>
      <c r="C122" s="33">
        <f t="shared" si="7"/>
        <v>-3.8197694735029319E-3</v>
      </c>
      <c r="D122" s="32">
        <f>MAX($B$2:B122)</f>
        <v>44948.645019531301</v>
      </c>
      <c r="E122" s="34">
        <f t="shared" si="4"/>
        <v>-0.18050493279412549</v>
      </c>
      <c r="F122" s="35">
        <f t="shared" si="5"/>
        <v>81.949506720587451</v>
      </c>
      <c r="G122" s="36" t="str">
        <f t="shared" si="6"/>
        <v>2022-06</v>
      </c>
    </row>
    <row r="123" spans="1:7" x14ac:dyDescent="0.25">
      <c r="A123" s="37">
        <v>44740</v>
      </c>
      <c r="B123" s="38">
        <v>36082.546997070298</v>
      </c>
      <c r="C123" s="39">
        <f t="shared" si="7"/>
        <v>-2.0432793080720879E-2</v>
      </c>
      <c r="D123" s="38">
        <f>MAX($B$2:B123)</f>
        <v>44948.645019531301</v>
      </c>
      <c r="E123" s="40">
        <f t="shared" si="4"/>
        <v>-0.19724950593301449</v>
      </c>
      <c r="F123" s="41">
        <f t="shared" si="5"/>
        <v>80.275049406698557</v>
      </c>
      <c r="G123" s="42" t="str">
        <f t="shared" si="6"/>
        <v>2022-06</v>
      </c>
    </row>
    <row r="124" spans="1:7" x14ac:dyDescent="0.25">
      <c r="A124" s="31">
        <v>44741</v>
      </c>
      <c r="B124" s="32">
        <v>36053.164672851599</v>
      </c>
      <c r="C124" s="33">
        <f t="shared" si="7"/>
        <v>-8.1430848606900419E-4</v>
      </c>
      <c r="D124" s="32">
        <f>MAX($B$2:B124)</f>
        <v>44948.645019531301</v>
      </c>
      <c r="E124" s="34">
        <f t="shared" si="4"/>
        <v>-0.19790319247252941</v>
      </c>
      <c r="F124" s="35">
        <f t="shared" si="5"/>
        <v>80.209680752747062</v>
      </c>
      <c r="G124" s="36" t="str">
        <f t="shared" si="6"/>
        <v>2022-06</v>
      </c>
    </row>
    <row r="125" spans="1:7" x14ac:dyDescent="0.25">
      <c r="A125" s="37">
        <v>44742</v>
      </c>
      <c r="B125" s="38">
        <v>35760.25390625</v>
      </c>
      <c r="C125" s="39">
        <f t="shared" si="7"/>
        <v>-8.1244120803121156E-3</v>
      </c>
      <c r="D125" s="38">
        <f>MAX($B$2:B125)</f>
        <v>44948.645019531301</v>
      </c>
      <c r="E125" s="40">
        <f t="shared" si="4"/>
        <v>-0.20441975746518537</v>
      </c>
      <c r="F125" s="41">
        <f t="shared" si="5"/>
        <v>79.558024253481463</v>
      </c>
      <c r="G125" s="42" t="str">
        <f t="shared" si="6"/>
        <v>2022-06</v>
      </c>
    </row>
    <row r="126" spans="1:7" x14ac:dyDescent="0.25">
      <c r="A126" s="31">
        <v>44743</v>
      </c>
      <c r="B126" s="32">
        <v>36138.473510742202</v>
      </c>
      <c r="C126" s="33">
        <f t="shared" si="7"/>
        <v>1.0576535767440332E-2</v>
      </c>
      <c r="D126" s="32">
        <f>MAX($B$2:B126)</f>
        <v>44948.645019531301</v>
      </c>
      <c r="E126" s="34">
        <f t="shared" si="4"/>
        <v>-0.19600527457414707</v>
      </c>
      <c r="F126" s="35">
        <f t="shared" si="5"/>
        <v>80.399472542585286</v>
      </c>
      <c r="G126" s="36" t="str">
        <f t="shared" si="6"/>
        <v>2022-07</v>
      </c>
    </row>
    <row r="127" spans="1:7" x14ac:dyDescent="0.25">
      <c r="A127" s="37">
        <v>44747</v>
      </c>
      <c r="B127" s="38">
        <v>36206.716918945298</v>
      </c>
      <c r="C127" s="39">
        <f t="shared" si="7"/>
        <v>1.8883865745689121E-3</v>
      </c>
      <c r="D127" s="38">
        <f>MAX($B$2:B127)</f>
        <v>44948.645019531301</v>
      </c>
      <c r="E127" s="40">
        <f t="shared" si="4"/>
        <v>-0.19448702172862875</v>
      </c>
      <c r="F127" s="41">
        <f t="shared" si="5"/>
        <v>80.55129782713712</v>
      </c>
      <c r="G127" s="42" t="str">
        <f t="shared" si="6"/>
        <v>2022-07</v>
      </c>
    </row>
    <row r="128" spans="1:7" x14ac:dyDescent="0.25">
      <c r="A128" s="31">
        <v>44748</v>
      </c>
      <c r="B128" s="32">
        <v>36329.00390625</v>
      </c>
      <c r="C128" s="33">
        <f t="shared" si="7"/>
        <v>3.377466882138469E-3</v>
      </c>
      <c r="D128" s="32">
        <f>MAX($B$2:B128)</f>
        <v>44948.645019531301</v>
      </c>
      <c r="E128" s="34">
        <f t="shared" si="4"/>
        <v>-0.19176642832138435</v>
      </c>
      <c r="F128" s="35">
        <f t="shared" si="5"/>
        <v>80.823357167861559</v>
      </c>
      <c r="G128" s="36" t="str">
        <f t="shared" si="6"/>
        <v>2022-07</v>
      </c>
    </row>
    <row r="129" spans="1:7" x14ac:dyDescent="0.25">
      <c r="A129" s="37">
        <v>44749</v>
      </c>
      <c r="B129" s="38">
        <v>36873.114013671897</v>
      </c>
      <c r="C129" s="39">
        <f t="shared" si="7"/>
        <v>1.4977292216049154E-2</v>
      </c>
      <c r="D129" s="38">
        <f>MAX($B$2:B129)</f>
        <v>44948.645019531301</v>
      </c>
      <c r="E129" s="40">
        <f t="shared" si="4"/>
        <v>-0.17966127793953268</v>
      </c>
      <c r="F129" s="41">
        <f t="shared" si="5"/>
        <v>82.033872206046738</v>
      </c>
      <c r="G129" s="42" t="str">
        <f t="shared" si="6"/>
        <v>2022-07</v>
      </c>
    </row>
    <row r="130" spans="1:7" x14ac:dyDescent="0.25">
      <c r="A130" s="31">
        <v>44750</v>
      </c>
      <c r="B130" s="32">
        <v>36842.785644531301</v>
      </c>
      <c r="C130" s="33">
        <f t="shared" si="7"/>
        <v>-8.2250631528846263E-4</v>
      </c>
      <c r="D130" s="32">
        <f>MAX($B$2:B130)</f>
        <v>44948.645019531301</v>
      </c>
      <c r="E130" s="34">
        <f t="shared" ref="E130:E193" si="8">B130/D130-1</f>
        <v>-0.18033601171910307</v>
      </c>
      <c r="F130" s="35">
        <f t="shared" ref="F130:F193" si="9">B130/$B$2*100</f>
        <v>81.966398828089694</v>
      </c>
      <c r="G130" s="36" t="str">
        <f t="shared" ref="G130:G193" si="10">TEXT(A130,"YYYY-MM")</f>
        <v>2022-07</v>
      </c>
    </row>
    <row r="131" spans="1:7" x14ac:dyDescent="0.25">
      <c r="A131" s="37">
        <v>44753</v>
      </c>
      <c r="B131" s="38">
        <v>36421.905517578103</v>
      </c>
      <c r="C131" s="39">
        <f t="shared" ref="C131:C194" si="11">B131/B130-1</f>
        <v>-1.1423678193444919E-2</v>
      </c>
      <c r="D131" s="38">
        <f>MAX($B$2:B131)</f>
        <v>44948.645019531301</v>
      </c>
      <c r="E131" s="40">
        <f t="shared" si="8"/>
        <v>-0.18969958934797959</v>
      </c>
      <c r="F131" s="41">
        <f t="shared" si="9"/>
        <v>81.030041065202042</v>
      </c>
      <c r="G131" s="42" t="str">
        <f t="shared" si="10"/>
        <v>2022-07</v>
      </c>
    </row>
    <row r="132" spans="1:7" x14ac:dyDescent="0.25">
      <c r="A132" s="31">
        <v>44754</v>
      </c>
      <c r="B132" s="32">
        <v>36099.603271484397</v>
      </c>
      <c r="C132" s="33">
        <f t="shared" si="11"/>
        <v>-8.8491319032760751E-3</v>
      </c>
      <c r="D132" s="32">
        <f>MAX($B$2:B132)</f>
        <v>44948.645019531301</v>
      </c>
      <c r="E132" s="34">
        <f t="shared" si="8"/>
        <v>-0.19687004456311807</v>
      </c>
      <c r="F132" s="35">
        <f t="shared" si="9"/>
        <v>80.312995543688189</v>
      </c>
      <c r="G132" s="36" t="str">
        <f t="shared" si="10"/>
        <v>2022-07</v>
      </c>
    </row>
    <row r="133" spans="1:7" x14ac:dyDescent="0.25">
      <c r="A133" s="37">
        <v>44755</v>
      </c>
      <c r="B133" s="38">
        <v>35910.028076171897</v>
      </c>
      <c r="C133" s="39">
        <f t="shared" si="11"/>
        <v>-5.2514481637599975E-3</v>
      </c>
      <c r="D133" s="38">
        <f>MAX($B$2:B133)</f>
        <v>44948.645019531301</v>
      </c>
      <c r="E133" s="40">
        <f t="shared" si="8"/>
        <v>-0.20108763989285772</v>
      </c>
      <c r="F133" s="41">
        <f t="shared" si="9"/>
        <v>79.891236010714223</v>
      </c>
      <c r="G133" s="42" t="str">
        <f t="shared" si="10"/>
        <v>2022-07</v>
      </c>
    </row>
    <row r="134" spans="1:7" x14ac:dyDescent="0.25">
      <c r="A134" s="31">
        <v>44756</v>
      </c>
      <c r="B134" s="32">
        <v>35822.817993164099</v>
      </c>
      <c r="C134" s="33">
        <f t="shared" si="11"/>
        <v>-2.4285718413477042E-3</v>
      </c>
      <c r="D134" s="32">
        <f>MAX($B$2:B134)</f>
        <v>44948.645019531301</v>
      </c>
      <c r="E134" s="34">
        <f t="shared" si="8"/>
        <v>-0.2030278559543186</v>
      </c>
      <c r="F134" s="35">
        <f t="shared" si="9"/>
        <v>79.697214404568143</v>
      </c>
      <c r="G134" s="36" t="str">
        <f t="shared" si="10"/>
        <v>2022-07</v>
      </c>
    </row>
    <row r="135" spans="1:7" x14ac:dyDescent="0.25">
      <c r="A135" s="37">
        <v>44757</v>
      </c>
      <c r="B135" s="38">
        <v>36507.214355468801</v>
      </c>
      <c r="C135" s="39">
        <f t="shared" si="11"/>
        <v>1.9105039766422083E-2</v>
      </c>
      <c r="D135" s="38">
        <f>MAX($B$2:B135)</f>
        <v>44948.645019531301</v>
      </c>
      <c r="E135" s="40">
        <f t="shared" si="8"/>
        <v>-0.18780167144959514</v>
      </c>
      <c r="F135" s="41">
        <f t="shared" si="9"/>
        <v>81.21983285504048</v>
      </c>
      <c r="G135" s="42" t="str">
        <f t="shared" si="10"/>
        <v>2022-07</v>
      </c>
    </row>
    <row r="136" spans="1:7" x14ac:dyDescent="0.25">
      <c r="A136" s="31">
        <v>44760</v>
      </c>
      <c r="B136" s="32">
        <v>36205.776977539099</v>
      </c>
      <c r="C136" s="33">
        <f t="shared" si="11"/>
        <v>-8.2569262884486516E-3</v>
      </c>
      <c r="D136" s="32">
        <f>MAX($B$2:B136)</f>
        <v>44948.645019531301</v>
      </c>
      <c r="E136" s="34">
        <f t="shared" si="8"/>
        <v>-0.19450793318003712</v>
      </c>
      <c r="F136" s="35">
        <f t="shared" si="9"/>
        <v>80.549206681996282</v>
      </c>
      <c r="G136" s="36" t="str">
        <f t="shared" si="10"/>
        <v>2022-07</v>
      </c>
    </row>
    <row r="137" spans="1:7" x14ac:dyDescent="0.25">
      <c r="A137" s="37">
        <v>44761</v>
      </c>
      <c r="B137" s="38">
        <v>37184.030151367202</v>
      </c>
      <c r="C137" s="39">
        <f t="shared" si="11"/>
        <v>2.7019256469346775E-2</v>
      </c>
      <c r="D137" s="38">
        <f>MAX($B$2:B137)</f>
        <v>44948.645019531301</v>
      </c>
      <c r="E137" s="40">
        <f t="shared" si="8"/>
        <v>-0.17274413644260422</v>
      </c>
      <c r="F137" s="41">
        <f t="shared" si="9"/>
        <v>82.72558635573958</v>
      </c>
      <c r="G137" s="42" t="str">
        <f t="shared" si="10"/>
        <v>2022-07</v>
      </c>
    </row>
    <row r="138" spans="1:7" x14ac:dyDescent="0.25">
      <c r="A138" s="31">
        <v>44762</v>
      </c>
      <c r="B138" s="32">
        <v>37421.005249023401</v>
      </c>
      <c r="C138" s="33">
        <f t="shared" si="11"/>
        <v>6.3730342486150171E-3</v>
      </c>
      <c r="D138" s="32">
        <f>MAX($B$2:B138)</f>
        <v>44948.645019531301</v>
      </c>
      <c r="E138" s="34">
        <f t="shared" si="8"/>
        <v>-0.16747200649178529</v>
      </c>
      <c r="F138" s="35">
        <f t="shared" si="9"/>
        <v>83.252799350821476</v>
      </c>
      <c r="G138" s="36" t="str">
        <f t="shared" si="10"/>
        <v>2022-07</v>
      </c>
    </row>
    <row r="139" spans="1:7" x14ac:dyDescent="0.25">
      <c r="A139" s="37">
        <v>44763</v>
      </c>
      <c r="B139" s="38">
        <v>37802.0751953125</v>
      </c>
      <c r="C139" s="39">
        <f t="shared" si="11"/>
        <v>1.01833166627463E-2</v>
      </c>
      <c r="D139" s="38">
        <f>MAX($B$2:B139)</f>
        <v>44948.645019531301</v>
      </c>
      <c r="E139" s="40">
        <f t="shared" si="8"/>
        <v>-0.15899411030329036</v>
      </c>
      <c r="F139" s="41">
        <f t="shared" si="9"/>
        <v>84.100588969670966</v>
      </c>
      <c r="G139" s="42" t="str">
        <f t="shared" si="10"/>
        <v>2022-07</v>
      </c>
    </row>
    <row r="140" spans="1:7" x14ac:dyDescent="0.25">
      <c r="A140" s="31">
        <v>44764</v>
      </c>
      <c r="B140" s="32">
        <v>37451.339721679702</v>
      </c>
      <c r="C140" s="33">
        <f t="shared" si="11"/>
        <v>-9.2782068661746431E-3</v>
      </c>
      <c r="D140" s="32">
        <f>MAX($B$2:B140)</f>
        <v>44948.645019531301</v>
      </c>
      <c r="E140" s="34">
        <f t="shared" si="8"/>
        <v>-0.16679713692356768</v>
      </c>
      <c r="F140" s="35">
        <f t="shared" si="9"/>
        <v>83.320286307643229</v>
      </c>
      <c r="G140" s="36" t="str">
        <f t="shared" si="10"/>
        <v>2022-07</v>
      </c>
    </row>
    <row r="141" spans="1:7" x14ac:dyDescent="0.25">
      <c r="A141" s="37">
        <v>44767</v>
      </c>
      <c r="B141" s="38">
        <v>37496.847534179702</v>
      </c>
      <c r="C141" s="39">
        <f t="shared" si="11"/>
        <v>1.215118413338212E-3</v>
      </c>
      <c r="D141" s="38">
        <f>MAX($B$2:B141)</f>
        <v>44948.645019531301</v>
      </c>
      <c r="E141" s="40">
        <f t="shared" si="8"/>
        <v>-0.16578469678259733</v>
      </c>
      <c r="F141" s="41">
        <f t="shared" si="9"/>
        <v>83.421530321740264</v>
      </c>
      <c r="G141" s="42" t="str">
        <f t="shared" si="10"/>
        <v>2022-07</v>
      </c>
    </row>
    <row r="142" spans="1:7" x14ac:dyDescent="0.25">
      <c r="A142" s="31">
        <v>44768</v>
      </c>
      <c r="B142" s="32">
        <v>37053.22265625</v>
      </c>
      <c r="C142" s="33">
        <f t="shared" si="11"/>
        <v>-1.183099132601273E-2</v>
      </c>
      <c r="D142" s="32">
        <f>MAX($B$2:B142)</f>
        <v>44948.645019531301</v>
      </c>
      <c r="E142" s="34">
        <f t="shared" si="8"/>
        <v>-0.17565429079898942</v>
      </c>
      <c r="F142" s="35">
        <f t="shared" si="9"/>
        <v>82.434570920101052</v>
      </c>
      <c r="G142" s="36" t="str">
        <f t="shared" si="10"/>
        <v>2022-07</v>
      </c>
    </row>
    <row r="143" spans="1:7" x14ac:dyDescent="0.25">
      <c r="A143" s="37">
        <v>44769</v>
      </c>
      <c r="B143" s="38">
        <v>38015.353393554702</v>
      </c>
      <c r="C143" s="39">
        <f t="shared" si="11"/>
        <v>2.5966182381235159E-2</v>
      </c>
      <c r="D143" s="38">
        <f>MAX($B$2:B143)</f>
        <v>44948.645019531301</v>
      </c>
      <c r="E143" s="40">
        <f t="shared" si="8"/>
        <v>-0.15424917976868735</v>
      </c>
      <c r="F143" s="41">
        <f t="shared" si="9"/>
        <v>84.575082023131259</v>
      </c>
      <c r="G143" s="42" t="str">
        <f t="shared" si="10"/>
        <v>2022-07</v>
      </c>
    </row>
    <row r="144" spans="1:7" x14ac:dyDescent="0.25">
      <c r="A144" s="31">
        <v>44770</v>
      </c>
      <c r="B144" s="32">
        <v>38492.1630859375</v>
      </c>
      <c r="C144" s="33">
        <f t="shared" si="11"/>
        <v>1.2542555831235314E-2</v>
      </c>
      <c r="D144" s="32">
        <f>MAX($B$2:B144)</f>
        <v>44948.645019531301</v>
      </c>
      <c r="E144" s="34">
        <f t="shared" si="8"/>
        <v>-0.14364130288662313</v>
      </c>
      <c r="F144" s="35">
        <f t="shared" si="9"/>
        <v>85.635869711337691</v>
      </c>
      <c r="G144" s="36" t="str">
        <f t="shared" si="10"/>
        <v>2022-07</v>
      </c>
    </row>
    <row r="145" spans="1:7" x14ac:dyDescent="0.25">
      <c r="A145" s="37">
        <v>44771</v>
      </c>
      <c r="B145" s="38">
        <v>39053.329467773401</v>
      </c>
      <c r="C145" s="39">
        <f t="shared" si="11"/>
        <v>1.457871776608255E-2</v>
      </c>
      <c r="D145" s="38">
        <f>MAX($B$2:B145)</f>
        <v>44948.645019531301</v>
      </c>
      <c r="E145" s="40">
        <f t="shared" si="8"/>
        <v>-0.13115669113487716</v>
      </c>
      <c r="F145" s="41">
        <f t="shared" si="9"/>
        <v>86.884330886512288</v>
      </c>
      <c r="G145" s="42" t="str">
        <f t="shared" si="10"/>
        <v>2022-07</v>
      </c>
    </row>
    <row r="146" spans="1:7" x14ac:dyDescent="0.25">
      <c r="A146" s="31">
        <v>44774</v>
      </c>
      <c r="B146" s="32">
        <v>38937.683105468801</v>
      </c>
      <c r="C146" s="33">
        <f t="shared" si="11"/>
        <v>-2.9612420728437616E-3</v>
      </c>
      <c r="D146" s="32">
        <f>MAX($B$2:B146)</f>
        <v>44948.645019531301</v>
      </c>
      <c r="E146" s="34">
        <f t="shared" si="8"/>
        <v>-0.13372954649579738</v>
      </c>
      <c r="F146" s="35">
        <f t="shared" si="9"/>
        <v>86.627045350420261</v>
      </c>
      <c r="G146" s="36" t="str">
        <f t="shared" si="10"/>
        <v>2022-08</v>
      </c>
    </row>
    <row r="147" spans="1:7" x14ac:dyDescent="0.25">
      <c r="A147" s="37">
        <v>44775</v>
      </c>
      <c r="B147" s="38">
        <v>38680.792236328103</v>
      </c>
      <c r="C147" s="39">
        <f t="shared" si="11"/>
        <v>-6.5974872835876663E-3</v>
      </c>
      <c r="D147" s="38">
        <f>MAX($B$2:B147)</f>
        <v>44948.645019531301</v>
      </c>
      <c r="E147" s="40">
        <f t="shared" si="8"/>
        <v>-0.13944475479693907</v>
      </c>
      <c r="F147" s="41">
        <f t="shared" si="9"/>
        <v>86.055524520306093</v>
      </c>
      <c r="G147" s="42" t="str">
        <f t="shared" si="10"/>
        <v>2022-08</v>
      </c>
    </row>
    <row r="148" spans="1:7" x14ac:dyDescent="0.25">
      <c r="A148" s="31">
        <v>44776</v>
      </c>
      <c r="B148" s="32">
        <v>39286.514282226599</v>
      </c>
      <c r="C148" s="33">
        <f t="shared" si="11"/>
        <v>1.5659504650207712E-2</v>
      </c>
      <c r="D148" s="32">
        <f>MAX($B$2:B148)</f>
        <v>44948.645019531301</v>
      </c>
      <c r="E148" s="34">
        <f t="shared" si="8"/>
        <v>-0.1259688859329211</v>
      </c>
      <c r="F148" s="35">
        <f t="shared" si="9"/>
        <v>87.403111406707893</v>
      </c>
      <c r="G148" s="36" t="str">
        <f t="shared" si="10"/>
        <v>2022-08</v>
      </c>
    </row>
    <row r="149" spans="1:7" x14ac:dyDescent="0.25">
      <c r="A149" s="37">
        <v>44777</v>
      </c>
      <c r="B149" s="38">
        <v>39259.982299804702</v>
      </c>
      <c r="C149" s="39">
        <f t="shared" si="11"/>
        <v>-6.7534580012107437E-4</v>
      </c>
      <c r="D149" s="38">
        <f>MAX($B$2:B149)</f>
        <v>44948.645019531301</v>
      </c>
      <c r="E149" s="40">
        <f t="shared" si="8"/>
        <v>-0.12655915917498139</v>
      </c>
      <c r="F149" s="41">
        <f t="shared" si="9"/>
        <v>87.344084082501865</v>
      </c>
      <c r="G149" s="42" t="str">
        <f t="shared" si="10"/>
        <v>2022-08</v>
      </c>
    </row>
    <row r="150" spans="1:7" x14ac:dyDescent="0.25">
      <c r="A150" s="31">
        <v>44778</v>
      </c>
      <c r="B150" s="32">
        <v>39193.618774414099</v>
      </c>
      <c r="C150" s="33">
        <f t="shared" si="11"/>
        <v>-1.6903605529882126E-3</v>
      </c>
      <c r="D150" s="32">
        <f>MAX($B$2:B150)</f>
        <v>44948.645019531301</v>
      </c>
      <c r="E150" s="34">
        <f t="shared" si="8"/>
        <v>-0.12803558911768087</v>
      </c>
      <c r="F150" s="35">
        <f t="shared" si="9"/>
        <v>87.196441088231907</v>
      </c>
      <c r="G150" s="36" t="str">
        <f t="shared" si="10"/>
        <v>2022-08</v>
      </c>
    </row>
    <row r="151" spans="1:7" x14ac:dyDescent="0.25">
      <c r="A151" s="37">
        <v>44781</v>
      </c>
      <c r="B151" s="38">
        <v>39148.114013671897</v>
      </c>
      <c r="C151" s="39">
        <f t="shared" si="11"/>
        <v>-1.1610247322175749E-3</v>
      </c>
      <c r="D151" s="38">
        <f>MAX($B$2:B151)</f>
        <v>44948.645019531301</v>
      </c>
      <c r="E151" s="40">
        <f t="shared" si="8"/>
        <v>-0.12904796136432872</v>
      </c>
      <c r="F151" s="41">
        <f t="shared" si="9"/>
        <v>87.095203863567122</v>
      </c>
      <c r="G151" s="42" t="str">
        <f t="shared" si="10"/>
        <v>2022-08</v>
      </c>
    </row>
    <row r="152" spans="1:7" x14ac:dyDescent="0.25">
      <c r="A152" s="31">
        <v>44782</v>
      </c>
      <c r="B152" s="32">
        <v>38992.660522460901</v>
      </c>
      <c r="C152" s="33">
        <f t="shared" si="11"/>
        <v>-3.970906265285401E-3</v>
      </c>
      <c r="D152" s="32">
        <f>MAX($B$2:B152)</f>
        <v>44948.645019531301</v>
      </c>
      <c r="E152" s="34">
        <f t="shared" si="8"/>
        <v>-0.13250643027131026</v>
      </c>
      <c r="F152" s="35">
        <f t="shared" si="9"/>
        <v>86.749356972868981</v>
      </c>
      <c r="G152" s="36" t="str">
        <f t="shared" si="10"/>
        <v>2022-08</v>
      </c>
    </row>
    <row r="153" spans="1:7" x14ac:dyDescent="0.25">
      <c r="A153" s="37">
        <v>44783</v>
      </c>
      <c r="B153" s="38">
        <v>39811.657714843801</v>
      </c>
      <c r="C153" s="39">
        <f t="shared" si="11"/>
        <v>2.1003880766513383E-2</v>
      </c>
      <c r="D153" s="38">
        <f>MAX($B$2:B153)</f>
        <v>44948.645019531301</v>
      </c>
      <c r="E153" s="40">
        <f t="shared" si="8"/>
        <v>-0.11428569876701178</v>
      </c>
      <c r="F153" s="41">
        <f t="shared" si="9"/>
        <v>88.571430123298825</v>
      </c>
      <c r="G153" s="42" t="str">
        <f t="shared" si="10"/>
        <v>2022-08</v>
      </c>
    </row>
    <row r="154" spans="1:7" x14ac:dyDescent="0.25">
      <c r="A154" s="31">
        <v>44784</v>
      </c>
      <c r="B154" s="32">
        <v>39811.657714843801</v>
      </c>
      <c r="C154" s="33">
        <f t="shared" si="11"/>
        <v>0</v>
      </c>
      <c r="D154" s="32">
        <f>MAX($B$2:B154)</f>
        <v>44948.645019531301</v>
      </c>
      <c r="E154" s="34">
        <f t="shared" si="8"/>
        <v>-0.11428569876701178</v>
      </c>
      <c r="F154" s="35">
        <f t="shared" si="9"/>
        <v>88.571430123298825</v>
      </c>
      <c r="G154" s="36" t="str">
        <f t="shared" si="10"/>
        <v>2022-08</v>
      </c>
    </row>
    <row r="155" spans="1:7" x14ac:dyDescent="0.25">
      <c r="A155" s="37">
        <v>44785</v>
      </c>
      <c r="B155" s="38">
        <v>40485.632324218801</v>
      </c>
      <c r="C155" s="39">
        <f t="shared" si="11"/>
        <v>1.6929076759436334E-2</v>
      </c>
      <c r="D155" s="38">
        <f>MAX($B$2:B155)</f>
        <v>44948.645019531301</v>
      </c>
      <c r="E155" s="40">
        <f t="shared" si="8"/>
        <v>-9.9291373374507996E-2</v>
      </c>
      <c r="F155" s="41">
        <f t="shared" si="9"/>
        <v>90.070862662549203</v>
      </c>
      <c r="G155" s="42" t="str">
        <f t="shared" si="10"/>
        <v>2022-08</v>
      </c>
    </row>
    <row r="156" spans="1:7" x14ac:dyDescent="0.25">
      <c r="A156" s="31">
        <v>44788</v>
      </c>
      <c r="B156" s="32">
        <v>40652.459716796897</v>
      </c>
      <c r="C156" s="33">
        <f t="shared" si="11"/>
        <v>4.1206567120428694E-3</v>
      </c>
      <c r="D156" s="32">
        <f>MAX($B$2:B156)</f>
        <v>44948.645019531301</v>
      </c>
      <c r="E156" s="34">
        <f t="shared" si="8"/>
        <v>-9.5579862326608644E-2</v>
      </c>
      <c r="F156" s="35">
        <f t="shared" si="9"/>
        <v>90.442013767339134</v>
      </c>
      <c r="G156" s="36" t="str">
        <f t="shared" si="10"/>
        <v>2022-08</v>
      </c>
    </row>
    <row r="157" spans="1:7" x14ac:dyDescent="0.25">
      <c r="A157" s="37">
        <v>44789</v>
      </c>
      <c r="B157" s="38">
        <v>40732.095336914099</v>
      </c>
      <c r="C157" s="39">
        <f t="shared" si="11"/>
        <v>1.9589373108535035E-3</v>
      </c>
      <c r="D157" s="38">
        <f>MAX($B$2:B157)</f>
        <v>44948.645019531301</v>
      </c>
      <c r="E157" s="40">
        <f t="shared" si="8"/>
        <v>-9.3808159974232974E-2</v>
      </c>
      <c r="F157" s="41">
        <f t="shared" si="9"/>
        <v>90.619184002576702</v>
      </c>
      <c r="G157" s="42" t="str">
        <f t="shared" si="10"/>
        <v>2022-08</v>
      </c>
    </row>
    <row r="158" spans="1:7" x14ac:dyDescent="0.25">
      <c r="A158" s="31">
        <v>44790</v>
      </c>
      <c r="B158" s="32">
        <v>40442.980957031301</v>
      </c>
      <c r="C158" s="33">
        <f t="shared" si="11"/>
        <v>-7.0979500929524431E-3</v>
      </c>
      <c r="D158" s="32">
        <f>MAX($B$2:B158)</f>
        <v>44948.645019531301</v>
      </c>
      <c r="E158" s="34">
        <f t="shared" si="8"/>
        <v>-0.10024026442937661</v>
      </c>
      <c r="F158" s="35">
        <f t="shared" si="9"/>
        <v>89.975973557062332</v>
      </c>
      <c r="G158" s="36" t="str">
        <f t="shared" si="10"/>
        <v>2022-08</v>
      </c>
    </row>
    <row r="159" spans="1:7" x14ac:dyDescent="0.25">
      <c r="A159" s="37">
        <v>44791</v>
      </c>
      <c r="B159" s="38">
        <v>40560.513305664099</v>
      </c>
      <c r="C159" s="39">
        <f t="shared" si="11"/>
        <v>2.9061247675503665E-3</v>
      </c>
      <c r="D159" s="38">
        <f>MAX($B$2:B159)</f>
        <v>44948.645019531301</v>
      </c>
      <c r="E159" s="40">
        <f t="shared" si="8"/>
        <v>-9.7625450376990219E-2</v>
      </c>
      <c r="F159" s="41">
        <f t="shared" si="9"/>
        <v>90.237454962300973</v>
      </c>
      <c r="G159" s="42" t="str">
        <f t="shared" si="10"/>
        <v>2022-08</v>
      </c>
    </row>
    <row r="160" spans="1:7" x14ac:dyDescent="0.25">
      <c r="A160" s="31">
        <v>44792</v>
      </c>
      <c r="B160" s="32">
        <v>40015.469360351599</v>
      </c>
      <c r="C160" s="33">
        <f t="shared" si="11"/>
        <v>-1.3437797031932264E-2</v>
      </c>
      <c r="D160" s="32">
        <f>MAX($B$2:B160)</f>
        <v>44948.645019531301</v>
      </c>
      <c r="E160" s="34">
        <f t="shared" si="8"/>
        <v>-0.10975137642160548</v>
      </c>
      <c r="F160" s="35">
        <f t="shared" si="9"/>
        <v>89.024862357839453</v>
      </c>
      <c r="G160" s="36" t="str">
        <f t="shared" si="10"/>
        <v>2022-08</v>
      </c>
    </row>
    <row r="161" spans="1:7" x14ac:dyDescent="0.25">
      <c r="A161" s="37">
        <v>44795</v>
      </c>
      <c r="B161" s="38">
        <v>39182.244873046897</v>
      </c>
      <c r="C161" s="39">
        <f t="shared" si="11"/>
        <v>-2.0822559390751061E-2</v>
      </c>
      <c r="D161" s="38">
        <f>MAX($B$2:B161)</f>
        <v>44948.645019531301</v>
      </c>
      <c r="E161" s="40">
        <f t="shared" si="8"/>
        <v>-0.12828863125860102</v>
      </c>
      <c r="F161" s="41">
        <f t="shared" si="9"/>
        <v>87.171136874139904</v>
      </c>
      <c r="G161" s="42" t="str">
        <f t="shared" si="10"/>
        <v>2022-08</v>
      </c>
    </row>
    <row r="162" spans="1:7" x14ac:dyDescent="0.25">
      <c r="A162" s="31">
        <v>44796</v>
      </c>
      <c r="B162" s="32">
        <v>39087.454223632798</v>
      </c>
      <c r="C162" s="33">
        <f t="shared" si="11"/>
        <v>-2.4192245676893931E-3</v>
      </c>
      <c r="D162" s="32">
        <f>MAX($B$2:B162)</f>
        <v>44948.645019531301</v>
      </c>
      <c r="E162" s="34">
        <f t="shared" si="8"/>
        <v>-0.13039749681779444</v>
      </c>
      <c r="F162" s="35">
        <f t="shared" si="9"/>
        <v>86.96025031822056</v>
      </c>
      <c r="G162" s="36" t="str">
        <f t="shared" si="10"/>
        <v>2022-08</v>
      </c>
    </row>
    <row r="163" spans="1:7" x14ac:dyDescent="0.25">
      <c r="A163" s="37">
        <v>44797</v>
      </c>
      <c r="B163" s="38">
        <v>39212.579345703103</v>
      </c>
      <c r="C163" s="39">
        <f t="shared" si="11"/>
        <v>3.2011581351505392E-3</v>
      </c>
      <c r="D163" s="38">
        <f>MAX($B$2:B163)</f>
        <v>44948.645019531301</v>
      </c>
      <c r="E163" s="40">
        <f t="shared" si="8"/>
        <v>-0.12761376169038541</v>
      </c>
      <c r="F163" s="41">
        <f t="shared" si="9"/>
        <v>87.238623830961458</v>
      </c>
      <c r="G163" s="42" t="str">
        <f t="shared" si="10"/>
        <v>2022-08</v>
      </c>
    </row>
    <row r="164" spans="1:7" x14ac:dyDescent="0.25">
      <c r="A164" s="31">
        <v>44798</v>
      </c>
      <c r="B164" s="32">
        <v>39766.159057617202</v>
      </c>
      <c r="C164" s="33">
        <f t="shared" si="11"/>
        <v>1.411740112869575E-2</v>
      </c>
      <c r="D164" s="32">
        <f>MAX($B$2:B164)</f>
        <v>44948.645019531301</v>
      </c>
      <c r="E164" s="34">
        <f t="shared" si="8"/>
        <v>-0.11529793522501464</v>
      </c>
      <c r="F164" s="35">
        <f t="shared" si="9"/>
        <v>88.470206477498536</v>
      </c>
      <c r="G164" s="36" t="str">
        <f t="shared" si="10"/>
        <v>2022-08</v>
      </c>
    </row>
    <row r="165" spans="1:7" x14ac:dyDescent="0.25">
      <c r="A165" s="37">
        <v>44799</v>
      </c>
      <c r="B165" s="38">
        <v>38420.114135742202</v>
      </c>
      <c r="C165" s="39">
        <f t="shared" si="11"/>
        <v>-3.3849005128323228E-2</v>
      </c>
      <c r="D165" s="38">
        <f>MAX($B$2:B165)</f>
        <v>44948.645019531301</v>
      </c>
      <c r="E165" s="40">
        <f t="shared" si="8"/>
        <v>-0.14524421995262127</v>
      </c>
      <c r="F165" s="41">
        <f t="shared" si="9"/>
        <v>85.475578004737869</v>
      </c>
      <c r="G165" s="42" t="str">
        <f t="shared" si="10"/>
        <v>2022-08</v>
      </c>
    </row>
    <row r="166" spans="1:7" x14ac:dyDescent="0.25">
      <c r="A166" s="31">
        <v>44802</v>
      </c>
      <c r="B166" s="32">
        <v>38166.082763671897</v>
      </c>
      <c r="C166" s="33">
        <f t="shared" si="11"/>
        <v>-6.6119369446114851E-3</v>
      </c>
      <c r="D166" s="32">
        <f>MAX($B$2:B166)</f>
        <v>44948.645019531301</v>
      </c>
      <c r="E166" s="34">
        <f t="shared" si="8"/>
        <v>-0.15089581127333673</v>
      </c>
      <c r="F166" s="35">
        <f t="shared" si="9"/>
        <v>84.910418872666327</v>
      </c>
      <c r="G166" s="36" t="str">
        <f t="shared" si="10"/>
        <v>2022-08</v>
      </c>
    </row>
    <row r="167" spans="1:7" x14ac:dyDescent="0.25">
      <c r="A167" s="37">
        <v>44803</v>
      </c>
      <c r="B167" s="38">
        <v>37747.097778320298</v>
      </c>
      <c r="C167" s="39">
        <f t="shared" si="11"/>
        <v>-1.0977940490932592E-2</v>
      </c>
      <c r="D167" s="38">
        <f>MAX($B$2:B167)</f>
        <v>44948.645019531301</v>
      </c>
      <c r="E167" s="40">
        <f t="shared" si="8"/>
        <v>-0.1602172265277797</v>
      </c>
      <c r="F167" s="41">
        <f t="shared" si="9"/>
        <v>83.978277347222033</v>
      </c>
      <c r="G167" s="42" t="str">
        <f t="shared" si="10"/>
        <v>2022-08</v>
      </c>
    </row>
    <row r="168" spans="1:7" x14ac:dyDescent="0.25">
      <c r="A168" s="31">
        <v>44804</v>
      </c>
      <c r="B168" s="32">
        <v>37459.872436523401</v>
      </c>
      <c r="C168" s="33">
        <f t="shared" si="11"/>
        <v>-7.6092033216355048E-3</v>
      </c>
      <c r="D168" s="32">
        <f>MAX($B$2:B168)</f>
        <v>44948.645019531301</v>
      </c>
      <c r="E168" s="34">
        <f t="shared" si="8"/>
        <v>-0.16660730439713678</v>
      </c>
      <c r="F168" s="35">
        <f t="shared" si="9"/>
        <v>83.339269560286326</v>
      </c>
      <c r="G168" s="36" t="str">
        <f t="shared" si="10"/>
        <v>2022-08</v>
      </c>
    </row>
    <row r="169" spans="1:7" x14ac:dyDescent="0.25">
      <c r="A169" s="37">
        <v>44805</v>
      </c>
      <c r="B169" s="38">
        <v>37577.4169921875</v>
      </c>
      <c r="C169" s="39">
        <f t="shared" si="11"/>
        <v>3.1378792296552493E-3</v>
      </c>
      <c r="D169" s="38">
        <f>MAX($B$2:B169)</f>
        <v>44948.645019531301</v>
      </c>
      <c r="E169" s="40">
        <f t="shared" si="8"/>
        <v>-0.16399221876745829</v>
      </c>
      <c r="F169" s="41">
        <f t="shared" si="9"/>
        <v>83.600778123254173</v>
      </c>
      <c r="G169" s="42" t="str">
        <f t="shared" si="10"/>
        <v>2022-09</v>
      </c>
    </row>
    <row r="170" spans="1:7" x14ac:dyDescent="0.25">
      <c r="A170" s="31">
        <v>44806</v>
      </c>
      <c r="B170" s="32">
        <v>37181.185913085901</v>
      </c>
      <c r="C170" s="33">
        <f t="shared" si="11"/>
        <v>-1.0544393702844879E-2</v>
      </c>
      <c r="D170" s="32">
        <f>MAX($B$2:B170)</f>
        <v>44948.645019531301</v>
      </c>
      <c r="E170" s="34">
        <f t="shared" si="8"/>
        <v>-0.17280741395141608</v>
      </c>
      <c r="F170" s="35">
        <f t="shared" si="9"/>
        <v>82.719258604858396</v>
      </c>
      <c r="G170" s="36" t="str">
        <f t="shared" si="10"/>
        <v>2022-09</v>
      </c>
    </row>
    <row r="171" spans="1:7" x14ac:dyDescent="0.25">
      <c r="A171" s="37">
        <v>44810</v>
      </c>
      <c r="B171" s="38">
        <v>37040.8935546875</v>
      </c>
      <c r="C171" s="39">
        <f t="shared" si="11"/>
        <v>-3.7732082759905916E-3</v>
      </c>
      <c r="D171" s="38">
        <f>MAX($B$2:B171)</f>
        <v>44948.645019531301</v>
      </c>
      <c r="E171" s="40">
        <f t="shared" si="8"/>
        <v>-0.17592858386293264</v>
      </c>
      <c r="F171" s="41">
        <f t="shared" si="9"/>
        <v>82.407141613706742</v>
      </c>
      <c r="G171" s="42" t="str">
        <f t="shared" si="10"/>
        <v>2022-09</v>
      </c>
    </row>
    <row r="172" spans="1:7" x14ac:dyDescent="0.25">
      <c r="A172" s="31">
        <v>44811</v>
      </c>
      <c r="B172" s="32">
        <v>37706.332397460901</v>
      </c>
      <c r="C172" s="33">
        <f t="shared" si="11"/>
        <v>1.7964978133989673E-2</v>
      </c>
      <c r="D172" s="32">
        <f>MAX($B$2:B172)</f>
        <v>44948.645019531301</v>
      </c>
      <c r="E172" s="34">
        <f t="shared" si="8"/>
        <v>-0.16112415889118425</v>
      </c>
      <c r="F172" s="35">
        <f t="shared" si="9"/>
        <v>83.887584110881576</v>
      </c>
      <c r="G172" s="36" t="str">
        <f t="shared" si="10"/>
        <v>2022-09</v>
      </c>
    </row>
    <row r="173" spans="1:7" x14ac:dyDescent="0.25">
      <c r="A173" s="37">
        <v>44812</v>
      </c>
      <c r="B173" s="38">
        <v>37952.789306640603</v>
      </c>
      <c r="C173" s="39">
        <f t="shared" si="11"/>
        <v>6.5362206692978209E-3</v>
      </c>
      <c r="D173" s="38">
        <f>MAX($B$2:B173)</f>
        <v>44948.645019531301</v>
      </c>
      <c r="E173" s="40">
        <f t="shared" si="8"/>
        <v>-0.15564108127955412</v>
      </c>
      <c r="F173" s="41">
        <f t="shared" si="9"/>
        <v>84.435891872044593</v>
      </c>
      <c r="G173" s="42" t="str">
        <f t="shared" si="10"/>
        <v>2022-09</v>
      </c>
    </row>
    <row r="174" spans="1:7" x14ac:dyDescent="0.25">
      <c r="A174" s="31">
        <v>44813</v>
      </c>
      <c r="B174" s="32">
        <v>38542.391967773401</v>
      </c>
      <c r="C174" s="33">
        <f t="shared" si="11"/>
        <v>1.5535160179376728E-2</v>
      </c>
      <c r="D174" s="32">
        <f>MAX($B$2:B174)</f>
        <v>44948.645019531301</v>
      </c>
      <c r="E174" s="34">
        <f t="shared" si="8"/>
        <v>-0.14252383022834669</v>
      </c>
      <c r="F174" s="35">
        <f t="shared" si="9"/>
        <v>85.747616977165336</v>
      </c>
      <c r="G174" s="36" t="str">
        <f t="shared" si="10"/>
        <v>2022-09</v>
      </c>
    </row>
    <row r="175" spans="1:7" x14ac:dyDescent="0.25">
      <c r="A175" s="37">
        <v>44816</v>
      </c>
      <c r="B175" s="38">
        <v>38956.637573242202</v>
      </c>
      <c r="C175" s="39">
        <f t="shared" si="11"/>
        <v>1.0747791829193387E-2</v>
      </c>
      <c r="D175" s="38">
        <f>MAX($B$2:B175)</f>
        <v>44948.645019531301</v>
      </c>
      <c r="E175" s="40">
        <f t="shared" si="8"/>
        <v>-0.13330785485714691</v>
      </c>
      <c r="F175" s="41">
        <f t="shared" si="9"/>
        <v>86.669214514285315</v>
      </c>
      <c r="G175" s="42" t="str">
        <f t="shared" si="10"/>
        <v>2022-09</v>
      </c>
    </row>
    <row r="176" spans="1:7" x14ac:dyDescent="0.25">
      <c r="A176" s="31">
        <v>44817</v>
      </c>
      <c r="B176" s="32">
        <v>37262.704467773401</v>
      </c>
      <c r="C176" s="33">
        <f t="shared" si="11"/>
        <v>-4.3482528549442789E-2</v>
      </c>
      <c r="D176" s="32">
        <f>MAX($B$2:B176)</f>
        <v>44948.645019531301</v>
      </c>
      <c r="E176" s="34">
        <f t="shared" si="8"/>
        <v>-0.17099382080189884</v>
      </c>
      <c r="F176" s="35">
        <f t="shared" si="9"/>
        <v>82.900617919810117</v>
      </c>
      <c r="G176" s="36" t="str">
        <f t="shared" si="10"/>
        <v>2022-09</v>
      </c>
    </row>
    <row r="177" spans="1:7" x14ac:dyDescent="0.25">
      <c r="A177" s="37">
        <v>44818</v>
      </c>
      <c r="B177" s="38">
        <v>37404.898071289099</v>
      </c>
      <c r="C177" s="39">
        <f t="shared" si="11"/>
        <v>3.8159764715595124E-3</v>
      </c>
      <c r="D177" s="38">
        <f>MAX($B$2:B177)</f>
        <v>44948.645019531301</v>
      </c>
      <c r="E177" s="40">
        <f t="shared" si="8"/>
        <v>-0.16783035272730151</v>
      </c>
      <c r="F177" s="41">
        <f t="shared" si="9"/>
        <v>83.216964727269854</v>
      </c>
      <c r="G177" s="42" t="str">
        <f t="shared" si="10"/>
        <v>2022-09</v>
      </c>
    </row>
    <row r="178" spans="1:7" x14ac:dyDescent="0.25">
      <c r="A178" s="31">
        <v>44819</v>
      </c>
      <c r="B178" s="32">
        <v>36980.227661132798</v>
      </c>
      <c r="C178" s="33">
        <f t="shared" si="11"/>
        <v>-1.1353336917184764E-2</v>
      </c>
      <c r="D178" s="32">
        <f>MAX($B$2:B178)</f>
        <v>44948.645019531301</v>
      </c>
      <c r="E178" s="34">
        <f t="shared" si="8"/>
        <v>-0.17727825510504325</v>
      </c>
      <c r="F178" s="35">
        <f t="shared" si="9"/>
        <v>82.272174489495669</v>
      </c>
      <c r="G178" s="36" t="str">
        <f t="shared" si="10"/>
        <v>2022-09</v>
      </c>
    </row>
    <row r="179" spans="1:7" x14ac:dyDescent="0.25">
      <c r="A179" s="37">
        <v>44820</v>
      </c>
      <c r="B179" s="38">
        <v>36698.107910156301</v>
      </c>
      <c r="C179" s="39">
        <f t="shared" si="11"/>
        <v>-7.6289349422532515E-3</v>
      </c>
      <c r="D179" s="38">
        <f>MAX($B$2:B179)</f>
        <v>44948.645019531301</v>
      </c>
      <c r="E179" s="40">
        <f t="shared" si="8"/>
        <v>-0.18355474577242403</v>
      </c>
      <c r="F179" s="41">
        <f t="shared" si="9"/>
        <v>81.644525422757596</v>
      </c>
      <c r="G179" s="42" t="str">
        <f t="shared" si="10"/>
        <v>2022-09</v>
      </c>
    </row>
    <row r="180" spans="1:7" x14ac:dyDescent="0.25">
      <c r="A180" s="31">
        <v>44823</v>
      </c>
      <c r="B180" s="32">
        <v>36982.699584960901</v>
      </c>
      <c r="C180" s="33">
        <f t="shared" si="11"/>
        <v>7.7549413583211102E-3</v>
      </c>
      <c r="D180" s="32">
        <f>MAX($B$2:B180)</f>
        <v>44948.645019531301</v>
      </c>
      <c r="E180" s="34">
        <f t="shared" si="8"/>
        <v>-0.17722326070360961</v>
      </c>
      <c r="F180" s="35">
        <f t="shared" si="9"/>
        <v>82.277673929639036</v>
      </c>
      <c r="G180" s="36" t="str">
        <f t="shared" si="10"/>
        <v>2022-09</v>
      </c>
    </row>
    <row r="181" spans="1:7" x14ac:dyDescent="0.25">
      <c r="A181" s="37">
        <v>44824</v>
      </c>
      <c r="B181" s="38">
        <v>36558.193969726599</v>
      </c>
      <c r="C181" s="39">
        <f t="shared" si="11"/>
        <v>-1.1478491835326343E-2</v>
      </c>
      <c r="D181" s="38">
        <f>MAX($B$2:B181)</f>
        <v>44948.645019531301</v>
      </c>
      <c r="E181" s="40">
        <f t="shared" si="8"/>
        <v>-0.18666749678791972</v>
      </c>
      <c r="F181" s="41">
        <f t="shared" si="9"/>
        <v>81.333250321208027</v>
      </c>
      <c r="G181" s="42" t="str">
        <f t="shared" si="10"/>
        <v>2022-09</v>
      </c>
    </row>
    <row r="182" spans="1:7" x14ac:dyDescent="0.25">
      <c r="A182" s="31">
        <v>44825</v>
      </c>
      <c r="B182" s="32">
        <v>35920.480346679702</v>
      </c>
      <c r="C182" s="33">
        <f t="shared" si="11"/>
        <v>-1.7443794504044097E-2</v>
      </c>
      <c r="D182" s="32">
        <f>MAX($B$2:B182)</f>
        <v>44948.645019531301</v>
      </c>
      <c r="E182" s="34">
        <f t="shared" si="8"/>
        <v>-0.20085510183741107</v>
      </c>
      <c r="F182" s="35">
        <f t="shared" si="9"/>
        <v>79.914489816258893</v>
      </c>
      <c r="G182" s="36" t="str">
        <f t="shared" si="10"/>
        <v>2022-09</v>
      </c>
    </row>
    <row r="183" spans="1:7" x14ac:dyDescent="0.25">
      <c r="A183" s="37">
        <v>44826</v>
      </c>
      <c r="B183" s="38">
        <v>35618.753051757798</v>
      </c>
      <c r="C183" s="39">
        <f t="shared" si="11"/>
        <v>-8.399868042126446E-3</v>
      </c>
      <c r="D183" s="38">
        <f>MAX($B$2:B183)</f>
        <v>44948.645019531301</v>
      </c>
      <c r="E183" s="40">
        <f t="shared" si="8"/>
        <v>-0.20756781352851539</v>
      </c>
      <c r="F183" s="41">
        <f t="shared" si="9"/>
        <v>79.243218647148467</v>
      </c>
      <c r="G183" s="42" t="str">
        <f t="shared" si="10"/>
        <v>2022-09</v>
      </c>
    </row>
    <row r="184" spans="1:7" x14ac:dyDescent="0.25">
      <c r="A184" s="31">
        <v>44827</v>
      </c>
      <c r="B184" s="32">
        <v>35021.966552734397</v>
      </c>
      <c r="C184" s="33">
        <f t="shared" si="11"/>
        <v>-1.6754839737264438E-2</v>
      </c>
      <c r="D184" s="32">
        <f>MAX($B$2:B184)</f>
        <v>44948.645019531301</v>
      </c>
      <c r="E184" s="34">
        <f t="shared" si="8"/>
        <v>-0.22084488781549516</v>
      </c>
      <c r="F184" s="35">
        <f t="shared" si="9"/>
        <v>77.91551121845049</v>
      </c>
      <c r="G184" s="36" t="str">
        <f t="shared" si="10"/>
        <v>2022-09</v>
      </c>
    </row>
    <row r="185" spans="1:7" x14ac:dyDescent="0.25">
      <c r="A185" s="37">
        <v>44830</v>
      </c>
      <c r="B185" s="38">
        <v>34675.503540039099</v>
      </c>
      <c r="C185" s="39">
        <f t="shared" si="11"/>
        <v>-9.892734383536439E-3</v>
      </c>
      <c r="D185" s="38">
        <f>MAX($B$2:B185)</f>
        <v>44948.645019531301</v>
      </c>
      <c r="E185" s="40">
        <f t="shared" si="8"/>
        <v>-0.22855286238391093</v>
      </c>
      <c r="F185" s="41">
        <f t="shared" si="9"/>
        <v>77.144713761608912</v>
      </c>
      <c r="G185" s="42" t="str">
        <f t="shared" si="10"/>
        <v>2022-09</v>
      </c>
    </row>
    <row r="186" spans="1:7" x14ac:dyDescent="0.25">
      <c r="A186" s="31">
        <v>44831</v>
      </c>
      <c r="B186" s="32">
        <v>34586.9873046875</v>
      </c>
      <c r="C186" s="33">
        <f t="shared" si="11"/>
        <v>-2.5527022339961736E-3</v>
      </c>
      <c r="D186" s="32">
        <f>MAX($B$2:B186)</f>
        <v>44948.645019531301</v>
      </c>
      <c r="E186" s="34">
        <f t="shared" si="8"/>
        <v>-0.23052213721551351</v>
      </c>
      <c r="F186" s="35">
        <f t="shared" si="9"/>
        <v>76.947786278448646</v>
      </c>
      <c r="G186" s="36" t="str">
        <f t="shared" si="10"/>
        <v>2022-09</v>
      </c>
    </row>
    <row r="187" spans="1:7" x14ac:dyDescent="0.25">
      <c r="A187" s="37">
        <v>44832</v>
      </c>
      <c r="B187" s="38">
        <v>35267.535400390603</v>
      </c>
      <c r="C187" s="39">
        <f t="shared" si="11"/>
        <v>1.9676420201272249E-2</v>
      </c>
      <c r="D187" s="38">
        <f>MAX($B$2:B187)</f>
        <v>44948.645019531301</v>
      </c>
      <c r="E187" s="40">
        <f t="shared" si="8"/>
        <v>-0.21538156745178894</v>
      </c>
      <c r="F187" s="41">
        <f t="shared" si="9"/>
        <v>78.461843254821105</v>
      </c>
      <c r="G187" s="42" t="str">
        <f t="shared" si="10"/>
        <v>2022-09</v>
      </c>
    </row>
    <row r="188" spans="1:7" x14ac:dyDescent="0.25">
      <c r="A188" s="31">
        <v>44833</v>
      </c>
      <c r="B188" s="32">
        <v>34530.828857421897</v>
      </c>
      <c r="C188" s="33">
        <f t="shared" si="11"/>
        <v>-2.0889084950363346E-2</v>
      </c>
      <c r="D188" s="32">
        <f>MAX($B$2:B188)</f>
        <v>44948.645019531301</v>
      </c>
      <c r="E188" s="34">
        <f t="shared" si="8"/>
        <v>-0.2317715285429095</v>
      </c>
      <c r="F188" s="35">
        <f t="shared" si="9"/>
        <v>76.822847145709048</v>
      </c>
      <c r="G188" s="36" t="str">
        <f t="shared" si="10"/>
        <v>2022-09</v>
      </c>
    </row>
    <row r="189" spans="1:7" x14ac:dyDescent="0.25">
      <c r="A189" s="37">
        <v>44834</v>
      </c>
      <c r="B189" s="38">
        <v>33996.865844726599</v>
      </c>
      <c r="C189" s="39">
        <f t="shared" si="11"/>
        <v>-1.5463370859125192E-2</v>
      </c>
      <c r="D189" s="38">
        <f>MAX($B$2:B189)</f>
        <v>44948.645019531301</v>
      </c>
      <c r="E189" s="40">
        <f t="shared" si="8"/>
        <v>-0.24365093030158935</v>
      </c>
      <c r="F189" s="41">
        <f t="shared" si="9"/>
        <v>75.634906969841069</v>
      </c>
      <c r="G189" s="42" t="str">
        <f t="shared" si="10"/>
        <v>2022-09</v>
      </c>
    </row>
    <row r="190" spans="1:7" x14ac:dyDescent="0.25">
      <c r="A190" s="31">
        <v>44837</v>
      </c>
      <c r="B190" s="32">
        <v>34894.415283203103</v>
      </c>
      <c r="C190" s="33">
        <f t="shared" si="11"/>
        <v>2.6400946563011729E-2</v>
      </c>
      <c r="D190" s="32">
        <f>MAX($B$2:B190)</f>
        <v>44948.645019531301</v>
      </c>
      <c r="E190" s="34">
        <f t="shared" si="8"/>
        <v>-0.22368259892949804</v>
      </c>
      <c r="F190" s="35">
        <f t="shared" si="9"/>
        <v>77.631740107050192</v>
      </c>
      <c r="G190" s="36" t="str">
        <f t="shared" si="10"/>
        <v>2022-10</v>
      </c>
    </row>
    <row r="191" spans="1:7" x14ac:dyDescent="0.25">
      <c r="A191" s="37">
        <v>44838</v>
      </c>
      <c r="B191" s="38">
        <v>35975.686645507798</v>
      </c>
      <c r="C191" s="39">
        <f t="shared" si="11"/>
        <v>3.0986946006376526E-2</v>
      </c>
      <c r="D191" s="38">
        <f>MAX($B$2:B191)</f>
        <v>44948.645019531301</v>
      </c>
      <c r="E191" s="40">
        <f t="shared" si="8"/>
        <v>-0.19962689353871577</v>
      </c>
      <c r="F191" s="41">
        <f t="shared" si="9"/>
        <v>80.037310646128418</v>
      </c>
      <c r="G191" s="42" t="str">
        <f t="shared" si="10"/>
        <v>2022-10</v>
      </c>
    </row>
    <row r="192" spans="1:7" x14ac:dyDescent="0.25">
      <c r="A192" s="31">
        <v>44839</v>
      </c>
      <c r="B192" s="32">
        <v>35891.928100585901</v>
      </c>
      <c r="C192" s="33">
        <f t="shared" si="11"/>
        <v>-2.328198645580426E-3</v>
      </c>
      <c r="D192" s="32">
        <f>MAX($B$2:B192)</f>
        <v>44948.645019531301</v>
      </c>
      <c r="E192" s="34">
        <f t="shared" si="8"/>
        <v>-0.20149032112113796</v>
      </c>
      <c r="F192" s="35">
        <f t="shared" si="9"/>
        <v>79.850967887886199</v>
      </c>
      <c r="G192" s="36" t="str">
        <f t="shared" si="10"/>
        <v>2022-10</v>
      </c>
    </row>
    <row r="193" spans="1:7" x14ac:dyDescent="0.25">
      <c r="A193" s="37">
        <v>44840</v>
      </c>
      <c r="B193" s="38">
        <v>35521.667480468801</v>
      </c>
      <c r="C193" s="39">
        <f t="shared" si="11"/>
        <v>-1.0315985785981141E-2</v>
      </c>
      <c r="D193" s="38">
        <f>MAX($B$2:B193)</f>
        <v>44948.645019531301</v>
      </c>
      <c r="E193" s="40">
        <f t="shared" si="8"/>
        <v>-0.20972773561842062</v>
      </c>
      <c r="F193" s="41">
        <f t="shared" si="9"/>
        <v>79.027226438157939</v>
      </c>
      <c r="G193" s="42" t="str">
        <f t="shared" si="10"/>
        <v>2022-10</v>
      </c>
    </row>
    <row r="194" spans="1:7" x14ac:dyDescent="0.25">
      <c r="A194" s="31">
        <v>44841</v>
      </c>
      <c r="B194" s="32">
        <v>34530.828857421897</v>
      </c>
      <c r="C194" s="33">
        <f t="shared" si="11"/>
        <v>-2.7893922029186946E-2</v>
      </c>
      <c r="D194" s="32">
        <f>MAX($B$2:B194)</f>
        <v>44948.645019531301</v>
      </c>
      <c r="E194" s="34">
        <f t="shared" ref="E194:E257" si="12">B194/D194-1</f>
        <v>-0.2317715285429095</v>
      </c>
      <c r="F194" s="35">
        <f t="shared" ref="F194:F257" si="13">B194/$B$2*100</f>
        <v>76.822847145709048</v>
      </c>
      <c r="G194" s="36" t="str">
        <f t="shared" ref="G194:G257" si="14">TEXT(A194,"YYYY-MM")</f>
        <v>2022-10</v>
      </c>
    </row>
    <row r="195" spans="1:7" x14ac:dyDescent="0.25">
      <c r="A195" s="37">
        <v>44844</v>
      </c>
      <c r="B195" s="38">
        <v>34267.181396484397</v>
      </c>
      <c r="C195" s="39">
        <f t="shared" ref="C195:C258" si="15">B195/B194-1</f>
        <v>-7.6351327107178069E-3</v>
      </c>
      <c r="D195" s="38">
        <f>MAX($B$2:B195)</f>
        <v>44948.645019531301</v>
      </c>
      <c r="E195" s="40">
        <f t="shared" si="12"/>
        <v>-0.23763705487463627</v>
      </c>
      <c r="F195" s="41">
        <f t="shared" si="13"/>
        <v>76.236294512536375</v>
      </c>
      <c r="G195" s="42" t="str">
        <f t="shared" si="14"/>
        <v>2022-10</v>
      </c>
    </row>
    <row r="196" spans="1:7" x14ac:dyDescent="0.25">
      <c r="A196" s="31">
        <v>44845</v>
      </c>
      <c r="B196" s="32">
        <v>34050.161743164099</v>
      </c>
      <c r="C196" s="33">
        <f t="shared" si="15"/>
        <v>-6.3331632330450027E-3</v>
      </c>
      <c r="D196" s="32">
        <f>MAX($B$2:B196)</f>
        <v>44948.645019531301</v>
      </c>
      <c r="E196" s="34">
        <f t="shared" si="12"/>
        <v>-0.24246522384894009</v>
      </c>
      <c r="F196" s="35">
        <f t="shared" si="13"/>
        <v>75.753477615105993</v>
      </c>
      <c r="G196" s="36" t="str">
        <f t="shared" si="14"/>
        <v>2022-10</v>
      </c>
    </row>
    <row r="197" spans="1:7" x14ac:dyDescent="0.25">
      <c r="A197" s="37">
        <v>44846</v>
      </c>
      <c r="B197" s="38">
        <v>33937.844848632798</v>
      </c>
      <c r="C197" s="39">
        <f t="shared" si="15"/>
        <v>-3.2985715421410822E-3</v>
      </c>
      <c r="D197" s="38">
        <f>MAX($B$2:B197)</f>
        <v>44948.645019531301</v>
      </c>
      <c r="E197" s="40">
        <f t="shared" si="12"/>
        <v>-0.24496400650373418</v>
      </c>
      <c r="F197" s="41">
        <f t="shared" si="13"/>
        <v>75.503599349626583</v>
      </c>
      <c r="G197" s="42" t="str">
        <f t="shared" si="14"/>
        <v>2022-10</v>
      </c>
    </row>
    <row r="198" spans="1:7" x14ac:dyDescent="0.25">
      <c r="A198" s="31">
        <v>44847</v>
      </c>
      <c r="B198" s="32">
        <v>34833.508300781301</v>
      </c>
      <c r="C198" s="33">
        <f t="shared" si="15"/>
        <v>2.6391288431639515E-2</v>
      </c>
      <c r="D198" s="32">
        <f>MAX($B$2:B198)</f>
        <v>44948.645019531301</v>
      </c>
      <c r="E198" s="34">
        <f t="shared" si="12"/>
        <v>-0.2250376338231046</v>
      </c>
      <c r="F198" s="35">
        <f t="shared" si="13"/>
        <v>77.496236617689533</v>
      </c>
      <c r="G198" s="36" t="str">
        <f t="shared" si="14"/>
        <v>2022-10</v>
      </c>
    </row>
    <row r="199" spans="1:7" x14ac:dyDescent="0.25">
      <c r="A199" s="37">
        <v>44848</v>
      </c>
      <c r="B199" s="38">
        <v>34039.694213867202</v>
      </c>
      <c r="C199" s="39">
        <f t="shared" si="15"/>
        <v>-2.2788806687504826E-2</v>
      </c>
      <c r="D199" s="38">
        <f>MAX($B$2:B199)</f>
        <v>44948.645019531301</v>
      </c>
      <c r="E199" s="40">
        <f t="shared" si="12"/>
        <v>-0.24269810137600123</v>
      </c>
      <c r="F199" s="41">
        <f t="shared" si="13"/>
        <v>75.730189862399882</v>
      </c>
      <c r="G199" s="42" t="str">
        <f t="shared" si="14"/>
        <v>2022-10</v>
      </c>
    </row>
    <row r="200" spans="1:7" x14ac:dyDescent="0.25">
      <c r="A200" s="31">
        <v>44851</v>
      </c>
      <c r="B200" s="32">
        <v>34914.410400390603</v>
      </c>
      <c r="C200" s="33">
        <f t="shared" si="15"/>
        <v>2.5696946072067073E-2</v>
      </c>
      <c r="D200" s="32">
        <f>MAX($B$2:B200)</f>
        <v>44948.645019531301</v>
      </c>
      <c r="E200" s="34">
        <f t="shared" si="12"/>
        <v>-0.22323775532678625</v>
      </c>
      <c r="F200" s="35">
        <f t="shared" si="13"/>
        <v>77.676224467321376</v>
      </c>
      <c r="G200" s="36" t="str">
        <f t="shared" si="14"/>
        <v>2022-10</v>
      </c>
    </row>
    <row r="201" spans="1:7" x14ac:dyDescent="0.25">
      <c r="A201" s="37">
        <v>44852</v>
      </c>
      <c r="B201" s="38">
        <v>35324.642944335901</v>
      </c>
      <c r="C201" s="39">
        <f t="shared" si="15"/>
        <v>1.1749662653352644E-2</v>
      </c>
      <c r="D201" s="38">
        <f>MAX($B$2:B201)</f>
        <v>44948.645019531301</v>
      </c>
      <c r="E201" s="40">
        <f t="shared" si="12"/>
        <v>-0.21411106099001498</v>
      </c>
      <c r="F201" s="41">
        <f t="shared" si="13"/>
        <v>78.588893900998499</v>
      </c>
      <c r="G201" s="42" t="str">
        <f t="shared" si="14"/>
        <v>2022-10</v>
      </c>
    </row>
    <row r="202" spans="1:7" x14ac:dyDescent="0.25">
      <c r="A202" s="31">
        <v>44853</v>
      </c>
      <c r="B202" s="32">
        <v>35074.313354492202</v>
      </c>
      <c r="C202" s="33">
        <f t="shared" si="15"/>
        <v>-7.0865426789498143E-3</v>
      </c>
      <c r="D202" s="32">
        <f>MAX($B$2:B202)</f>
        <v>44948.645019531301</v>
      </c>
      <c r="E202" s="34">
        <f t="shared" si="12"/>
        <v>-0.21968029649722387</v>
      </c>
      <c r="F202" s="35">
        <f t="shared" si="13"/>
        <v>78.031970350277618</v>
      </c>
      <c r="G202" s="36" t="str">
        <f t="shared" si="14"/>
        <v>2022-10</v>
      </c>
    </row>
    <row r="203" spans="1:7" x14ac:dyDescent="0.25">
      <c r="A203" s="37">
        <v>44854</v>
      </c>
      <c r="B203" s="38">
        <v>34780.209350585901</v>
      </c>
      <c r="C203" s="39">
        <f t="shared" si="15"/>
        <v>-8.385167827344886E-3</v>
      </c>
      <c r="D203" s="38">
        <f>MAX($B$2:B203)</f>
        <v>44948.645019531301</v>
      </c>
      <c r="E203" s="40">
        <f t="shared" si="12"/>
        <v>-0.22622340817007858</v>
      </c>
      <c r="F203" s="41">
        <f t="shared" si="13"/>
        <v>77.377659182992147</v>
      </c>
      <c r="G203" s="42" t="str">
        <f t="shared" si="14"/>
        <v>2022-10</v>
      </c>
    </row>
    <row r="204" spans="1:7" x14ac:dyDescent="0.25">
      <c r="A204" s="31">
        <v>44855</v>
      </c>
      <c r="B204" s="32">
        <v>35625.4150390625</v>
      </c>
      <c r="C204" s="33">
        <f t="shared" si="15"/>
        <v>2.4301339878575634E-2</v>
      </c>
      <c r="D204" s="32">
        <f>MAX($B$2:B204)</f>
        <v>44948.645019531301</v>
      </c>
      <c r="E204" s="34">
        <f t="shared" si="12"/>
        <v>-0.20741960022193384</v>
      </c>
      <c r="F204" s="35">
        <f t="shared" si="13"/>
        <v>79.258039977806618</v>
      </c>
      <c r="G204" s="36" t="str">
        <f t="shared" si="14"/>
        <v>2022-10</v>
      </c>
    </row>
    <row r="205" spans="1:7" x14ac:dyDescent="0.25">
      <c r="A205" s="37">
        <v>44858</v>
      </c>
      <c r="B205" s="38">
        <v>36061.343383789099</v>
      </c>
      <c r="C205" s="39">
        <f t="shared" si="15"/>
        <v>1.2236442557893357E-2</v>
      </c>
      <c r="D205" s="38">
        <f>MAX($B$2:B205)</f>
        <v>44948.645019531301</v>
      </c>
      <c r="E205" s="40">
        <f t="shared" si="12"/>
        <v>-0.19772123568753741</v>
      </c>
      <c r="F205" s="41">
        <f t="shared" si="13"/>
        <v>80.227876431246258</v>
      </c>
      <c r="G205" s="42" t="str">
        <f t="shared" si="14"/>
        <v>2022-10</v>
      </c>
    </row>
    <row r="206" spans="1:7" x14ac:dyDescent="0.25">
      <c r="A206" s="31">
        <v>44859</v>
      </c>
      <c r="B206" s="32">
        <v>36637.194824218801</v>
      </c>
      <c r="C206" s="33">
        <f t="shared" si="15"/>
        <v>1.596866301682387E-2</v>
      </c>
      <c r="D206" s="32">
        <f>MAX($B$2:B206)</f>
        <v>44948.645019531301</v>
      </c>
      <c r="E206" s="34">
        <f t="shared" si="12"/>
        <v>-0.1849099164546778</v>
      </c>
      <c r="F206" s="35">
        <f t="shared" si="13"/>
        <v>81.509008354532213</v>
      </c>
      <c r="G206" s="36" t="str">
        <f t="shared" si="14"/>
        <v>2022-10</v>
      </c>
    </row>
    <row r="207" spans="1:7" x14ac:dyDescent="0.25">
      <c r="A207" s="37">
        <v>44860</v>
      </c>
      <c r="B207" s="38">
        <v>36361.163330078103</v>
      </c>
      <c r="C207" s="39">
        <f t="shared" si="15"/>
        <v>-7.5341874689114352E-3</v>
      </c>
      <c r="D207" s="38">
        <f>MAX($B$2:B207)</f>
        <v>44948.645019531301</v>
      </c>
      <c r="E207" s="40">
        <f t="shared" si="12"/>
        <v>-0.19105095794815896</v>
      </c>
      <c r="F207" s="41">
        <f t="shared" si="13"/>
        <v>80.894904205184105</v>
      </c>
      <c r="G207" s="42" t="str">
        <f t="shared" si="14"/>
        <v>2022-10</v>
      </c>
    </row>
    <row r="208" spans="1:7" x14ac:dyDescent="0.25">
      <c r="A208" s="31">
        <v>44861</v>
      </c>
      <c r="B208" s="32">
        <v>36166.998291015603</v>
      </c>
      <c r="C208" s="33">
        <f t="shared" si="15"/>
        <v>-5.3399017325137521E-3</v>
      </c>
      <c r="D208" s="32">
        <f>MAX($B$2:B208)</f>
        <v>44948.645019531301</v>
      </c>
      <c r="E208" s="34">
        <f t="shared" si="12"/>
        <v>-0.19537066633932687</v>
      </c>
      <c r="F208" s="35">
        <f t="shared" si="13"/>
        <v>80.462933366067318</v>
      </c>
      <c r="G208" s="36" t="str">
        <f t="shared" si="14"/>
        <v>2022-10</v>
      </c>
    </row>
    <row r="209" spans="1:7" x14ac:dyDescent="0.25">
      <c r="A209" s="37">
        <v>44862</v>
      </c>
      <c r="B209" s="38">
        <v>37027.435302734397</v>
      </c>
      <c r="C209" s="39">
        <f t="shared" si="15"/>
        <v>2.37906669720096E-2</v>
      </c>
      <c r="D209" s="38">
        <f>MAX($B$2:B209)</f>
        <v>44948.645019531301</v>
      </c>
      <c r="E209" s="40">
        <f t="shared" si="12"/>
        <v>-0.17622799782629583</v>
      </c>
      <c r="F209" s="41">
        <f t="shared" si="13"/>
        <v>82.377200217370415</v>
      </c>
      <c r="G209" s="42" t="str">
        <f t="shared" si="14"/>
        <v>2022-10</v>
      </c>
    </row>
    <row r="210" spans="1:7" x14ac:dyDescent="0.25">
      <c r="A210" s="31">
        <v>44865</v>
      </c>
      <c r="B210" s="32">
        <v>36759.973144531301</v>
      </c>
      <c r="C210" s="33">
        <f t="shared" si="15"/>
        <v>-7.2233509022793241E-3</v>
      </c>
      <c r="D210" s="32">
        <f>MAX($B$2:B210)</f>
        <v>44948.645019531301</v>
      </c>
      <c r="E210" s="34">
        <f t="shared" si="12"/>
        <v>-0.18217839206146969</v>
      </c>
      <c r="F210" s="35">
        <f t="shared" si="13"/>
        <v>81.782160793853038</v>
      </c>
      <c r="G210" s="36" t="str">
        <f t="shared" si="14"/>
        <v>2022-10</v>
      </c>
    </row>
    <row r="211" spans="1:7" x14ac:dyDescent="0.25">
      <c r="A211" s="37">
        <v>44866</v>
      </c>
      <c r="B211" s="38">
        <v>36599.124145507798</v>
      </c>
      <c r="C211" s="39">
        <f t="shared" si="15"/>
        <v>-4.3756560536941658E-3</v>
      </c>
      <c r="D211" s="38">
        <f>MAX($B$2:B211)</f>
        <v>44948.645019531301</v>
      </c>
      <c r="E211" s="40">
        <f t="shared" si="12"/>
        <v>-0.18575689813108776</v>
      </c>
      <c r="F211" s="41">
        <f t="shared" si="13"/>
        <v>81.424310186891219</v>
      </c>
      <c r="G211" s="42" t="str">
        <f t="shared" si="14"/>
        <v>2022-11</v>
      </c>
    </row>
    <row r="212" spans="1:7" x14ac:dyDescent="0.25">
      <c r="A212" s="31">
        <v>44867</v>
      </c>
      <c r="B212" s="32">
        <v>35680.618286132798</v>
      </c>
      <c r="C212" s="33">
        <f t="shared" si="15"/>
        <v>-2.5096389075412784E-2</v>
      </c>
      <c r="D212" s="32">
        <f>MAX($B$2:B212)</f>
        <v>44948.645019531301</v>
      </c>
      <c r="E212" s="34">
        <f t="shared" si="12"/>
        <v>-0.20619145981756104</v>
      </c>
      <c r="F212" s="35">
        <f t="shared" si="13"/>
        <v>79.380854018243895</v>
      </c>
      <c r="G212" s="36" t="str">
        <f t="shared" si="14"/>
        <v>2022-11</v>
      </c>
    </row>
    <row r="213" spans="1:7" x14ac:dyDescent="0.25">
      <c r="A213" s="37">
        <v>44868</v>
      </c>
      <c r="B213" s="38">
        <v>35313.220214843801</v>
      </c>
      <c r="C213" s="39">
        <f t="shared" si="15"/>
        <v>-1.0296852715463878E-2</v>
      </c>
      <c r="D213" s="38">
        <f>MAX($B$2:B213)</f>
        <v>44948.645019531301</v>
      </c>
      <c r="E213" s="40">
        <f t="shared" si="12"/>
        <v>-0.21436518944009697</v>
      </c>
      <c r="F213" s="41">
        <f t="shared" si="13"/>
        <v>78.563481055990309</v>
      </c>
      <c r="G213" s="42" t="str">
        <f t="shared" si="14"/>
        <v>2022-11</v>
      </c>
    </row>
    <row r="214" spans="1:7" x14ac:dyDescent="0.25">
      <c r="A214" s="31">
        <v>44869</v>
      </c>
      <c r="B214" s="32">
        <v>35821.493530273401</v>
      </c>
      <c r="C214" s="33">
        <f t="shared" si="15"/>
        <v>1.4393287056158943E-2</v>
      </c>
      <c r="D214" s="32">
        <f>MAX($B$2:B214)</f>
        <v>44948.645019531301</v>
      </c>
      <c r="E214" s="34">
        <f t="shared" si="12"/>
        <v>-0.20305732209039729</v>
      </c>
      <c r="F214" s="35">
        <f t="shared" si="13"/>
        <v>79.694267790960268</v>
      </c>
      <c r="G214" s="36" t="str">
        <f t="shared" si="14"/>
        <v>2022-11</v>
      </c>
    </row>
    <row r="215" spans="1:7" x14ac:dyDescent="0.25">
      <c r="A215" s="37">
        <v>44872</v>
      </c>
      <c r="B215" s="38">
        <v>36164.141845703103</v>
      </c>
      <c r="C215" s="39">
        <f t="shared" si="15"/>
        <v>9.5654391166053454E-3</v>
      </c>
      <c r="D215" s="38">
        <f>MAX($B$2:B215)</f>
        <v>44948.645019531301</v>
      </c>
      <c r="E215" s="40">
        <f t="shared" si="12"/>
        <v>-0.1954342154254286</v>
      </c>
      <c r="F215" s="41">
        <f t="shared" si="13"/>
        <v>80.456578457457141</v>
      </c>
      <c r="G215" s="42" t="str">
        <f t="shared" si="14"/>
        <v>2022-11</v>
      </c>
    </row>
    <row r="216" spans="1:7" x14ac:dyDescent="0.25">
      <c r="A216" s="31">
        <v>44873</v>
      </c>
      <c r="B216" s="32">
        <v>36359.255981445298</v>
      </c>
      <c r="C216" s="33">
        <f t="shared" si="15"/>
        <v>5.3952375415033949E-3</v>
      </c>
      <c r="D216" s="32">
        <f>MAX($B$2:B216)</f>
        <v>44948.645019531301</v>
      </c>
      <c r="E216" s="34">
        <f t="shared" si="12"/>
        <v>-0.19109339189988261</v>
      </c>
      <c r="F216" s="35">
        <f t="shared" si="13"/>
        <v>80.890660810011738</v>
      </c>
      <c r="G216" s="36" t="str">
        <f t="shared" si="14"/>
        <v>2022-11</v>
      </c>
    </row>
    <row r="217" spans="1:7" x14ac:dyDescent="0.25">
      <c r="A217" s="37">
        <v>44874</v>
      </c>
      <c r="B217" s="38">
        <v>35610.186767578103</v>
      </c>
      <c r="C217" s="39">
        <f t="shared" si="15"/>
        <v>-2.0601885094938543E-2</v>
      </c>
      <c r="D217" s="38">
        <f>MAX($B$2:B217)</f>
        <v>44948.645019531301</v>
      </c>
      <c r="E217" s="40">
        <f t="shared" si="12"/>
        <v>-0.20775839289249776</v>
      </c>
      <c r="F217" s="41">
        <f t="shared" si="13"/>
        <v>79.224160710750226</v>
      </c>
      <c r="G217" s="42" t="str">
        <f t="shared" si="14"/>
        <v>2022-11</v>
      </c>
    </row>
    <row r="218" spans="1:7" x14ac:dyDescent="0.25">
      <c r="A218" s="31">
        <v>44875</v>
      </c>
      <c r="B218" s="32">
        <v>37567.108154296897</v>
      </c>
      <c r="C218" s="33">
        <f t="shared" si="15"/>
        <v>5.4953977059746917E-2</v>
      </c>
      <c r="D218" s="32">
        <f>MAX($B$2:B218)</f>
        <v>44948.645019531301</v>
      </c>
      <c r="E218" s="34">
        <f t="shared" si="12"/>
        <v>-0.16422156578973501</v>
      </c>
      <c r="F218" s="35">
        <f t="shared" si="13"/>
        <v>83.5778434210265</v>
      </c>
      <c r="G218" s="36" t="str">
        <f t="shared" si="14"/>
        <v>2022-11</v>
      </c>
    </row>
    <row r="219" spans="1:7" x14ac:dyDescent="0.25">
      <c r="A219" s="37">
        <v>44876</v>
      </c>
      <c r="B219" s="38">
        <v>37930.709838867202</v>
      </c>
      <c r="C219" s="39">
        <f t="shared" si="15"/>
        <v>9.6787243531470946E-3</v>
      </c>
      <c r="D219" s="38">
        <f>MAX($B$2:B219)</f>
        <v>44948.645019531301</v>
      </c>
      <c r="E219" s="40">
        <f t="shared" si="12"/>
        <v>-0.15613229670470896</v>
      </c>
      <c r="F219" s="41">
        <f t="shared" si="13"/>
        <v>84.386770329529099</v>
      </c>
      <c r="G219" s="42" t="str">
        <f t="shared" si="14"/>
        <v>2022-11</v>
      </c>
    </row>
    <row r="220" spans="1:7" x14ac:dyDescent="0.25">
      <c r="A220" s="31">
        <v>44879</v>
      </c>
      <c r="B220" s="32">
        <v>37608.047485351599</v>
      </c>
      <c r="C220" s="33">
        <f t="shared" si="15"/>
        <v>-8.506625762773723E-3</v>
      </c>
      <c r="D220" s="32">
        <f>MAX($B$2:B220)</f>
        <v>44948.645019531301</v>
      </c>
      <c r="E220" s="34">
        <f t="shared" si="12"/>
        <v>-0.16331076344993334</v>
      </c>
      <c r="F220" s="35">
        <f t="shared" si="13"/>
        <v>83.668923655006665</v>
      </c>
      <c r="G220" s="36" t="str">
        <f t="shared" si="14"/>
        <v>2022-11</v>
      </c>
    </row>
    <row r="221" spans="1:7" x14ac:dyDescent="0.25">
      <c r="A221" s="37">
        <v>44880</v>
      </c>
      <c r="B221" s="38">
        <v>37928.799438476599</v>
      </c>
      <c r="C221" s="39">
        <f t="shared" si="15"/>
        <v>8.5288116393156255E-3</v>
      </c>
      <c r="D221" s="38">
        <f>MAX($B$2:B221)</f>
        <v>44948.645019531301</v>
      </c>
      <c r="E221" s="40">
        <f t="shared" si="12"/>
        <v>-0.15617479855075511</v>
      </c>
      <c r="F221" s="41">
        <f t="shared" si="13"/>
        <v>84.382520144924484</v>
      </c>
      <c r="G221" s="42" t="str">
        <f t="shared" si="14"/>
        <v>2022-11</v>
      </c>
    </row>
    <row r="222" spans="1:7" x14ac:dyDescent="0.25">
      <c r="A222" s="31">
        <v>44881</v>
      </c>
      <c r="B222" s="32">
        <v>37639.456176757798</v>
      </c>
      <c r="C222" s="33">
        <f t="shared" si="15"/>
        <v>-7.6285900424594155E-3</v>
      </c>
      <c r="D222" s="32">
        <f>MAX($B$2:B222)</f>
        <v>44948.645019531301</v>
      </c>
      <c r="E222" s="34">
        <f t="shared" si="12"/>
        <v>-0.16261199508010704</v>
      </c>
      <c r="F222" s="35">
        <f t="shared" si="13"/>
        <v>83.738800491989295</v>
      </c>
      <c r="G222" s="36" t="str">
        <f t="shared" si="14"/>
        <v>2022-11</v>
      </c>
    </row>
    <row r="223" spans="1:7" x14ac:dyDescent="0.25">
      <c r="A223" s="37">
        <v>44882</v>
      </c>
      <c r="B223" s="38">
        <v>37524.279785156301</v>
      </c>
      <c r="C223" s="39">
        <f t="shared" si="15"/>
        <v>-3.0599908527003672E-3</v>
      </c>
      <c r="D223" s="38">
        <f>MAX($B$2:B223)</f>
        <v>44948.645019531301</v>
      </c>
      <c r="E223" s="40">
        <f t="shared" si="12"/>
        <v>-0.16517439471532303</v>
      </c>
      <c r="F223" s="41">
        <f t="shared" si="13"/>
        <v>83.482560528467701</v>
      </c>
      <c r="G223" s="42" t="str">
        <f t="shared" si="14"/>
        <v>2022-11</v>
      </c>
    </row>
    <row r="224" spans="1:7" x14ac:dyDescent="0.25">
      <c r="A224" s="31">
        <v>44883</v>
      </c>
      <c r="B224" s="32">
        <v>37694.662475585901</v>
      </c>
      <c r="C224" s="33">
        <f t="shared" si="15"/>
        <v>4.5405985512612101E-3</v>
      </c>
      <c r="D224" s="32">
        <f>MAX($B$2:B224)</f>
        <v>44948.645019531301</v>
      </c>
      <c r="E224" s="34">
        <f t="shared" si="12"/>
        <v>-0.16138378678141163</v>
      </c>
      <c r="F224" s="35">
        <f t="shared" si="13"/>
        <v>83.861621321858834</v>
      </c>
      <c r="G224" s="36" t="str">
        <f t="shared" si="14"/>
        <v>2022-11</v>
      </c>
    </row>
    <row r="225" spans="1:7" x14ac:dyDescent="0.25">
      <c r="A225" s="37">
        <v>44886</v>
      </c>
      <c r="B225" s="38">
        <v>37557.595825195298</v>
      </c>
      <c r="C225" s="39">
        <f t="shared" si="15"/>
        <v>-3.6362349836499552E-3</v>
      </c>
      <c r="D225" s="38">
        <f>MAX($B$2:B225)</f>
        <v>44948.645019531301</v>
      </c>
      <c r="E225" s="40">
        <f t="shared" si="12"/>
        <v>-0.16443319239377319</v>
      </c>
      <c r="F225" s="41">
        <f t="shared" si="13"/>
        <v>83.556680760622683</v>
      </c>
      <c r="G225" s="42" t="str">
        <f t="shared" si="14"/>
        <v>2022-11</v>
      </c>
    </row>
    <row r="226" spans="1:7" x14ac:dyDescent="0.25">
      <c r="A226" s="31">
        <v>44887</v>
      </c>
      <c r="B226" s="32">
        <v>38063.009643554702</v>
      </c>
      <c r="C226" s="33">
        <f t="shared" si="15"/>
        <v>1.345703331788739E-2</v>
      </c>
      <c r="D226" s="32">
        <f>MAX($B$2:B226)</f>
        <v>44948.645019531301</v>
      </c>
      <c r="E226" s="34">
        <f t="shared" si="12"/>
        <v>-0.15318894202449529</v>
      </c>
      <c r="F226" s="35">
        <f t="shared" si="13"/>
        <v>84.681105797550472</v>
      </c>
      <c r="G226" s="36" t="str">
        <f t="shared" si="14"/>
        <v>2022-11</v>
      </c>
    </row>
    <row r="227" spans="1:7" x14ac:dyDescent="0.25">
      <c r="A227" s="37">
        <v>44888</v>
      </c>
      <c r="B227" s="38">
        <v>38302.859497070298</v>
      </c>
      <c r="C227" s="39">
        <f t="shared" si="15"/>
        <v>6.3013896105876821E-3</v>
      </c>
      <c r="D227" s="38">
        <f>MAX($B$2:B227)</f>
        <v>44948.645019531301</v>
      </c>
      <c r="E227" s="40">
        <f t="shared" si="12"/>
        <v>-0.14785285562163764</v>
      </c>
      <c r="F227" s="41">
        <f t="shared" si="13"/>
        <v>85.214714437836236</v>
      </c>
      <c r="G227" s="42" t="str">
        <f t="shared" si="14"/>
        <v>2022-11</v>
      </c>
    </row>
    <row r="228" spans="1:7" x14ac:dyDescent="0.25">
      <c r="A228" s="31">
        <v>44890</v>
      </c>
      <c r="B228" s="32">
        <v>38294.296264648401</v>
      </c>
      <c r="C228" s="33">
        <f t="shared" si="15"/>
        <v>-2.2356640037679565E-4</v>
      </c>
      <c r="D228" s="32">
        <f>MAX($B$2:B228)</f>
        <v>44948.645019531301</v>
      </c>
      <c r="E228" s="34">
        <f t="shared" si="12"/>
        <v>-0.14804336709129762</v>
      </c>
      <c r="F228" s="35">
        <f t="shared" si="13"/>
        <v>85.195663290870243</v>
      </c>
      <c r="G228" s="36" t="str">
        <f t="shared" si="14"/>
        <v>2022-11</v>
      </c>
    </row>
    <row r="229" spans="1:7" x14ac:dyDescent="0.25">
      <c r="A229" s="37">
        <v>44893</v>
      </c>
      <c r="B229" s="38">
        <v>37683.242797851599</v>
      </c>
      <c r="C229" s="39">
        <f t="shared" si="15"/>
        <v>-1.5956774935198426E-2</v>
      </c>
      <c r="D229" s="38">
        <f>MAX($B$2:B229)</f>
        <v>44948.645019531301</v>
      </c>
      <c r="E229" s="40">
        <f t="shared" si="12"/>
        <v>-0.16163784733717124</v>
      </c>
      <c r="F229" s="41">
        <f t="shared" si="13"/>
        <v>83.836215266282878</v>
      </c>
      <c r="G229" s="42" t="str">
        <f t="shared" si="14"/>
        <v>2022-11</v>
      </c>
    </row>
    <row r="230" spans="1:7" x14ac:dyDescent="0.25">
      <c r="A230" s="31">
        <v>44894</v>
      </c>
      <c r="B230" s="32">
        <v>37618.518066406301</v>
      </c>
      <c r="C230" s="33">
        <f t="shared" si="15"/>
        <v>-1.7175998305800633E-3</v>
      </c>
      <c r="D230" s="32">
        <f>MAX($B$2:B230)</f>
        <v>44948.645019531301</v>
      </c>
      <c r="E230" s="34">
        <f t="shared" si="12"/>
        <v>-0.1630778180285497</v>
      </c>
      <c r="F230" s="35">
        <f t="shared" si="13"/>
        <v>83.692218197145024</v>
      </c>
      <c r="G230" s="36" t="str">
        <f t="shared" si="14"/>
        <v>2022-11</v>
      </c>
    </row>
    <row r="231" spans="1:7" x14ac:dyDescent="0.25">
      <c r="A231" s="37">
        <v>44895</v>
      </c>
      <c r="B231" s="38">
        <v>38803.518676757798</v>
      </c>
      <c r="C231" s="39">
        <f t="shared" si="15"/>
        <v>3.1500459647550993E-2</v>
      </c>
      <c r="D231" s="38">
        <f>MAX($B$2:B231)</f>
        <v>44948.645019531301</v>
      </c>
      <c r="E231" s="40">
        <f t="shared" si="12"/>
        <v>-0.13671438460721774</v>
      </c>
      <c r="F231" s="41">
        <f t="shared" si="13"/>
        <v>86.328561539278226</v>
      </c>
      <c r="G231" s="42" t="str">
        <f t="shared" si="14"/>
        <v>2022-11</v>
      </c>
    </row>
    <row r="232" spans="1:7" x14ac:dyDescent="0.25">
      <c r="A232" s="31">
        <v>44896</v>
      </c>
      <c r="B232" s="32">
        <v>38774.969482421897</v>
      </c>
      <c r="C232" s="33">
        <f t="shared" si="15"/>
        <v>-7.3573725552367186E-4</v>
      </c>
      <c r="D232" s="32">
        <f>MAX($B$2:B232)</f>
        <v>44948.645019531301</v>
      </c>
      <c r="E232" s="34">
        <f t="shared" si="12"/>
        <v>-0.13734953599661992</v>
      </c>
      <c r="F232" s="35">
        <f t="shared" si="13"/>
        <v>86.265046400338008</v>
      </c>
      <c r="G232" s="36" t="str">
        <f t="shared" si="14"/>
        <v>2022-12</v>
      </c>
    </row>
    <row r="233" spans="1:7" x14ac:dyDescent="0.25">
      <c r="A233" s="37">
        <v>44897</v>
      </c>
      <c r="B233" s="38">
        <v>38730.227661132798</v>
      </c>
      <c r="C233" s="39">
        <f t="shared" si="15"/>
        <v>-1.1538841135486644E-3</v>
      </c>
      <c r="D233" s="38">
        <f>MAX($B$2:B233)</f>
        <v>44948.645019531301</v>
      </c>
      <c r="E233" s="40">
        <f t="shared" si="12"/>
        <v>-0.13834493466257869</v>
      </c>
      <c r="F233" s="41">
        <f t="shared" si="13"/>
        <v>86.165506533742132</v>
      </c>
      <c r="G233" s="42" t="str">
        <f t="shared" si="14"/>
        <v>2022-12</v>
      </c>
    </row>
    <row r="234" spans="1:7" x14ac:dyDescent="0.25">
      <c r="A234" s="31">
        <v>44900</v>
      </c>
      <c r="B234" s="32">
        <v>38033.505249023401</v>
      </c>
      <c r="C234" s="33">
        <f t="shared" si="15"/>
        <v>-1.7989112230511917E-2</v>
      </c>
      <c r="D234" s="32">
        <f>MAX($B$2:B234)</f>
        <v>44948.645019531301</v>
      </c>
      <c r="E234" s="34">
        <f t="shared" si="12"/>
        <v>-0.15384534433692276</v>
      </c>
      <c r="F234" s="35">
        <f t="shared" si="13"/>
        <v>84.615465566307719</v>
      </c>
      <c r="G234" s="36" t="str">
        <f t="shared" si="14"/>
        <v>2022-12</v>
      </c>
    </row>
    <row r="235" spans="1:7" x14ac:dyDescent="0.25">
      <c r="A235" s="37">
        <v>44901</v>
      </c>
      <c r="B235" s="38">
        <v>37485.256958007798</v>
      </c>
      <c r="C235" s="39">
        <f t="shared" si="15"/>
        <v>-1.4414876762632312E-2</v>
      </c>
      <c r="D235" s="38">
        <f>MAX($B$2:B235)</f>
        <v>44948.645019531301</v>
      </c>
      <c r="E235" s="40">
        <f t="shared" si="12"/>
        <v>-0.16604255942043356</v>
      </c>
      <c r="F235" s="41">
        <f t="shared" si="13"/>
        <v>83.395744057956648</v>
      </c>
      <c r="G235" s="42" t="str">
        <f t="shared" si="14"/>
        <v>2022-12</v>
      </c>
    </row>
    <row r="236" spans="1:7" x14ac:dyDescent="0.25">
      <c r="A236" s="31">
        <v>44902</v>
      </c>
      <c r="B236" s="32">
        <v>37421.484375</v>
      </c>
      <c r="C236" s="33">
        <f t="shared" si="15"/>
        <v>-1.7012710644944695E-3</v>
      </c>
      <c r="D236" s="32">
        <f>MAX($B$2:B236)</f>
        <v>44948.645019531301</v>
      </c>
      <c r="E236" s="34">
        <f t="shared" si="12"/>
        <v>-0.16746134708311144</v>
      </c>
      <c r="F236" s="35">
        <f t="shared" si="13"/>
        <v>83.253865291688854</v>
      </c>
      <c r="G236" s="36" t="str">
        <f t="shared" si="14"/>
        <v>2022-12</v>
      </c>
    </row>
    <row r="237" spans="1:7" x14ac:dyDescent="0.25">
      <c r="A237" s="37">
        <v>44903</v>
      </c>
      <c r="B237" s="38">
        <v>37714.642333984397</v>
      </c>
      <c r="C237" s="39">
        <f t="shared" si="15"/>
        <v>7.833947901335625E-3</v>
      </c>
      <c r="D237" s="38">
        <f>MAX($B$2:B237)</f>
        <v>44948.645019531301</v>
      </c>
      <c r="E237" s="40">
        <f t="shared" si="12"/>
        <v>-0.16093928265031243</v>
      </c>
      <c r="F237" s="41">
        <f t="shared" si="13"/>
        <v>83.906071734968762</v>
      </c>
      <c r="G237" s="42" t="str">
        <f t="shared" si="14"/>
        <v>2022-12</v>
      </c>
    </row>
    <row r="238" spans="1:7" x14ac:dyDescent="0.25">
      <c r="A238" s="31">
        <v>44904</v>
      </c>
      <c r="B238" s="32">
        <v>37432.91015625</v>
      </c>
      <c r="C238" s="33">
        <f t="shared" si="15"/>
        <v>-7.4701007433531919E-3</v>
      </c>
      <c r="D238" s="32">
        <f>MAX($B$2:B238)</f>
        <v>44948.645019531301</v>
      </c>
      <c r="E238" s="34">
        <f t="shared" si="12"/>
        <v>-0.16720715073870474</v>
      </c>
      <c r="F238" s="35">
        <f t="shared" si="13"/>
        <v>83.27928492612952</v>
      </c>
      <c r="G238" s="36" t="str">
        <f t="shared" si="14"/>
        <v>2022-12</v>
      </c>
    </row>
    <row r="239" spans="1:7" x14ac:dyDescent="0.25">
      <c r="A239" s="37">
        <v>44907</v>
      </c>
      <c r="B239" s="38">
        <v>37972.589111328103</v>
      </c>
      <c r="C239" s="39">
        <f t="shared" si="15"/>
        <v>1.4417232131442859E-2</v>
      </c>
      <c r="D239" s="38">
        <f>MAX($B$2:B239)</f>
        <v>44948.645019531301</v>
      </c>
      <c r="E239" s="40">
        <f t="shared" si="12"/>
        <v>-0.15520058291349892</v>
      </c>
      <c r="F239" s="41">
        <f t="shared" si="13"/>
        <v>84.479941708650102</v>
      </c>
      <c r="G239" s="42" t="str">
        <f t="shared" si="14"/>
        <v>2022-12</v>
      </c>
    </row>
    <row r="240" spans="1:7" x14ac:dyDescent="0.25">
      <c r="A240" s="31">
        <v>44908</v>
      </c>
      <c r="B240" s="32">
        <v>38260.037231445298</v>
      </c>
      <c r="C240" s="33">
        <f t="shared" si="15"/>
        <v>7.5698846679759235E-3</v>
      </c>
      <c r="D240" s="32">
        <f>MAX($B$2:B240)</f>
        <v>44948.645019531301</v>
      </c>
      <c r="E240" s="34">
        <f t="shared" si="12"/>
        <v>-0.14880554875858076</v>
      </c>
      <c r="F240" s="35">
        <f t="shared" si="13"/>
        <v>85.119445124141919</v>
      </c>
      <c r="G240" s="36" t="str">
        <f t="shared" si="14"/>
        <v>2022-12</v>
      </c>
    </row>
    <row r="241" spans="1:7" x14ac:dyDescent="0.25">
      <c r="A241" s="37">
        <v>44909</v>
      </c>
      <c r="B241" s="38">
        <v>38015.417480468801</v>
      </c>
      <c r="C241" s="39">
        <f t="shared" si="15"/>
        <v>-6.393609851886084E-3</v>
      </c>
      <c r="D241" s="38">
        <f>MAX($B$2:B241)</f>
        <v>44948.645019531301</v>
      </c>
      <c r="E241" s="40">
        <f t="shared" si="12"/>
        <v>-0.15424775398790869</v>
      </c>
      <c r="F241" s="41">
        <f t="shared" si="13"/>
        <v>84.575224601209129</v>
      </c>
      <c r="G241" s="42" t="str">
        <f t="shared" si="14"/>
        <v>2022-12</v>
      </c>
    </row>
    <row r="242" spans="1:7" x14ac:dyDescent="0.25">
      <c r="A242" s="31">
        <v>44910</v>
      </c>
      <c r="B242" s="32">
        <v>37085.498046875</v>
      </c>
      <c r="C242" s="33">
        <f t="shared" si="15"/>
        <v>-2.4461639388060563E-2</v>
      </c>
      <c r="D242" s="32">
        <f>MAX($B$2:B242)</f>
        <v>44948.645019531301</v>
      </c>
      <c r="E242" s="34">
        <f t="shared" si="12"/>
        <v>-0.17493624044149869</v>
      </c>
      <c r="F242" s="35">
        <f t="shared" si="13"/>
        <v>82.506375955850132</v>
      </c>
      <c r="G242" s="36" t="str">
        <f t="shared" si="14"/>
        <v>2022-12</v>
      </c>
    </row>
    <row r="243" spans="1:7" x14ac:dyDescent="0.25">
      <c r="A243" s="37">
        <v>44911</v>
      </c>
      <c r="B243" s="38">
        <v>36647.662353515603</v>
      </c>
      <c r="C243" s="39">
        <f t="shared" si="15"/>
        <v>-1.1806116040452896E-2</v>
      </c>
      <c r="D243" s="38">
        <f>MAX($B$2:B243)</f>
        <v>44948.645019531301</v>
      </c>
      <c r="E243" s="40">
        <f t="shared" si="12"/>
        <v>-0.18467703892761878</v>
      </c>
      <c r="F243" s="41">
        <f t="shared" si="13"/>
        <v>81.532296107238125</v>
      </c>
      <c r="G243" s="42" t="str">
        <f t="shared" si="14"/>
        <v>2022-12</v>
      </c>
    </row>
    <row r="244" spans="1:7" x14ac:dyDescent="0.25">
      <c r="A244" s="31">
        <v>44914</v>
      </c>
      <c r="B244" s="32">
        <v>36336.898803710901</v>
      </c>
      <c r="C244" s="33">
        <f t="shared" si="15"/>
        <v>-8.4797645974515889E-3</v>
      </c>
      <c r="D244" s="32">
        <f>MAX($B$2:B244)</f>
        <v>44948.645019531301</v>
      </c>
      <c r="E244" s="34">
        <f t="shared" si="12"/>
        <v>-0.19159078570840971</v>
      </c>
      <c r="F244" s="35">
        <f t="shared" si="13"/>
        <v>80.840921429159025</v>
      </c>
      <c r="G244" s="36" t="str">
        <f t="shared" si="14"/>
        <v>2022-12</v>
      </c>
    </row>
    <row r="245" spans="1:7" x14ac:dyDescent="0.25">
      <c r="A245" s="37">
        <v>44915</v>
      </c>
      <c r="B245" s="38">
        <v>36386.624145507798</v>
      </c>
      <c r="C245" s="39">
        <f t="shared" si="15"/>
        <v>1.3684530995754507E-3</v>
      </c>
      <c r="D245" s="38">
        <f>MAX($B$2:B245)</f>
        <v>44948.645019531301</v>
      </c>
      <c r="E245" s="40">
        <f t="shared" si="12"/>
        <v>-0.19048451561338708</v>
      </c>
      <c r="F245" s="41">
        <f t="shared" si="13"/>
        <v>80.951548438661291</v>
      </c>
      <c r="G245" s="42" t="str">
        <f t="shared" si="14"/>
        <v>2022-12</v>
      </c>
    </row>
    <row r="246" spans="1:7" x14ac:dyDescent="0.25">
      <c r="A246" s="31">
        <v>44916</v>
      </c>
      <c r="B246" s="32">
        <v>36930.691528320298</v>
      </c>
      <c r="C246" s="33">
        <f t="shared" si="15"/>
        <v>1.4952400657912257E-2</v>
      </c>
      <c r="D246" s="32">
        <f>MAX($B$2:B246)</f>
        <v>44948.645019531301</v>
      </c>
      <c r="E246" s="34">
        <f t="shared" si="12"/>
        <v>-0.17838031575205449</v>
      </c>
      <c r="F246" s="35">
        <f t="shared" si="13"/>
        <v>82.161968424794551</v>
      </c>
      <c r="G246" s="36" t="str">
        <f t="shared" si="14"/>
        <v>2022-12</v>
      </c>
    </row>
    <row r="247" spans="1:7" x14ac:dyDescent="0.25">
      <c r="A247" s="37">
        <v>44917</v>
      </c>
      <c r="B247" s="38">
        <v>36403.836059570298</v>
      </c>
      <c r="C247" s="39">
        <f t="shared" si="15"/>
        <v>-1.4266060204856434E-2</v>
      </c>
      <c r="D247" s="38">
        <f>MAX($B$2:B247)</f>
        <v>44948.645019531301</v>
      </c>
      <c r="E247" s="40">
        <f t="shared" si="12"/>
        <v>-0.19010159163303075</v>
      </c>
      <c r="F247" s="41">
        <f t="shared" si="13"/>
        <v>80.989840836696928</v>
      </c>
      <c r="G247" s="42" t="str">
        <f t="shared" si="14"/>
        <v>2022-12</v>
      </c>
    </row>
    <row r="248" spans="1:7" x14ac:dyDescent="0.25">
      <c r="A248" s="31">
        <v>44918</v>
      </c>
      <c r="B248" s="32">
        <v>36613.238525390603</v>
      </c>
      <c r="C248" s="33">
        <f t="shared" si="15"/>
        <v>5.7522087913384201E-3</v>
      </c>
      <c r="D248" s="32">
        <f>MAX($B$2:B248)</f>
        <v>44948.645019531301</v>
      </c>
      <c r="E248" s="34">
        <f t="shared" si="12"/>
        <v>-0.18544288688833122</v>
      </c>
      <c r="F248" s="35">
        <f t="shared" si="13"/>
        <v>81.45571131116688</v>
      </c>
      <c r="G248" s="36" t="str">
        <f t="shared" si="14"/>
        <v>2022-12</v>
      </c>
    </row>
    <row r="249" spans="1:7" x14ac:dyDescent="0.25">
      <c r="A249" s="37">
        <v>44922</v>
      </c>
      <c r="B249" s="38">
        <v>36468.859863281301</v>
      </c>
      <c r="C249" s="39">
        <f t="shared" si="15"/>
        <v>-3.9433458476823002E-3</v>
      </c>
      <c r="D249" s="38">
        <f>MAX($B$2:B249)</f>
        <v>44948.645019531301</v>
      </c>
      <c r="E249" s="40">
        <f t="shared" si="12"/>
        <v>-0.18865496729802034</v>
      </c>
      <c r="F249" s="41">
        <f t="shared" si="13"/>
        <v>81.134503270197968</v>
      </c>
      <c r="G249" s="42" t="str">
        <f t="shared" si="14"/>
        <v>2022-12</v>
      </c>
    </row>
    <row r="250" spans="1:7" x14ac:dyDescent="0.25">
      <c r="A250" s="31">
        <v>44923</v>
      </c>
      <c r="B250" s="32">
        <v>36015.621948242202</v>
      </c>
      <c r="C250" s="33">
        <f t="shared" si="15"/>
        <v>-1.2428080196042579E-2</v>
      </c>
      <c r="D250" s="32">
        <f>MAX($B$2:B250)</f>
        <v>44948.645019531301</v>
      </c>
      <c r="E250" s="34">
        <f t="shared" si="12"/>
        <v>-0.19873842843110134</v>
      </c>
      <c r="F250" s="35">
        <f t="shared" si="13"/>
        <v>80.12615715688986</v>
      </c>
      <c r="G250" s="36" t="str">
        <f t="shared" si="14"/>
        <v>2022-12</v>
      </c>
    </row>
    <row r="251" spans="1:7" x14ac:dyDescent="0.25">
      <c r="A251" s="37">
        <v>44924</v>
      </c>
      <c r="B251" s="38">
        <v>36663.919067382798</v>
      </c>
      <c r="C251" s="39">
        <f t="shared" si="15"/>
        <v>1.8000442143474737E-2</v>
      </c>
      <c r="D251" s="38">
        <f>MAX($B$2:B251)</f>
        <v>44948.645019531301</v>
      </c>
      <c r="E251" s="40">
        <f t="shared" si="12"/>
        <v>-0.18431536587028563</v>
      </c>
      <c r="F251" s="41">
        <f t="shared" si="13"/>
        <v>81.56846341297144</v>
      </c>
      <c r="G251" s="42" t="str">
        <f t="shared" si="14"/>
        <v>2022-12</v>
      </c>
    </row>
    <row r="252" spans="1:7" x14ac:dyDescent="0.25">
      <c r="A252" s="31">
        <v>44925</v>
      </c>
      <c r="B252" s="32">
        <v>36567.343139648401</v>
      </c>
      <c r="C252" s="33">
        <f t="shared" si="15"/>
        <v>-2.634086322220619E-3</v>
      </c>
      <c r="D252" s="32">
        <f>MAX($B$2:B252)</f>
        <v>44948.645019531301</v>
      </c>
      <c r="E252" s="34">
        <f t="shared" si="12"/>
        <v>-0.18646394960829227</v>
      </c>
      <c r="F252" s="35">
        <f t="shared" si="13"/>
        <v>81.353605039170773</v>
      </c>
      <c r="G252" s="36" t="str">
        <f t="shared" si="14"/>
        <v>2022-12</v>
      </c>
    </row>
    <row r="253" spans="1:7" x14ac:dyDescent="0.25">
      <c r="A253" s="37">
        <v>44929</v>
      </c>
      <c r="B253" s="38">
        <v>36413.394165039099</v>
      </c>
      <c r="C253" s="39">
        <f t="shared" si="15"/>
        <v>-4.210012579294653E-3</v>
      </c>
      <c r="D253" s="38">
        <f>MAX($B$2:B253)</f>
        <v>44948.645019531301</v>
      </c>
      <c r="E253" s="40">
        <f t="shared" si="12"/>
        <v>-0.18988894661415101</v>
      </c>
      <c r="F253" s="41">
        <f t="shared" si="13"/>
        <v>81.011105338584898</v>
      </c>
      <c r="G253" s="42" t="str">
        <f t="shared" si="14"/>
        <v>2023-01</v>
      </c>
    </row>
    <row r="254" spans="1:7" x14ac:dyDescent="0.25">
      <c r="A254" s="31">
        <v>44930</v>
      </c>
      <c r="B254" s="32">
        <v>36694.519042968801</v>
      </c>
      <c r="C254" s="33">
        <f t="shared" si="15"/>
        <v>7.7203700554675514E-3</v>
      </c>
      <c r="D254" s="32">
        <f>MAX($B$2:B254)</f>
        <v>44948.645019531301</v>
      </c>
      <c r="E254" s="34">
        <f t="shared" si="12"/>
        <v>-0.18363458949598765</v>
      </c>
      <c r="F254" s="35">
        <f t="shared" si="13"/>
        <v>81.636541050401235</v>
      </c>
      <c r="G254" s="36" t="str">
        <f t="shared" si="14"/>
        <v>2023-01</v>
      </c>
    </row>
    <row r="255" spans="1:7" x14ac:dyDescent="0.25">
      <c r="A255" s="37">
        <v>44931</v>
      </c>
      <c r="B255" s="38">
        <v>36275.704956054702</v>
      </c>
      <c r="C255" s="39">
        <f t="shared" si="15"/>
        <v>-1.1413532533937065E-2</v>
      </c>
      <c r="D255" s="38">
        <f>MAX($B$2:B255)</f>
        <v>44948.645019531301</v>
      </c>
      <c r="E255" s="40">
        <f t="shared" si="12"/>
        <v>-0.19295220266835611</v>
      </c>
      <c r="F255" s="41">
        <f t="shared" si="13"/>
        <v>80.704779733164386</v>
      </c>
      <c r="G255" s="42" t="str">
        <f t="shared" si="14"/>
        <v>2023-01</v>
      </c>
    </row>
    <row r="256" spans="1:7" x14ac:dyDescent="0.25">
      <c r="A256" s="31">
        <v>44932</v>
      </c>
      <c r="B256" s="32">
        <v>37107.583618164099</v>
      </c>
      <c r="C256" s="33">
        <f t="shared" si="15"/>
        <v>2.2932115671277842E-2</v>
      </c>
      <c r="D256" s="32">
        <f>MAX($B$2:B256)</f>
        <v>44948.645019531301</v>
      </c>
      <c r="E256" s="34">
        <f t="shared" si="12"/>
        <v>-0.17444488922769674</v>
      </c>
      <c r="F256" s="35">
        <f t="shared" si="13"/>
        <v>82.555511077230321</v>
      </c>
      <c r="G256" s="36" t="str">
        <f t="shared" si="14"/>
        <v>2023-01</v>
      </c>
    </row>
    <row r="257" spans="1:7" x14ac:dyDescent="0.25">
      <c r="A257" s="37">
        <v>44935</v>
      </c>
      <c r="B257" s="38">
        <v>37086.550903320298</v>
      </c>
      <c r="C257" s="39">
        <f t="shared" si="15"/>
        <v>-5.6680367711969826E-4</v>
      </c>
      <c r="D257" s="38">
        <f>MAX($B$2:B257)</f>
        <v>44948.645019531301</v>
      </c>
      <c r="E257" s="40">
        <f t="shared" si="12"/>
        <v>-0.17491281690014748</v>
      </c>
      <c r="F257" s="41">
        <f t="shared" si="13"/>
        <v>82.508718309985255</v>
      </c>
      <c r="G257" s="42" t="str">
        <f t="shared" si="14"/>
        <v>2023-01</v>
      </c>
    </row>
    <row r="258" spans="1:7" x14ac:dyDescent="0.25">
      <c r="A258" s="31">
        <v>44936</v>
      </c>
      <c r="B258" s="32">
        <v>37346.630859375</v>
      </c>
      <c r="C258" s="33">
        <f t="shared" si="15"/>
        <v>7.0127836026783186E-3</v>
      </c>
      <c r="D258" s="32">
        <f>MAX($B$2:B258)</f>
        <v>44948.645019531301</v>
      </c>
      <c r="E258" s="34">
        <f t="shared" ref="E258:E321" si="16">B258/D258-1</f>
        <v>-0.16912665903172475</v>
      </c>
      <c r="F258" s="35">
        <f t="shared" ref="F258:F321" si="17">B258/$B$2*100</f>
        <v>83.087334096827519</v>
      </c>
      <c r="G258" s="36" t="str">
        <f t="shared" ref="G258:G321" si="18">TEXT(A258,"YYYY-MM")</f>
        <v>2023-01</v>
      </c>
    </row>
    <row r="259" spans="1:7" x14ac:dyDescent="0.25">
      <c r="A259" s="37">
        <v>44937</v>
      </c>
      <c r="B259" s="38">
        <v>37818.984985351599</v>
      </c>
      <c r="C259" s="39">
        <f t="shared" ref="C259:C322" si="19">B259/B258-1</f>
        <v>1.2647837706035725E-2</v>
      </c>
      <c r="D259" s="38">
        <f>MAX($B$2:B259)</f>
        <v>44948.645019531301</v>
      </c>
      <c r="E259" s="40">
        <f t="shared" si="16"/>
        <v>-0.15861790786088625</v>
      </c>
      <c r="F259" s="41">
        <f t="shared" si="17"/>
        <v>84.138209213911381</v>
      </c>
      <c r="G259" s="42" t="str">
        <f t="shared" si="18"/>
        <v>2023-01</v>
      </c>
    </row>
    <row r="260" spans="1:7" x14ac:dyDescent="0.25">
      <c r="A260" s="31">
        <v>44938</v>
      </c>
      <c r="B260" s="32">
        <v>37956.677246093801</v>
      </c>
      <c r="C260" s="33">
        <f t="shared" si="19"/>
        <v>3.64082380305919E-3</v>
      </c>
      <c r="D260" s="32">
        <f>MAX($B$2:B260)</f>
        <v>44948.645019531301</v>
      </c>
      <c r="E260" s="34">
        <f t="shared" si="16"/>
        <v>-0.15555458391235855</v>
      </c>
      <c r="F260" s="35">
        <f t="shared" si="17"/>
        <v>84.444541608764141</v>
      </c>
      <c r="G260" s="36" t="str">
        <f t="shared" si="18"/>
        <v>2023-01</v>
      </c>
    </row>
    <row r="261" spans="1:7" x14ac:dyDescent="0.25">
      <c r="A261" s="37">
        <v>44939</v>
      </c>
      <c r="B261" s="38">
        <v>38103.927612304702</v>
      </c>
      <c r="C261" s="39">
        <f t="shared" si="19"/>
        <v>3.8794324712934092E-3</v>
      </c>
      <c r="D261" s="38">
        <f>MAX($B$2:B261)</f>
        <v>44948.645019531301</v>
      </c>
      <c r="E261" s="40">
        <f t="shared" si="16"/>
        <v>-0.15227861494495332</v>
      </c>
      <c r="F261" s="41">
        <f t="shared" si="17"/>
        <v>84.772138505504671</v>
      </c>
      <c r="G261" s="42" t="str">
        <f t="shared" si="18"/>
        <v>2023-01</v>
      </c>
    </row>
    <row r="262" spans="1:7" x14ac:dyDescent="0.25">
      <c r="A262" s="31">
        <v>44943</v>
      </c>
      <c r="B262" s="32">
        <v>38034.124755859397</v>
      </c>
      <c r="C262" s="33">
        <f t="shared" si="19"/>
        <v>-1.8319071239984996E-3</v>
      </c>
      <c r="D262" s="32">
        <f>MAX($B$2:B262)</f>
        <v>44948.645019531301</v>
      </c>
      <c r="E262" s="34">
        <f t="shared" si="16"/>
        <v>-0.15383156178940149</v>
      </c>
      <c r="F262" s="35">
        <f t="shared" si="17"/>
        <v>84.616843821059845</v>
      </c>
      <c r="G262" s="36" t="str">
        <f t="shared" si="18"/>
        <v>2023-01</v>
      </c>
    </row>
    <row r="263" spans="1:7" x14ac:dyDescent="0.25">
      <c r="A263" s="37">
        <v>44944</v>
      </c>
      <c r="B263" s="38">
        <v>37433.642578125</v>
      </c>
      <c r="C263" s="39">
        <f t="shared" si="19"/>
        <v>-1.5787984647704811E-2</v>
      </c>
      <c r="D263" s="38">
        <f>MAX($B$2:B263)</f>
        <v>44948.645019531301</v>
      </c>
      <c r="E263" s="40">
        <f t="shared" si="16"/>
        <v>-0.16719085610124274</v>
      </c>
      <c r="F263" s="41">
        <f t="shared" si="17"/>
        <v>83.280914389875733</v>
      </c>
      <c r="G263" s="42" t="str">
        <f t="shared" si="18"/>
        <v>2023-01</v>
      </c>
    </row>
    <row r="264" spans="1:7" x14ac:dyDescent="0.25">
      <c r="A264" s="31">
        <v>44945</v>
      </c>
      <c r="B264" s="32">
        <v>37161.135864257798</v>
      </c>
      <c r="C264" s="33">
        <f t="shared" si="19"/>
        <v>-7.2797274082657681E-3</v>
      </c>
      <c r="D264" s="32">
        <f>MAX($B$2:B264)</f>
        <v>44948.645019531301</v>
      </c>
      <c r="E264" s="34">
        <f t="shared" si="16"/>
        <v>-0.17325347965193694</v>
      </c>
      <c r="F264" s="35">
        <f t="shared" si="17"/>
        <v>82.6746520348063</v>
      </c>
      <c r="G264" s="36" t="str">
        <f t="shared" si="18"/>
        <v>2023-01</v>
      </c>
    </row>
    <row r="265" spans="1:7" x14ac:dyDescent="0.25">
      <c r="A265" s="37">
        <v>44946</v>
      </c>
      <c r="B265" s="38">
        <v>37853.411865234397</v>
      </c>
      <c r="C265" s="39">
        <f t="shared" si="19"/>
        <v>1.8629032317670324E-2</v>
      </c>
      <c r="D265" s="38">
        <f>MAX($B$2:B265)</f>
        <v>44948.645019531301</v>
      </c>
      <c r="E265" s="40">
        <f t="shared" si="16"/>
        <v>-0.15785199200585132</v>
      </c>
      <c r="F265" s="41">
        <f t="shared" si="17"/>
        <v>84.214800799414874</v>
      </c>
      <c r="G265" s="42" t="str">
        <f t="shared" si="18"/>
        <v>2023-01</v>
      </c>
    </row>
    <row r="266" spans="1:7" x14ac:dyDescent="0.25">
      <c r="A266" s="31">
        <v>44949</v>
      </c>
      <c r="B266" s="32">
        <v>38307.589721679702</v>
      </c>
      <c r="C266" s="33">
        <f t="shared" si="19"/>
        <v>1.1998333414759754E-2</v>
      </c>
      <c r="D266" s="32">
        <f>MAX($B$2:B266)</f>
        <v>44948.645019531301</v>
      </c>
      <c r="E266" s="34">
        <f t="shared" si="16"/>
        <v>-0.14774761942136172</v>
      </c>
      <c r="F266" s="35">
        <f t="shared" si="17"/>
        <v>85.225238057863834</v>
      </c>
      <c r="G266" s="36" t="str">
        <f t="shared" si="18"/>
        <v>2023-01</v>
      </c>
    </row>
    <row r="267" spans="1:7" x14ac:dyDescent="0.25">
      <c r="A267" s="37">
        <v>44950</v>
      </c>
      <c r="B267" s="38">
        <v>38266.482543945298</v>
      </c>
      <c r="C267" s="39">
        <f t="shared" si="19"/>
        <v>-1.0730818104992546E-3</v>
      </c>
      <c r="D267" s="38">
        <f>MAX($B$2:B267)</f>
        <v>44948.645019531301</v>
      </c>
      <c r="E267" s="40">
        <f t="shared" si="16"/>
        <v>-0.14866215594891541</v>
      </c>
      <c r="F267" s="41">
        <f t="shared" si="17"/>
        <v>85.133784405108457</v>
      </c>
      <c r="G267" s="42" t="str">
        <f t="shared" si="18"/>
        <v>2023-01</v>
      </c>
    </row>
    <row r="268" spans="1:7" x14ac:dyDescent="0.25">
      <c r="A268" s="31">
        <v>44951</v>
      </c>
      <c r="B268" s="32">
        <v>38280.825805664099</v>
      </c>
      <c r="C268" s="33">
        <f t="shared" si="19"/>
        <v>3.7482571601210601E-4</v>
      </c>
      <c r="D268" s="32">
        <f>MAX($B$2:B268)</f>
        <v>44948.645019531301</v>
      </c>
      <c r="E268" s="34">
        <f t="shared" si="16"/>
        <v>-0.14834305263195069</v>
      </c>
      <c r="F268" s="35">
        <f t="shared" si="17"/>
        <v>85.165694736804937</v>
      </c>
      <c r="G268" s="36" t="str">
        <f t="shared" si="18"/>
        <v>2023-01</v>
      </c>
    </row>
    <row r="269" spans="1:7" x14ac:dyDescent="0.25">
      <c r="A269" s="37">
        <v>44952</v>
      </c>
      <c r="B269" s="38">
        <v>38701.544189453103</v>
      </c>
      <c r="C269" s="39">
        <f t="shared" si="19"/>
        <v>1.0990316298943537E-2</v>
      </c>
      <c r="D269" s="38">
        <f>MAX($B$2:B269)</f>
        <v>44948.645019531301</v>
      </c>
      <c r="E269" s="40">
        <f t="shared" si="16"/>
        <v>-0.1389830734021833</v>
      </c>
      <c r="F269" s="41">
        <f t="shared" si="17"/>
        <v>86.101692659781676</v>
      </c>
      <c r="G269" s="42" t="str">
        <f t="shared" si="18"/>
        <v>2023-01</v>
      </c>
    </row>
    <row r="270" spans="1:7" x14ac:dyDescent="0.25">
      <c r="A270" s="31">
        <v>44953</v>
      </c>
      <c r="B270" s="32">
        <v>38790.466308593801</v>
      </c>
      <c r="C270" s="33">
        <f t="shared" si="19"/>
        <v>2.2976374974963409E-3</v>
      </c>
      <c r="D270" s="32">
        <f>MAX($B$2:B270)</f>
        <v>44948.645019531301</v>
      </c>
      <c r="E270" s="34">
        <f t="shared" si="16"/>
        <v>-0.13700476862565314</v>
      </c>
      <c r="F270" s="35">
        <f t="shared" si="17"/>
        <v>86.29952313743469</v>
      </c>
      <c r="G270" s="36" t="str">
        <f t="shared" si="18"/>
        <v>2023-01</v>
      </c>
    </row>
    <row r="271" spans="1:7" x14ac:dyDescent="0.25">
      <c r="A271" s="37">
        <v>44956</v>
      </c>
      <c r="B271" s="38">
        <v>38303.768920898401</v>
      </c>
      <c r="C271" s="39">
        <f t="shared" si="19"/>
        <v>-1.254683003353263E-2</v>
      </c>
      <c r="D271" s="38">
        <f>MAX($B$2:B271)</f>
        <v>44948.645019531301</v>
      </c>
      <c r="E271" s="40">
        <f t="shared" si="16"/>
        <v>-0.14783262311345613</v>
      </c>
      <c r="F271" s="41">
        <f t="shared" si="17"/>
        <v>85.216737688654391</v>
      </c>
      <c r="G271" s="42" t="str">
        <f t="shared" si="18"/>
        <v>2023-01</v>
      </c>
    </row>
    <row r="272" spans="1:7" x14ac:dyDescent="0.25">
      <c r="A272" s="31">
        <v>44957</v>
      </c>
      <c r="B272" s="32">
        <v>38866.961669921897</v>
      </c>
      <c r="C272" s="33">
        <f t="shared" si="19"/>
        <v>1.4703324630705561E-2</v>
      </c>
      <c r="D272" s="32">
        <f>MAX($B$2:B272)</f>
        <v>44948.645019531301</v>
      </c>
      <c r="E272" s="34">
        <f t="shared" si="16"/>
        <v>-0.13530292953139655</v>
      </c>
      <c r="F272" s="35">
        <f t="shared" si="17"/>
        <v>86.46970704686035</v>
      </c>
      <c r="G272" s="36" t="str">
        <f t="shared" si="18"/>
        <v>2023-01</v>
      </c>
    </row>
    <row r="273" spans="1:7" x14ac:dyDescent="0.25">
      <c r="A273" s="37">
        <v>44958</v>
      </c>
      <c r="B273" s="38">
        <v>39280.032348632798</v>
      </c>
      <c r="C273" s="39">
        <f t="shared" si="19"/>
        <v>1.0627809866356586E-2</v>
      </c>
      <c r="D273" s="38">
        <f>MAX($B$2:B273)</f>
        <v>44948.645019531301</v>
      </c>
      <c r="E273" s="40">
        <f t="shared" si="16"/>
        <v>-0.12611309347446065</v>
      </c>
      <c r="F273" s="41">
        <f t="shared" si="17"/>
        <v>87.388690652553933</v>
      </c>
      <c r="G273" s="42" t="str">
        <f t="shared" si="18"/>
        <v>2023-02</v>
      </c>
    </row>
    <row r="274" spans="1:7" x14ac:dyDescent="0.25">
      <c r="A274" s="31">
        <v>44959</v>
      </c>
      <c r="B274" s="32">
        <v>39851.834106445298</v>
      </c>
      <c r="C274" s="33">
        <f t="shared" si="19"/>
        <v>1.4557059239092007E-2</v>
      </c>
      <c r="D274" s="32">
        <f>MAX($B$2:B274)</f>
        <v>44948.645019531301</v>
      </c>
      <c r="E274" s="34">
        <f t="shared" si="16"/>
        <v>-0.11339187000790152</v>
      </c>
      <c r="F274" s="35">
        <f t="shared" si="17"/>
        <v>88.660812999209853</v>
      </c>
      <c r="G274" s="36" t="str">
        <f t="shared" si="18"/>
        <v>2023-02</v>
      </c>
    </row>
    <row r="275" spans="1:7" x14ac:dyDescent="0.25">
      <c r="A275" s="37">
        <v>44960</v>
      </c>
      <c r="B275" s="38">
        <v>39428.256225585901</v>
      </c>
      <c r="C275" s="39">
        <f t="shared" si="19"/>
        <v>-1.0628817728388862E-2</v>
      </c>
      <c r="D275" s="38">
        <f>MAX($B$2:B275)</f>
        <v>44948.645019531301</v>
      </c>
      <c r="E275" s="40">
        <f t="shared" si="16"/>
        <v>-0.12281546621809525</v>
      </c>
      <c r="F275" s="41">
        <f t="shared" si="17"/>
        <v>87.718453378190475</v>
      </c>
      <c r="G275" s="42" t="str">
        <f t="shared" si="18"/>
        <v>2023-02</v>
      </c>
    </row>
    <row r="276" spans="1:7" x14ac:dyDescent="0.25">
      <c r="A276" s="31">
        <v>44963</v>
      </c>
      <c r="B276" s="32">
        <v>39187.283325195298</v>
      </c>
      <c r="C276" s="33">
        <f t="shared" si="19"/>
        <v>-6.1116803901215544E-3</v>
      </c>
      <c r="D276" s="32">
        <f>MAX($B$2:B276)</f>
        <v>44948.645019531301</v>
      </c>
      <c r="E276" s="34">
        <f t="shared" si="16"/>
        <v>-0.12817653773172799</v>
      </c>
      <c r="F276" s="35">
        <f t="shared" si="17"/>
        <v>87.182346226827207</v>
      </c>
      <c r="G276" s="36" t="str">
        <f t="shared" si="18"/>
        <v>2023-02</v>
      </c>
    </row>
    <row r="277" spans="1:7" x14ac:dyDescent="0.25">
      <c r="A277" s="37">
        <v>44964</v>
      </c>
      <c r="B277" s="38">
        <v>39699.8046875</v>
      </c>
      <c r="C277" s="39">
        <f t="shared" si="19"/>
        <v>1.3078767365717781E-2</v>
      </c>
      <c r="D277" s="38">
        <f>MAX($B$2:B277)</f>
        <v>44948.645019531301</v>
      </c>
      <c r="E277" s="40">
        <f t="shared" si="16"/>
        <v>-0.11677416148474662</v>
      </c>
      <c r="F277" s="41">
        <f t="shared" si="17"/>
        <v>88.322583851525337</v>
      </c>
      <c r="G277" s="42" t="str">
        <f t="shared" si="18"/>
        <v>2023-02</v>
      </c>
    </row>
    <row r="278" spans="1:7" x14ac:dyDescent="0.25">
      <c r="A278" s="31">
        <v>44965</v>
      </c>
      <c r="B278" s="32">
        <v>39265.692138671897</v>
      </c>
      <c r="C278" s="33">
        <f t="shared" si="19"/>
        <v>-1.0934878703944606E-2</v>
      </c>
      <c r="D278" s="32">
        <f>MAX($B$2:B278)</f>
        <v>44948.645019531301</v>
      </c>
      <c r="E278" s="34">
        <f t="shared" si="16"/>
        <v>-0.12643212889710065</v>
      </c>
      <c r="F278" s="35">
        <f t="shared" si="17"/>
        <v>87.356787110289929</v>
      </c>
      <c r="G278" s="36" t="str">
        <f t="shared" si="18"/>
        <v>2023-02</v>
      </c>
    </row>
    <row r="279" spans="1:7" x14ac:dyDescent="0.25">
      <c r="A279" s="37">
        <v>44966</v>
      </c>
      <c r="B279" s="38">
        <v>38925.29296875</v>
      </c>
      <c r="C279" s="39">
        <f t="shared" si="19"/>
        <v>-8.6691244030471237E-3</v>
      </c>
      <c r="D279" s="38">
        <f>MAX($B$2:B279)</f>
        <v>44948.645019531301</v>
      </c>
      <c r="E279" s="40">
        <f t="shared" si="16"/>
        <v>-0.13400519744619677</v>
      </c>
      <c r="F279" s="41">
        <f t="shared" si="17"/>
        <v>86.599480255380328</v>
      </c>
      <c r="G279" s="42" t="str">
        <f t="shared" si="18"/>
        <v>2023-02</v>
      </c>
    </row>
    <row r="280" spans="1:7" x14ac:dyDescent="0.25">
      <c r="A280" s="31">
        <v>44967</v>
      </c>
      <c r="B280" s="32">
        <v>39016.128540039099</v>
      </c>
      <c r="C280" s="33">
        <f t="shared" si="19"/>
        <v>2.3335873505698768E-3</v>
      </c>
      <c r="D280" s="32">
        <f>MAX($B$2:B280)</f>
        <v>44948.645019531301</v>
      </c>
      <c r="E280" s="34">
        <f t="shared" si="16"/>
        <v>-0.13198432292929796</v>
      </c>
      <c r="F280" s="35">
        <f t="shared" si="17"/>
        <v>86.801567707070205</v>
      </c>
      <c r="G280" s="36" t="str">
        <f t="shared" si="18"/>
        <v>2023-02</v>
      </c>
    </row>
    <row r="281" spans="1:7" x14ac:dyDescent="0.25">
      <c r="A281" s="37">
        <v>44970</v>
      </c>
      <c r="B281" s="38">
        <v>39474.142456054702</v>
      </c>
      <c r="C281" s="39">
        <f t="shared" si="19"/>
        <v>1.1739091835971882E-2</v>
      </c>
      <c r="D281" s="38">
        <f>MAX($B$2:B281)</f>
        <v>44948.645019531301</v>
      </c>
      <c r="E281" s="40">
        <f t="shared" si="16"/>
        <v>-0.12179460718110169</v>
      </c>
      <c r="F281" s="41">
        <f t="shared" si="17"/>
        <v>87.820539281889836</v>
      </c>
      <c r="G281" s="42" t="str">
        <f t="shared" si="18"/>
        <v>2023-02</v>
      </c>
    </row>
    <row r="282" spans="1:7" x14ac:dyDescent="0.25">
      <c r="A282" s="31">
        <v>44971</v>
      </c>
      <c r="B282" s="32">
        <v>39455.972290039099</v>
      </c>
      <c r="C282" s="33">
        <f t="shared" si="19"/>
        <v>-4.6030552876052955E-4</v>
      </c>
      <c r="D282" s="32">
        <f>MAX($B$2:B282)</f>
        <v>44948.645019531301</v>
      </c>
      <c r="E282" s="34">
        <f t="shared" si="16"/>
        <v>-0.12219884997880359</v>
      </c>
      <c r="F282" s="35">
        <f t="shared" si="17"/>
        <v>87.780115002119643</v>
      </c>
      <c r="G282" s="36" t="str">
        <f t="shared" si="18"/>
        <v>2023-02</v>
      </c>
    </row>
    <row r="283" spans="1:7" x14ac:dyDescent="0.25">
      <c r="A283" s="37">
        <v>44972</v>
      </c>
      <c r="B283" s="38">
        <v>39584.103393554702</v>
      </c>
      <c r="C283" s="39">
        <f t="shared" si="19"/>
        <v>3.247445090789336E-3</v>
      </c>
      <c r="D283" s="38">
        <f>MAX($B$2:B283)</f>
        <v>44948.645019531301</v>
      </c>
      <c r="E283" s="40">
        <f t="shared" si="16"/>
        <v>-0.11934823894347812</v>
      </c>
      <c r="F283" s="41">
        <f t="shared" si="17"/>
        <v>88.065176105652185</v>
      </c>
      <c r="G283" s="42" t="str">
        <f t="shared" si="18"/>
        <v>2023-02</v>
      </c>
    </row>
    <row r="284" spans="1:7" x14ac:dyDescent="0.25">
      <c r="A284" s="31">
        <v>44973</v>
      </c>
      <c r="B284" s="32">
        <v>39039.077758789099</v>
      </c>
      <c r="C284" s="33">
        <f t="shared" si="19"/>
        <v>-1.3768800807405612E-2</v>
      </c>
      <c r="D284" s="32">
        <f>MAX($B$2:B284)</f>
        <v>44948.645019531301</v>
      </c>
      <c r="E284" s="34">
        <f t="shared" si="16"/>
        <v>-0.1314737576221563</v>
      </c>
      <c r="F284" s="35">
        <f t="shared" si="17"/>
        <v>86.852624237784369</v>
      </c>
      <c r="G284" s="36" t="str">
        <f t="shared" si="18"/>
        <v>2023-02</v>
      </c>
    </row>
    <row r="285" spans="1:7" x14ac:dyDescent="0.25">
      <c r="A285" s="37">
        <v>44974</v>
      </c>
      <c r="B285" s="38">
        <v>38941.546630859397</v>
      </c>
      <c r="C285" s="39">
        <f t="shared" si="19"/>
        <v>-2.4982948760295942E-3</v>
      </c>
      <c r="D285" s="38">
        <f>MAX($B$2:B285)</f>
        <v>44948.645019531301</v>
      </c>
      <c r="E285" s="40">
        <f t="shared" si="16"/>
        <v>-0.13364359228318612</v>
      </c>
      <c r="F285" s="41">
        <f t="shared" si="17"/>
        <v>86.635640771681395</v>
      </c>
      <c r="G285" s="42" t="str">
        <f t="shared" si="18"/>
        <v>2023-02</v>
      </c>
    </row>
    <row r="286" spans="1:7" x14ac:dyDescent="0.25">
      <c r="A286" s="31">
        <v>44978</v>
      </c>
      <c r="B286" s="32">
        <v>38160.348510742202</v>
      </c>
      <c r="C286" s="33">
        <f t="shared" si="19"/>
        <v>-2.0060788225040094E-2</v>
      </c>
      <c r="D286" s="32">
        <f>MAX($B$2:B286)</f>
        <v>44948.645019531301</v>
      </c>
      <c r="E286" s="34">
        <f t="shared" si="16"/>
        <v>-0.15102338470579957</v>
      </c>
      <c r="F286" s="35">
        <f t="shared" si="17"/>
        <v>84.897661529420049</v>
      </c>
      <c r="G286" s="36" t="str">
        <f t="shared" si="18"/>
        <v>2023-02</v>
      </c>
    </row>
    <row r="287" spans="1:7" x14ac:dyDescent="0.25">
      <c r="A287" s="37">
        <v>44979</v>
      </c>
      <c r="B287" s="38">
        <v>38107.757568359397</v>
      </c>
      <c r="C287" s="39">
        <f t="shared" si="19"/>
        <v>-1.3781567631123703E-3</v>
      </c>
      <c r="D287" s="38">
        <f>MAX($B$2:B287)</f>
        <v>44948.645019531301</v>
      </c>
      <c r="E287" s="40">
        <f t="shared" si="16"/>
        <v>-0.15219340756989153</v>
      </c>
      <c r="F287" s="41">
        <f t="shared" si="17"/>
        <v>84.780659243010845</v>
      </c>
      <c r="G287" s="42" t="str">
        <f t="shared" si="18"/>
        <v>2023-02</v>
      </c>
    </row>
    <row r="288" spans="1:7" x14ac:dyDescent="0.25">
      <c r="A288" s="31">
        <v>44980</v>
      </c>
      <c r="B288" s="32">
        <v>38310.467529296897</v>
      </c>
      <c r="C288" s="33">
        <f t="shared" si="19"/>
        <v>5.3193883312043777E-3</v>
      </c>
      <c r="D288" s="32">
        <f>MAX($B$2:B288)</f>
        <v>44948.645019531301</v>
      </c>
      <c r="E288" s="34">
        <f t="shared" si="16"/>
        <v>-0.14768359507500062</v>
      </c>
      <c r="F288" s="35">
        <f t="shared" si="17"/>
        <v>85.231640492499935</v>
      </c>
      <c r="G288" s="36" t="str">
        <f t="shared" si="18"/>
        <v>2023-02</v>
      </c>
    </row>
    <row r="289" spans="1:7" x14ac:dyDescent="0.25">
      <c r="A289" s="37">
        <v>44981</v>
      </c>
      <c r="B289" s="38">
        <v>37901.217651367202</v>
      </c>
      <c r="C289" s="39">
        <f t="shared" si="19"/>
        <v>-1.0682455848828543E-2</v>
      </c>
      <c r="D289" s="38">
        <f>MAX($B$2:B289)</f>
        <v>44948.645019531301</v>
      </c>
      <c r="E289" s="40">
        <f t="shared" si="16"/>
        <v>-0.15678842743984422</v>
      </c>
      <c r="F289" s="41">
        <f t="shared" si="17"/>
        <v>84.321157256015582</v>
      </c>
      <c r="G289" s="42" t="str">
        <f t="shared" si="18"/>
        <v>2023-02</v>
      </c>
    </row>
    <row r="290" spans="1:7" x14ac:dyDescent="0.25">
      <c r="A290" s="31">
        <v>44984</v>
      </c>
      <c r="B290" s="32">
        <v>38030.307006835901</v>
      </c>
      <c r="C290" s="33">
        <f t="shared" si="19"/>
        <v>3.4059421693550807E-3</v>
      </c>
      <c r="D290" s="32">
        <f>MAX($B$2:B290)</f>
        <v>44948.645019531301</v>
      </c>
      <c r="E290" s="34">
        <f t="shared" si="16"/>
        <v>-0.1539164975871733</v>
      </c>
      <c r="F290" s="35">
        <f t="shared" si="17"/>
        <v>84.608350241282665</v>
      </c>
      <c r="G290" s="36" t="str">
        <f t="shared" si="18"/>
        <v>2023-02</v>
      </c>
    </row>
    <row r="291" spans="1:7" x14ac:dyDescent="0.25">
      <c r="A291" s="37">
        <v>44985</v>
      </c>
      <c r="B291" s="38">
        <v>37889.74609375</v>
      </c>
      <c r="C291" s="39">
        <f t="shared" si="19"/>
        <v>-3.6960236229656163E-3</v>
      </c>
      <c r="D291" s="38">
        <f>MAX($B$2:B291)</f>
        <v>44948.645019531301</v>
      </c>
      <c r="E291" s="40">
        <f t="shared" si="16"/>
        <v>-0.15704364219909261</v>
      </c>
      <c r="F291" s="41">
        <f t="shared" si="17"/>
        <v>84.295635780090734</v>
      </c>
      <c r="G291" s="42" t="str">
        <f t="shared" si="18"/>
        <v>2023-02</v>
      </c>
    </row>
    <row r="292" spans="1:7" x14ac:dyDescent="0.25">
      <c r="A292" s="31">
        <v>44986</v>
      </c>
      <c r="B292" s="32">
        <v>37744.400024414099</v>
      </c>
      <c r="C292" s="33">
        <f t="shared" si="19"/>
        <v>-3.836026479994703E-3</v>
      </c>
      <c r="D292" s="32">
        <f>MAX($B$2:B292)</f>
        <v>44948.645019531301</v>
      </c>
      <c r="E292" s="34">
        <f t="shared" si="16"/>
        <v>-0.1602772451090968</v>
      </c>
      <c r="F292" s="35">
        <f t="shared" si="17"/>
        <v>83.972275489090322</v>
      </c>
      <c r="G292" s="36" t="str">
        <f t="shared" si="18"/>
        <v>2023-03</v>
      </c>
    </row>
    <row r="293" spans="1:7" x14ac:dyDescent="0.25">
      <c r="A293" s="37">
        <v>44987</v>
      </c>
      <c r="B293" s="38">
        <v>38037.951660156301</v>
      </c>
      <c r="C293" s="39">
        <f t="shared" si="19"/>
        <v>7.7773559932685643E-3</v>
      </c>
      <c r="D293" s="38">
        <f>MAX($B$2:B293)</f>
        <v>44948.645019531301</v>
      </c>
      <c r="E293" s="40">
        <f t="shared" si="16"/>
        <v>-0.15374642230866209</v>
      </c>
      <c r="F293" s="41">
        <f t="shared" si="17"/>
        <v>84.625357769133785</v>
      </c>
      <c r="G293" s="42" t="str">
        <f t="shared" si="18"/>
        <v>2023-03</v>
      </c>
    </row>
    <row r="294" spans="1:7" x14ac:dyDescent="0.25">
      <c r="A294" s="31">
        <v>44988</v>
      </c>
      <c r="B294" s="32">
        <v>38648.001098632798</v>
      </c>
      <c r="C294" s="33">
        <f t="shared" si="19"/>
        <v>1.6037915078258802E-2</v>
      </c>
      <c r="D294" s="32">
        <f>MAX($B$2:B294)</f>
        <v>44948.645019531301</v>
      </c>
      <c r="E294" s="34">
        <f t="shared" si="16"/>
        <v>-0.14017427929497583</v>
      </c>
      <c r="F294" s="35">
        <f t="shared" si="17"/>
        <v>85.982572070502414</v>
      </c>
      <c r="G294" s="36" t="str">
        <f t="shared" si="18"/>
        <v>2023-03</v>
      </c>
    </row>
    <row r="295" spans="1:7" x14ac:dyDescent="0.25">
      <c r="A295" s="37">
        <v>44991</v>
      </c>
      <c r="B295" s="38">
        <v>38674.771118164099</v>
      </c>
      <c r="C295" s="39">
        <f t="shared" si="19"/>
        <v>6.9266246042021251E-4</v>
      </c>
      <c r="D295" s="38">
        <f>MAX($B$2:B295)</f>
        <v>44948.645019531301</v>
      </c>
      <c r="E295" s="40">
        <f t="shared" si="16"/>
        <v>-0.13957871029573965</v>
      </c>
      <c r="F295" s="41">
        <f t="shared" si="17"/>
        <v>86.042128970426035</v>
      </c>
      <c r="G295" s="42" t="str">
        <f t="shared" si="18"/>
        <v>2023-03</v>
      </c>
    </row>
    <row r="296" spans="1:7" x14ac:dyDescent="0.25">
      <c r="A296" s="31">
        <v>44992</v>
      </c>
      <c r="B296" s="32">
        <v>38081.936645507798</v>
      </c>
      <c r="C296" s="33">
        <f t="shared" si="19"/>
        <v>-1.5328713151139262E-2</v>
      </c>
      <c r="D296" s="32">
        <f>MAX($B$2:B296)</f>
        <v>44948.645019531301</v>
      </c>
      <c r="E296" s="34">
        <f t="shared" si="16"/>
        <v>-0.15276786143474952</v>
      </c>
      <c r="F296" s="35">
        <f t="shared" si="17"/>
        <v>84.723213856525049</v>
      </c>
      <c r="G296" s="36" t="str">
        <f t="shared" si="18"/>
        <v>2023-03</v>
      </c>
    </row>
    <row r="297" spans="1:7" x14ac:dyDescent="0.25">
      <c r="A297" s="37">
        <v>44993</v>
      </c>
      <c r="B297" s="38">
        <v>38144.088745117202</v>
      </c>
      <c r="C297" s="39">
        <f t="shared" si="19"/>
        <v>1.6320624706658293E-3</v>
      </c>
      <c r="D297" s="38">
        <f>MAX($B$2:B297)</f>
        <v>44948.645019531301</v>
      </c>
      <c r="E297" s="40">
        <f t="shared" si="16"/>
        <v>-0.15138512565745532</v>
      </c>
      <c r="F297" s="41">
        <f t="shared" si="17"/>
        <v>84.861487434254471</v>
      </c>
      <c r="G297" s="42" t="str">
        <f t="shared" si="18"/>
        <v>2023-03</v>
      </c>
    </row>
    <row r="298" spans="1:7" x14ac:dyDescent="0.25">
      <c r="A298" s="31">
        <v>44994</v>
      </c>
      <c r="B298" s="32">
        <v>37440.335083007798</v>
      </c>
      <c r="C298" s="33">
        <f t="shared" si="19"/>
        <v>-1.8449874810536393E-2</v>
      </c>
      <c r="D298" s="32">
        <f>MAX($B$2:B298)</f>
        <v>44948.645019531301</v>
      </c>
      <c r="E298" s="34">
        <f t="shared" si="16"/>
        <v>-0.16704196385143433</v>
      </c>
      <c r="F298" s="35">
        <f t="shared" si="17"/>
        <v>83.295803614856567</v>
      </c>
      <c r="G298" s="36" t="str">
        <f t="shared" si="18"/>
        <v>2023-03</v>
      </c>
    </row>
    <row r="299" spans="1:7" x14ac:dyDescent="0.25">
      <c r="A299" s="37">
        <v>44995</v>
      </c>
      <c r="B299" s="38">
        <v>36900.091552734397</v>
      </c>
      <c r="C299" s="39">
        <f t="shared" si="19"/>
        <v>-1.4429452329303261E-2</v>
      </c>
      <c r="D299" s="38">
        <f>MAX($B$2:B299)</f>
        <v>44948.645019531301</v>
      </c>
      <c r="E299" s="40">
        <f t="shared" si="16"/>
        <v>-0.17906109212635013</v>
      </c>
      <c r="F299" s="41">
        <f t="shared" si="17"/>
        <v>82.093890787364984</v>
      </c>
      <c r="G299" s="42" t="str">
        <f t="shared" si="18"/>
        <v>2023-03</v>
      </c>
    </row>
    <row r="300" spans="1:7" x14ac:dyDescent="0.25">
      <c r="A300" s="31">
        <v>44998</v>
      </c>
      <c r="B300" s="32">
        <v>36847.506713867202</v>
      </c>
      <c r="C300" s="33">
        <f t="shared" si="19"/>
        <v>-1.4250598482132837E-3</v>
      </c>
      <c r="D300" s="32">
        <f>MAX($B$2:B300)</f>
        <v>44948.645019531301</v>
      </c>
      <c r="E300" s="34">
        <f t="shared" si="16"/>
        <v>-0.18023097920179698</v>
      </c>
      <c r="F300" s="35">
        <f t="shared" si="17"/>
        <v>81.976902079820306</v>
      </c>
      <c r="G300" s="36" t="str">
        <f t="shared" si="18"/>
        <v>2023-03</v>
      </c>
    </row>
    <row r="301" spans="1:7" x14ac:dyDescent="0.25">
      <c r="A301" s="37">
        <v>44999</v>
      </c>
      <c r="B301" s="38">
        <v>37456.594848632798</v>
      </c>
      <c r="C301" s="39">
        <f t="shared" si="19"/>
        <v>1.6529968757326374E-2</v>
      </c>
      <c r="D301" s="38">
        <f>MAX($B$2:B301)</f>
        <v>44948.645019531301</v>
      </c>
      <c r="E301" s="40">
        <f t="shared" si="16"/>
        <v>-0.16668022289977868</v>
      </c>
      <c r="F301" s="41">
        <f t="shared" si="17"/>
        <v>83.33197771002213</v>
      </c>
      <c r="G301" s="42" t="str">
        <f t="shared" si="18"/>
        <v>2023-03</v>
      </c>
    </row>
    <row r="302" spans="1:7" x14ac:dyDescent="0.25">
      <c r="A302" s="31">
        <v>45000</v>
      </c>
      <c r="B302" s="32">
        <v>37222.326660156301</v>
      </c>
      <c r="C302" s="33">
        <f t="shared" si="19"/>
        <v>-6.254390967016854E-3</v>
      </c>
      <c r="D302" s="32">
        <f>MAX($B$2:B302)</f>
        <v>44948.645019531301</v>
      </c>
      <c r="E302" s="34">
        <f t="shared" si="16"/>
        <v>-0.1718921305863107</v>
      </c>
      <c r="F302" s="35">
        <f t="shared" si="17"/>
        <v>82.810786941368931</v>
      </c>
      <c r="G302" s="36" t="str">
        <f t="shared" si="18"/>
        <v>2023-03</v>
      </c>
    </row>
    <row r="303" spans="1:7" x14ac:dyDescent="0.25">
      <c r="A303" s="37">
        <v>45001</v>
      </c>
      <c r="B303" s="38">
        <v>37875.402832031301</v>
      </c>
      <c r="C303" s="39">
        <f t="shared" si="19"/>
        <v>1.7545280762206295E-2</v>
      </c>
      <c r="D303" s="38">
        <f>MAX($B$2:B303)</f>
        <v>44948.645019531301</v>
      </c>
      <c r="E303" s="40">
        <f t="shared" si="16"/>
        <v>-0.15736274551605511</v>
      </c>
      <c r="F303" s="41">
        <f t="shared" si="17"/>
        <v>84.263725448394496</v>
      </c>
      <c r="G303" s="42" t="str">
        <f t="shared" si="18"/>
        <v>2023-03</v>
      </c>
    </row>
    <row r="304" spans="1:7" x14ac:dyDescent="0.25">
      <c r="A304" s="31">
        <v>45002</v>
      </c>
      <c r="B304" s="32">
        <v>37432.534790039099</v>
      </c>
      <c r="C304" s="33">
        <f t="shared" si="19"/>
        <v>-1.1692761234942339E-2</v>
      </c>
      <c r="D304" s="32">
        <f>MAX($B$2:B304)</f>
        <v>44948.645019531301</v>
      </c>
      <c r="E304" s="34">
        <f t="shared" si="16"/>
        <v>-0.16721550174040323</v>
      </c>
      <c r="F304" s="35">
        <f t="shared" si="17"/>
        <v>83.278449825959683</v>
      </c>
      <c r="G304" s="36" t="str">
        <f t="shared" si="18"/>
        <v>2023-03</v>
      </c>
    </row>
    <row r="305" spans="1:7" x14ac:dyDescent="0.25">
      <c r="A305" s="37">
        <v>45005</v>
      </c>
      <c r="B305" s="38">
        <v>37792.471313476599</v>
      </c>
      <c r="C305" s="39">
        <f t="shared" si="19"/>
        <v>9.6156064625705362E-3</v>
      </c>
      <c r="D305" s="38">
        <f>MAX($B$2:B305)</f>
        <v>44948.645019531301</v>
      </c>
      <c r="E305" s="40">
        <f t="shared" si="16"/>
        <v>-0.15920777373700956</v>
      </c>
      <c r="F305" s="41">
        <f t="shared" si="17"/>
        <v>84.079222626299043</v>
      </c>
      <c r="G305" s="42" t="str">
        <f t="shared" si="18"/>
        <v>2023-03</v>
      </c>
    </row>
    <row r="306" spans="1:7" x14ac:dyDescent="0.25">
      <c r="A306" s="31">
        <v>45006</v>
      </c>
      <c r="B306" s="32">
        <v>38288.708496093801</v>
      </c>
      <c r="C306" s="33">
        <f t="shared" si="19"/>
        <v>1.3130583033352572E-2</v>
      </c>
      <c r="D306" s="32">
        <f>MAX($B$2:B306)</f>
        <v>44948.645019531301</v>
      </c>
      <c r="E306" s="34">
        <f t="shared" si="16"/>
        <v>-0.14816768159626592</v>
      </c>
      <c r="F306" s="35">
        <f t="shared" si="17"/>
        <v>85.183231840373409</v>
      </c>
      <c r="G306" s="36" t="str">
        <f t="shared" si="18"/>
        <v>2023-03</v>
      </c>
    </row>
    <row r="307" spans="1:7" x14ac:dyDescent="0.25">
      <c r="A307" s="37">
        <v>45007</v>
      </c>
      <c r="B307" s="38">
        <v>37636.019897460901</v>
      </c>
      <c r="C307" s="39">
        <f t="shared" si="19"/>
        <v>-1.7046503375779509E-2</v>
      </c>
      <c r="D307" s="38">
        <f>MAX($B$2:B307)</f>
        <v>44948.645019531301</v>
      </c>
      <c r="E307" s="40">
        <f t="shared" si="16"/>
        <v>-0.16268844408753325</v>
      </c>
      <c r="F307" s="41">
        <f t="shared" si="17"/>
        <v>83.731155591246676</v>
      </c>
      <c r="G307" s="42" t="str">
        <f t="shared" si="18"/>
        <v>2023-03</v>
      </c>
    </row>
    <row r="308" spans="1:7" x14ac:dyDescent="0.25">
      <c r="A308" s="31">
        <v>45008</v>
      </c>
      <c r="B308" s="32">
        <v>37737.759399414099</v>
      </c>
      <c r="C308" s="33">
        <f t="shared" si="19"/>
        <v>2.7032481710442813E-3</v>
      </c>
      <c r="D308" s="32">
        <f>MAX($B$2:B308)</f>
        <v>44948.645019531301</v>
      </c>
      <c r="E308" s="34">
        <f t="shared" si="16"/>
        <v>-0.16042498315541864</v>
      </c>
      <c r="F308" s="35">
        <f t="shared" si="17"/>
        <v>83.957501684458137</v>
      </c>
      <c r="G308" s="36" t="str">
        <f t="shared" si="18"/>
        <v>2023-03</v>
      </c>
    </row>
    <row r="309" spans="1:7" x14ac:dyDescent="0.25">
      <c r="A309" s="37">
        <v>45009</v>
      </c>
      <c r="B309" s="38">
        <v>37985.403442382798</v>
      </c>
      <c r="C309" s="39">
        <f t="shared" si="19"/>
        <v>6.5622349315350714E-3</v>
      </c>
      <c r="D309" s="38">
        <f>MAX($B$2:B309)</f>
        <v>44948.645019531301</v>
      </c>
      <c r="E309" s="40">
        <f t="shared" si="16"/>
        <v>-0.15491549465223708</v>
      </c>
      <c r="F309" s="41">
        <f t="shared" si="17"/>
        <v>84.508450534776287</v>
      </c>
      <c r="G309" s="42" t="str">
        <f t="shared" si="18"/>
        <v>2023-03</v>
      </c>
    </row>
    <row r="310" spans="1:7" x14ac:dyDescent="0.25">
      <c r="A310" s="31">
        <v>45012</v>
      </c>
      <c r="B310" s="32">
        <v>38056.423950195298</v>
      </c>
      <c r="C310" s="33">
        <f t="shared" si="19"/>
        <v>1.869678912854722E-3</v>
      </c>
      <c r="D310" s="32">
        <f>MAX($B$2:B310)</f>
        <v>44948.645019531301</v>
      </c>
      <c r="E310" s="34">
        <f t="shared" si="16"/>
        <v>-0.15333545797300818</v>
      </c>
      <c r="F310" s="35">
        <f t="shared" si="17"/>
        <v>84.666454202699185</v>
      </c>
      <c r="G310" s="36" t="str">
        <f t="shared" si="18"/>
        <v>2023-03</v>
      </c>
    </row>
    <row r="311" spans="1:7" x14ac:dyDescent="0.25">
      <c r="A311" s="37">
        <v>45013</v>
      </c>
      <c r="B311" s="38">
        <v>37971.002197265603</v>
      </c>
      <c r="C311" s="39">
        <f t="shared" si="19"/>
        <v>-2.2446079810727326E-3</v>
      </c>
      <c r="D311" s="38">
        <f>MAX($B$2:B311)</f>
        <v>44948.645019531301</v>
      </c>
      <c r="E311" s="40">
        <f t="shared" si="16"/>
        <v>-0.15523588796133314</v>
      </c>
      <c r="F311" s="41">
        <f t="shared" si="17"/>
        <v>84.476411203866689</v>
      </c>
      <c r="G311" s="42" t="str">
        <f t="shared" si="18"/>
        <v>2023-03</v>
      </c>
    </row>
    <row r="312" spans="1:7" x14ac:dyDescent="0.25">
      <c r="A312" s="31">
        <v>45014</v>
      </c>
      <c r="B312" s="32">
        <v>38522.906494140603</v>
      </c>
      <c r="C312" s="33">
        <f t="shared" si="19"/>
        <v>1.4534888860919803E-2</v>
      </c>
      <c r="D312" s="32">
        <f>MAX($B$2:B312)</f>
        <v>44948.645019531301</v>
      </c>
      <c r="E312" s="34">
        <f t="shared" si="16"/>
        <v>-0.14295733547915745</v>
      </c>
      <c r="F312" s="35">
        <f t="shared" si="17"/>
        <v>85.704266452084255</v>
      </c>
      <c r="G312" s="36" t="str">
        <f t="shared" si="18"/>
        <v>2023-03</v>
      </c>
    </row>
    <row r="313" spans="1:7" x14ac:dyDescent="0.25">
      <c r="A313" s="37">
        <v>45015</v>
      </c>
      <c r="B313" s="38">
        <v>38748.471069335901</v>
      </c>
      <c r="C313" s="39">
        <f t="shared" si="19"/>
        <v>5.8553363627846799E-3</v>
      </c>
      <c r="D313" s="38">
        <f>MAX($B$2:B313)</f>
        <v>44948.645019531301</v>
      </c>
      <c r="E313" s="40">
        <f t="shared" si="16"/>
        <v>-0.13793906240113063</v>
      </c>
      <c r="F313" s="41">
        <f t="shared" si="17"/>
        <v>86.20609375988694</v>
      </c>
      <c r="G313" s="42" t="str">
        <f t="shared" si="18"/>
        <v>2023-03</v>
      </c>
    </row>
    <row r="314" spans="1:7" x14ac:dyDescent="0.25">
      <c r="A314" s="31">
        <v>45016</v>
      </c>
      <c r="B314" s="32">
        <v>39294.619750976599</v>
      </c>
      <c r="C314" s="33">
        <f t="shared" si="19"/>
        <v>1.4094715651191247E-2</v>
      </c>
      <c r="D314" s="32">
        <f>MAX($B$2:B314)</f>
        <v>44948.645019531301</v>
      </c>
      <c r="E314" s="34">
        <f t="shared" si="16"/>
        <v>-0.12578855861167537</v>
      </c>
      <c r="F314" s="35">
        <f t="shared" si="17"/>
        <v>87.42114413883246</v>
      </c>
      <c r="G314" s="36" t="str">
        <f t="shared" si="18"/>
        <v>2023-03</v>
      </c>
    </row>
    <row r="315" spans="1:7" x14ac:dyDescent="0.25">
      <c r="A315" s="37">
        <v>45019</v>
      </c>
      <c r="B315" s="38">
        <v>39444.345092773401</v>
      </c>
      <c r="C315" s="39">
        <f t="shared" si="19"/>
        <v>3.8103267761759874E-3</v>
      </c>
      <c r="D315" s="38">
        <f>MAX($B$2:B315)</f>
        <v>44948.645019531301</v>
      </c>
      <c r="E315" s="40">
        <f t="shared" si="16"/>
        <v>-0.12245752734851401</v>
      </c>
      <c r="F315" s="41">
        <f t="shared" si="17"/>
        <v>87.754247265148592</v>
      </c>
      <c r="G315" s="42" t="str">
        <f t="shared" si="18"/>
        <v>2023-04</v>
      </c>
    </row>
    <row r="316" spans="1:7" x14ac:dyDescent="0.25">
      <c r="A316" s="31">
        <v>45020</v>
      </c>
      <c r="B316" s="32">
        <v>39225.503540039099</v>
      </c>
      <c r="C316" s="33">
        <f t="shared" si="19"/>
        <v>-5.5481096775618077E-3</v>
      </c>
      <c r="D316" s="32">
        <f>MAX($B$2:B316)</f>
        <v>44948.645019531301</v>
      </c>
      <c r="E316" s="34">
        <f t="shared" si="16"/>
        <v>-0.12732622923350312</v>
      </c>
      <c r="F316" s="35">
        <f t="shared" si="17"/>
        <v>87.267377076649694</v>
      </c>
      <c r="G316" s="36" t="str">
        <f t="shared" si="18"/>
        <v>2023-04</v>
      </c>
    </row>
    <row r="317" spans="1:7" x14ac:dyDescent="0.25">
      <c r="A317" s="37">
        <v>45021</v>
      </c>
      <c r="B317" s="38">
        <v>39122.805786132798</v>
      </c>
      <c r="C317" s="39">
        <f t="shared" si="19"/>
        <v>-2.6181372994096286E-3</v>
      </c>
      <c r="D317" s="38">
        <f>MAX($B$2:B317)</f>
        <v>44948.645019531301</v>
      </c>
      <c r="E317" s="40">
        <f t="shared" si="16"/>
        <v>-0.1296110089829634</v>
      </c>
      <c r="F317" s="41">
        <f t="shared" si="17"/>
        <v>87.038899101703663</v>
      </c>
      <c r="G317" s="42" t="str">
        <f t="shared" si="18"/>
        <v>2023-04</v>
      </c>
    </row>
    <row r="318" spans="1:7" x14ac:dyDescent="0.25">
      <c r="A318" s="31">
        <v>45022</v>
      </c>
      <c r="B318" s="32">
        <v>39275.418090820298</v>
      </c>
      <c r="C318" s="33">
        <f t="shared" si="19"/>
        <v>3.900852753807138E-3</v>
      </c>
      <c r="D318" s="32">
        <f>MAX($B$2:B318)</f>
        <v>44948.645019531301</v>
      </c>
      <c r="E318" s="34">
        <f t="shared" si="16"/>
        <v>-0.12621574969047111</v>
      </c>
      <c r="F318" s="35">
        <f t="shared" si="17"/>
        <v>87.378425030952883</v>
      </c>
      <c r="G318" s="36" t="str">
        <f t="shared" si="18"/>
        <v>2023-04</v>
      </c>
    </row>
    <row r="319" spans="1:7" x14ac:dyDescent="0.25">
      <c r="A319" s="37">
        <v>45026</v>
      </c>
      <c r="B319" s="38">
        <v>39315.725708007798</v>
      </c>
      <c r="C319" s="39">
        <f t="shared" si="19"/>
        <v>1.0262810466916683E-3</v>
      </c>
      <c r="D319" s="38">
        <f>MAX($B$2:B319)</f>
        <v>44948.645019531301</v>
      </c>
      <c r="E319" s="40">
        <f t="shared" si="16"/>
        <v>-0.1253190014754807</v>
      </c>
      <c r="F319" s="41">
        <f t="shared" si="17"/>
        <v>87.468099852451928</v>
      </c>
      <c r="G319" s="42" t="str">
        <f t="shared" si="18"/>
        <v>2023-04</v>
      </c>
    </row>
    <row r="320" spans="1:7" x14ac:dyDescent="0.25">
      <c r="A320" s="31">
        <v>45027</v>
      </c>
      <c r="B320" s="32">
        <v>39326.287841796897</v>
      </c>
      <c r="C320" s="33">
        <f t="shared" si="19"/>
        <v>2.68649086310635E-4</v>
      </c>
      <c r="D320" s="32">
        <f>MAX($B$2:B320)</f>
        <v>44948.645019531301</v>
      </c>
      <c r="E320" s="34">
        <f t="shared" si="16"/>
        <v>-0.12508401922441381</v>
      </c>
      <c r="F320" s="35">
        <f t="shared" si="17"/>
        <v>87.491598077558621</v>
      </c>
      <c r="G320" s="36" t="str">
        <f t="shared" si="18"/>
        <v>2023-04</v>
      </c>
    </row>
    <row r="321" spans="1:7" x14ac:dyDescent="0.25">
      <c r="A321" s="37">
        <v>45028</v>
      </c>
      <c r="B321" s="38">
        <v>39165.994262695298</v>
      </c>
      <c r="C321" s="39">
        <f t="shared" si="19"/>
        <v>-4.0759905879352853E-3</v>
      </c>
      <c r="D321" s="38">
        <f>MAX($B$2:B321)</f>
        <v>44948.645019531301</v>
      </c>
      <c r="E321" s="40">
        <f t="shared" si="16"/>
        <v>-0.12865016852728928</v>
      </c>
      <c r="F321" s="41">
        <f t="shared" si="17"/>
        <v>87.134983147271072</v>
      </c>
      <c r="G321" s="42" t="str">
        <f t="shared" si="18"/>
        <v>2023-04</v>
      </c>
    </row>
    <row r="322" spans="1:7" x14ac:dyDescent="0.25">
      <c r="A322" s="31">
        <v>45029</v>
      </c>
      <c r="B322" s="32">
        <v>39686.221313476599</v>
      </c>
      <c r="C322" s="33">
        <f t="shared" si="19"/>
        <v>1.3282620818764856E-2</v>
      </c>
      <c r="D322" s="32">
        <f>MAX($B$2:B322)</f>
        <v>44948.645019531301</v>
      </c>
      <c r="E322" s="34">
        <f t="shared" ref="E322:E385" si="20">B322/D322-1</f>
        <v>-0.11707635911534264</v>
      </c>
      <c r="F322" s="35">
        <f t="shared" ref="F322:F385" si="21">B322/$B$2*100</f>
        <v>88.292364088465732</v>
      </c>
      <c r="G322" s="36" t="str">
        <f t="shared" ref="G322:G385" si="22">TEXT(A322,"YYYY-MM")</f>
        <v>2023-04</v>
      </c>
    </row>
    <row r="323" spans="1:7" x14ac:dyDescent="0.25">
      <c r="A323" s="37">
        <v>45030</v>
      </c>
      <c r="B323" s="38">
        <v>39589.2822265625</v>
      </c>
      <c r="C323" s="39">
        <f t="shared" ref="C323:C386" si="23">B323/B322-1</f>
        <v>-2.4426383693320064E-3</v>
      </c>
      <c r="D323" s="38">
        <f>MAX($B$2:B323)</f>
        <v>44948.645019531301</v>
      </c>
      <c r="E323" s="40">
        <f t="shared" si="20"/>
        <v>-0.11923302227775778</v>
      </c>
      <c r="F323" s="41">
        <f t="shared" si="21"/>
        <v>88.076697772224222</v>
      </c>
      <c r="G323" s="42" t="str">
        <f t="shared" si="22"/>
        <v>2023-04</v>
      </c>
    </row>
    <row r="324" spans="1:7" x14ac:dyDescent="0.25">
      <c r="A324" s="31">
        <v>45033</v>
      </c>
      <c r="B324" s="32">
        <v>39731.332397460901</v>
      </c>
      <c r="C324" s="33">
        <f t="shared" si="23"/>
        <v>3.5880966491252941E-3</v>
      </c>
      <c r="D324" s="32">
        <f>MAX($B$2:B324)</f>
        <v>44948.645019531301</v>
      </c>
      <c r="E324" s="34">
        <f t="shared" si="20"/>
        <v>-0.11607274523633249</v>
      </c>
      <c r="F324" s="35">
        <f t="shared" si="21"/>
        <v>88.392725476366749</v>
      </c>
      <c r="G324" s="36" t="str">
        <f t="shared" si="22"/>
        <v>2023-04</v>
      </c>
    </row>
    <row r="325" spans="1:7" x14ac:dyDescent="0.25">
      <c r="A325" s="37">
        <v>45034</v>
      </c>
      <c r="B325" s="38">
        <v>39757.247924804702</v>
      </c>
      <c r="C325" s="39">
        <f t="shared" si="23"/>
        <v>6.5226927414729907E-4</v>
      </c>
      <c r="D325" s="38">
        <f>MAX($B$2:B325)</f>
        <v>44948.645019531301</v>
      </c>
      <c r="E325" s="40">
        <f t="shared" si="20"/>
        <v>-0.11549618664746863</v>
      </c>
      <c r="F325" s="41">
        <f t="shared" si="21"/>
        <v>88.450381335253141</v>
      </c>
      <c r="G325" s="42" t="str">
        <f t="shared" si="22"/>
        <v>2023-04</v>
      </c>
    </row>
    <row r="326" spans="1:7" x14ac:dyDescent="0.25">
      <c r="A326" s="31">
        <v>45035</v>
      </c>
      <c r="B326" s="32">
        <v>39750.531005859397</v>
      </c>
      <c r="C326" s="33">
        <f t="shared" si="23"/>
        <v>-1.6894828731628397E-4</v>
      </c>
      <c r="D326" s="32">
        <f>MAX($B$2:B326)</f>
        <v>44948.645019531301</v>
      </c>
      <c r="E326" s="34">
        <f t="shared" si="20"/>
        <v>-0.11564562205185924</v>
      </c>
      <c r="F326" s="35">
        <f t="shared" si="21"/>
        <v>88.435437794814078</v>
      </c>
      <c r="G326" s="36" t="str">
        <f t="shared" si="22"/>
        <v>2023-04</v>
      </c>
    </row>
    <row r="327" spans="1:7" x14ac:dyDescent="0.25">
      <c r="A327" s="37">
        <v>45036</v>
      </c>
      <c r="B327" s="38">
        <v>39533.609008789099</v>
      </c>
      <c r="C327" s="39">
        <f t="shared" si="23"/>
        <v>-5.4570842597881919E-3</v>
      </c>
      <c r="D327" s="38">
        <f>MAX($B$2:B327)</f>
        <v>44948.645019531301</v>
      </c>
      <c r="E327" s="40">
        <f t="shared" si="20"/>
        <v>-0.12047161840783482</v>
      </c>
      <c r="F327" s="41">
        <f t="shared" si="21"/>
        <v>87.952838159216512</v>
      </c>
      <c r="G327" s="42" t="str">
        <f t="shared" si="22"/>
        <v>2023-04</v>
      </c>
    </row>
    <row r="328" spans="1:7" x14ac:dyDescent="0.25">
      <c r="A328" s="31">
        <v>45037</v>
      </c>
      <c r="B328" s="32">
        <v>39564.324951171897</v>
      </c>
      <c r="C328" s="33">
        <f t="shared" si="23"/>
        <v>7.7695771149977055E-4</v>
      </c>
      <c r="D328" s="32">
        <f>MAX($B$2:B328)</f>
        <v>44948.645019531301</v>
      </c>
      <c r="E328" s="34">
        <f t="shared" si="20"/>
        <v>-0.11978826204927384</v>
      </c>
      <c r="F328" s="35">
        <f t="shared" si="21"/>
        <v>88.021173795072613</v>
      </c>
      <c r="G328" s="36" t="str">
        <f t="shared" si="22"/>
        <v>2023-04</v>
      </c>
    </row>
    <row r="329" spans="1:7" x14ac:dyDescent="0.25">
      <c r="A329" s="37">
        <v>45040</v>
      </c>
      <c r="B329" s="38">
        <v>39605.596923828103</v>
      </c>
      <c r="C329" s="39">
        <f t="shared" si="23"/>
        <v>1.0431613001646856E-3</v>
      </c>
      <c r="D329" s="38">
        <f>MAX($B$2:B329)</f>
        <v>44948.645019531301</v>
      </c>
      <c r="E329" s="40">
        <f t="shared" si="20"/>
        <v>-0.11887005922829286</v>
      </c>
      <c r="F329" s="41">
        <f t="shared" si="21"/>
        <v>88.112994077170711</v>
      </c>
      <c r="G329" s="42" t="str">
        <f t="shared" si="22"/>
        <v>2023-04</v>
      </c>
    </row>
    <row r="330" spans="1:7" x14ac:dyDescent="0.25">
      <c r="A330" s="31">
        <v>45041</v>
      </c>
      <c r="B330" s="32">
        <v>38976.904296875</v>
      </c>
      <c r="C330" s="33">
        <f t="shared" si="23"/>
        <v>-1.5873832886857953E-2</v>
      </c>
      <c r="D330" s="32">
        <f>MAX($B$2:B330)</f>
        <v>44948.645019531301</v>
      </c>
      <c r="E330" s="34">
        <f t="shared" si="20"/>
        <v>-0.13285696865970997</v>
      </c>
      <c r="F330" s="35">
        <f t="shared" si="21"/>
        <v>86.714303134029009</v>
      </c>
      <c r="G330" s="36" t="str">
        <f t="shared" si="22"/>
        <v>2023-04</v>
      </c>
    </row>
    <row r="331" spans="1:7" x14ac:dyDescent="0.25">
      <c r="A331" s="37">
        <v>45042</v>
      </c>
      <c r="B331" s="38">
        <v>38811.813354492202</v>
      </c>
      <c r="C331" s="39">
        <f t="shared" si="23"/>
        <v>-4.2356094041063885E-3</v>
      </c>
      <c r="D331" s="38">
        <f>MAX($B$2:B331)</f>
        <v>44948.645019531301</v>
      </c>
      <c r="E331" s="40">
        <f t="shared" si="20"/>
        <v>-0.13652984783796029</v>
      </c>
      <c r="F331" s="41">
        <f t="shared" si="21"/>
        <v>86.347015216203971</v>
      </c>
      <c r="G331" s="42" t="str">
        <f t="shared" si="22"/>
        <v>2023-04</v>
      </c>
    </row>
    <row r="332" spans="1:7" x14ac:dyDescent="0.25">
      <c r="A332" s="31">
        <v>45043</v>
      </c>
      <c r="B332" s="32">
        <v>39584.481811523401</v>
      </c>
      <c r="C332" s="33">
        <f t="shared" si="23"/>
        <v>1.9908074120988495E-2</v>
      </c>
      <c r="D332" s="32">
        <f>MAX($B$2:B332)</f>
        <v>44948.645019531301</v>
      </c>
      <c r="E332" s="34">
        <f t="shared" si="20"/>
        <v>-0.11933982004745725</v>
      </c>
      <c r="F332" s="35">
        <f t="shared" si="21"/>
        <v>88.066017995254271</v>
      </c>
      <c r="G332" s="36" t="str">
        <f t="shared" si="22"/>
        <v>2023-04</v>
      </c>
    </row>
    <row r="333" spans="1:7" x14ac:dyDescent="0.25">
      <c r="A333" s="37">
        <v>45044</v>
      </c>
      <c r="B333" s="38">
        <v>39922.3388671875</v>
      </c>
      <c r="C333" s="39">
        <f t="shared" si="23"/>
        <v>8.53508850444884E-3</v>
      </c>
      <c r="D333" s="38">
        <f>MAX($B$2:B333)</f>
        <v>44948.645019531301</v>
      </c>
      <c r="E333" s="40">
        <f t="shared" si="20"/>
        <v>-0.11182330746921842</v>
      </c>
      <c r="F333" s="41">
        <f t="shared" si="21"/>
        <v>88.817669253078151</v>
      </c>
      <c r="G333" s="42" t="str">
        <f t="shared" si="22"/>
        <v>2023-04</v>
      </c>
    </row>
    <row r="334" spans="1:7" x14ac:dyDescent="0.25">
      <c r="A334" s="31">
        <v>45047</v>
      </c>
      <c r="B334" s="32">
        <v>39882.03125</v>
      </c>
      <c r="C334" s="33">
        <f t="shared" si="23"/>
        <v>-1.0096506951057238E-3</v>
      </c>
      <c r="D334" s="32">
        <f>MAX($B$2:B334)</f>
        <v>44948.645019531301</v>
      </c>
      <c r="E334" s="34">
        <f t="shared" si="20"/>
        <v>-0.11272005568420873</v>
      </c>
      <c r="F334" s="35">
        <f t="shared" si="21"/>
        <v>88.727994431579134</v>
      </c>
      <c r="G334" s="36" t="str">
        <f t="shared" si="22"/>
        <v>2023-05</v>
      </c>
    </row>
    <row r="335" spans="1:7" x14ac:dyDescent="0.25">
      <c r="A335" s="37">
        <v>45048</v>
      </c>
      <c r="B335" s="38">
        <v>39433.786010742202</v>
      </c>
      <c r="C335" s="39">
        <f t="shared" si="23"/>
        <v>-1.1239278071068615E-2</v>
      </c>
      <c r="D335" s="38">
        <f>MAX($B$2:B335)</f>
        <v>44948.645019531301</v>
      </c>
      <c r="E335" s="40">
        <f t="shared" si="20"/>
        <v>-0.12269244170525617</v>
      </c>
      <c r="F335" s="41">
        <f t="shared" si="21"/>
        <v>87.73075582947439</v>
      </c>
      <c r="G335" s="42" t="str">
        <f t="shared" si="22"/>
        <v>2023-05</v>
      </c>
    </row>
    <row r="336" spans="1:7" x14ac:dyDescent="0.25">
      <c r="A336" s="31">
        <v>45049</v>
      </c>
      <c r="B336" s="32">
        <v>39163.1103515625</v>
      </c>
      <c r="C336" s="33">
        <f t="shared" si="23"/>
        <v>-6.8640545725425772E-3</v>
      </c>
      <c r="D336" s="32">
        <f>MAX($B$2:B336)</f>
        <v>44948.645019531301</v>
      </c>
      <c r="E336" s="34">
        <f t="shared" si="20"/>
        <v>-0.12871432866229549</v>
      </c>
      <c r="F336" s="35">
        <f t="shared" si="21"/>
        <v>87.128567133770446</v>
      </c>
      <c r="G336" s="36" t="str">
        <f t="shared" si="22"/>
        <v>2023-05</v>
      </c>
    </row>
    <row r="337" spans="1:7" x14ac:dyDescent="0.25">
      <c r="A337" s="37">
        <v>45050</v>
      </c>
      <c r="B337" s="38">
        <v>38885.729980468801</v>
      </c>
      <c r="C337" s="39">
        <f t="shared" si="23"/>
        <v>-7.0826951333459176E-3</v>
      </c>
      <c r="D337" s="38">
        <f>MAX($B$2:B337)</f>
        <v>44948.645019531301</v>
      </c>
      <c r="E337" s="40">
        <f t="shared" si="20"/>
        <v>-0.13488537944643297</v>
      </c>
      <c r="F337" s="41">
        <f t="shared" si="21"/>
        <v>86.511462055356702</v>
      </c>
      <c r="G337" s="42" t="str">
        <f t="shared" si="22"/>
        <v>2023-05</v>
      </c>
    </row>
    <row r="338" spans="1:7" x14ac:dyDescent="0.25">
      <c r="A338" s="31">
        <v>45051</v>
      </c>
      <c r="B338" s="32">
        <v>39605.596923828103</v>
      </c>
      <c r="C338" s="33">
        <f t="shared" si="23"/>
        <v>1.8512368000314527E-2</v>
      </c>
      <c r="D338" s="32">
        <f>MAX($B$2:B338)</f>
        <v>44948.645019531301</v>
      </c>
      <c r="E338" s="34">
        <f t="shared" si="20"/>
        <v>-0.11887005922829286</v>
      </c>
      <c r="F338" s="35">
        <f t="shared" si="21"/>
        <v>88.112994077170711</v>
      </c>
      <c r="G338" s="36" t="str">
        <f t="shared" si="22"/>
        <v>2023-05</v>
      </c>
    </row>
    <row r="339" spans="1:7" x14ac:dyDescent="0.25">
      <c r="A339" s="37">
        <v>45054</v>
      </c>
      <c r="B339" s="38">
        <v>39616.152954101599</v>
      </c>
      <c r="C339" s="39">
        <f t="shared" si="23"/>
        <v>2.6652875081767391E-4</v>
      </c>
      <c r="D339" s="38">
        <f>MAX($B$2:B339)</f>
        <v>44948.645019531301</v>
      </c>
      <c r="E339" s="40">
        <f t="shared" si="20"/>
        <v>-0.11863521276587097</v>
      </c>
      <c r="F339" s="41">
        <f t="shared" si="21"/>
        <v>88.136478723412907</v>
      </c>
      <c r="G339" s="42" t="str">
        <f t="shared" si="22"/>
        <v>2023-05</v>
      </c>
    </row>
    <row r="340" spans="1:7" x14ac:dyDescent="0.25">
      <c r="A340" s="31">
        <v>45055</v>
      </c>
      <c r="B340" s="32">
        <v>39442.422485351599</v>
      </c>
      <c r="C340" s="33">
        <f t="shared" si="23"/>
        <v>-4.3853442546851751E-3</v>
      </c>
      <c r="D340" s="32">
        <f>MAX($B$2:B340)</f>
        <v>44948.645019531301</v>
      </c>
      <c r="E340" s="34">
        <f t="shared" si="20"/>
        <v>-0.12250030077185003</v>
      </c>
      <c r="F340" s="35">
        <f t="shared" si="21"/>
        <v>87.749969922814998</v>
      </c>
      <c r="G340" s="36" t="str">
        <f t="shared" si="22"/>
        <v>2023-05</v>
      </c>
    </row>
    <row r="341" spans="1:7" x14ac:dyDescent="0.25">
      <c r="A341" s="37">
        <v>45056</v>
      </c>
      <c r="B341" s="38">
        <v>39626.712036132798</v>
      </c>
      <c r="C341" s="39">
        <f t="shared" si="23"/>
        <v>4.672368966425422E-3</v>
      </c>
      <c r="D341" s="38">
        <f>MAX($B$2:B341)</f>
        <v>44948.645019531301</v>
      </c>
      <c r="E341" s="40">
        <f t="shared" si="20"/>
        <v>-0.11840029840912869</v>
      </c>
      <c r="F341" s="41">
        <f t="shared" si="21"/>
        <v>88.159970159087138</v>
      </c>
      <c r="G341" s="42" t="str">
        <f t="shared" si="22"/>
        <v>2023-05</v>
      </c>
    </row>
    <row r="342" spans="1:7" x14ac:dyDescent="0.25">
      <c r="A342" s="31">
        <v>45057</v>
      </c>
      <c r="B342" s="32">
        <v>39557.611083984397</v>
      </c>
      <c r="C342" s="33">
        <f t="shared" si="23"/>
        <v>-1.7437972669898105E-3</v>
      </c>
      <c r="D342" s="32">
        <f>MAX($B$2:B342)</f>
        <v>44948.645019531301</v>
      </c>
      <c r="E342" s="34">
        <f t="shared" si="20"/>
        <v>-0.11993762955934195</v>
      </c>
      <c r="F342" s="35">
        <f t="shared" si="21"/>
        <v>88.006237044065799</v>
      </c>
      <c r="G342" s="36" t="str">
        <f t="shared" si="22"/>
        <v>2023-05</v>
      </c>
    </row>
    <row r="343" spans="1:7" x14ac:dyDescent="0.25">
      <c r="A343" s="37">
        <v>45058</v>
      </c>
      <c r="B343" s="38">
        <v>39505.776977539099</v>
      </c>
      <c r="C343" s="39">
        <f t="shared" si="23"/>
        <v>-1.3103447105349275E-3</v>
      </c>
      <c r="D343" s="38">
        <f>MAX($B$2:B343)</f>
        <v>44948.645019531301</v>
      </c>
      <c r="E343" s="40">
        <f t="shared" si="20"/>
        <v>-0.12109081463138971</v>
      </c>
      <c r="F343" s="41">
        <f t="shared" si="21"/>
        <v>87.890918536861022</v>
      </c>
      <c r="G343" s="42" t="str">
        <f t="shared" si="22"/>
        <v>2023-05</v>
      </c>
    </row>
    <row r="344" spans="1:7" x14ac:dyDescent="0.25">
      <c r="A344" s="31">
        <v>45061</v>
      </c>
      <c r="B344" s="32">
        <v>39642.074584960901</v>
      </c>
      <c r="C344" s="33">
        <f t="shared" si="23"/>
        <v>3.4500677584266004E-3</v>
      </c>
      <c r="D344" s="32">
        <f>MAX($B$2:B344)</f>
        <v>44948.645019531301</v>
      </c>
      <c r="E344" s="34">
        <f t="shared" si="20"/>
        <v>-0.11805851838836434</v>
      </c>
      <c r="F344" s="35">
        <f t="shared" si="21"/>
        <v>88.194148161163568</v>
      </c>
      <c r="G344" s="36" t="str">
        <f t="shared" si="22"/>
        <v>2023-05</v>
      </c>
    </row>
    <row r="345" spans="1:7" x14ac:dyDescent="0.25">
      <c r="A345" s="37">
        <v>45062</v>
      </c>
      <c r="B345" s="38">
        <v>39377.157592773401</v>
      </c>
      <c r="C345" s="39">
        <f t="shared" si="23"/>
        <v>-6.6827227121963872E-3</v>
      </c>
      <c r="D345" s="38">
        <f>MAX($B$2:B345)</f>
        <v>44948.645019531301</v>
      </c>
      <c r="E345" s="40">
        <f t="shared" si="20"/>
        <v>-0.12395228875835862</v>
      </c>
      <c r="F345" s="41">
        <f t="shared" si="21"/>
        <v>87.604771124164131</v>
      </c>
      <c r="G345" s="42" t="str">
        <f t="shared" si="22"/>
        <v>2023-05</v>
      </c>
    </row>
    <row r="346" spans="1:7" x14ac:dyDescent="0.25">
      <c r="A346" s="31">
        <v>45063</v>
      </c>
      <c r="B346" s="32">
        <v>39855.1513671875</v>
      </c>
      <c r="C346" s="33">
        <f t="shared" si="23"/>
        <v>1.213885926854763E-2</v>
      </c>
      <c r="D346" s="32">
        <f>MAX($B$2:B346)</f>
        <v>44948.645019531301</v>
      </c>
      <c r="E346" s="34">
        <f t="shared" si="20"/>
        <v>-0.11331806887906304</v>
      </c>
      <c r="F346" s="35">
        <f t="shared" si="21"/>
        <v>88.668193112093689</v>
      </c>
      <c r="G346" s="36" t="str">
        <f t="shared" si="22"/>
        <v>2023-05</v>
      </c>
    </row>
    <row r="347" spans="1:7" x14ac:dyDescent="0.25">
      <c r="A347" s="37">
        <v>45064</v>
      </c>
      <c r="B347" s="38">
        <v>40239.089965820298</v>
      </c>
      <c r="C347" s="39">
        <f t="shared" si="23"/>
        <v>9.6333494030809153E-3</v>
      </c>
      <c r="D347" s="38">
        <f>MAX($B$2:B347)</f>
        <v>44948.645019531301</v>
      </c>
      <c r="E347" s="40">
        <f t="shared" si="20"/>
        <v>-0.1047763520271765</v>
      </c>
      <c r="F347" s="41">
        <f t="shared" si="21"/>
        <v>89.52236479728235</v>
      </c>
      <c r="G347" s="42" t="str">
        <f t="shared" si="22"/>
        <v>2023-05</v>
      </c>
    </row>
    <row r="348" spans="1:7" x14ac:dyDescent="0.25">
      <c r="A348" s="31">
        <v>45065</v>
      </c>
      <c r="B348" s="32">
        <v>40180.535888671897</v>
      </c>
      <c r="C348" s="33">
        <f t="shared" si="23"/>
        <v>-1.4551541100491505E-3</v>
      </c>
      <c r="D348" s="32">
        <f>MAX($B$2:B348)</f>
        <v>44948.645019531301</v>
      </c>
      <c r="E348" s="34">
        <f t="shared" si="20"/>
        <v>-0.10607904039793725</v>
      </c>
      <c r="F348" s="35">
        <f t="shared" si="21"/>
        <v>89.392095960206277</v>
      </c>
      <c r="G348" s="36" t="str">
        <f t="shared" si="22"/>
        <v>2023-05</v>
      </c>
    </row>
    <row r="349" spans="1:7" x14ac:dyDescent="0.25">
      <c r="A349" s="37">
        <v>45068</v>
      </c>
      <c r="B349" s="38">
        <v>40196.853637695298</v>
      </c>
      <c r="C349" s="39">
        <f t="shared" si="23"/>
        <v>4.0611078629249064E-4</v>
      </c>
      <c r="D349" s="38">
        <f>MAX($B$2:B349)</f>
        <v>44948.645019531301</v>
      </c>
      <c r="E349" s="40">
        <f t="shared" si="20"/>
        <v>-0.10571600945414994</v>
      </c>
      <c r="F349" s="41">
        <f t="shared" si="21"/>
        <v>89.428399054585</v>
      </c>
      <c r="G349" s="42" t="str">
        <f t="shared" si="22"/>
        <v>2023-05</v>
      </c>
    </row>
    <row r="350" spans="1:7" x14ac:dyDescent="0.25">
      <c r="A350" s="31">
        <v>45069</v>
      </c>
      <c r="B350" s="32">
        <v>39745.730590820298</v>
      </c>
      <c r="C350" s="33">
        <f t="shared" si="23"/>
        <v>-1.122284472663182E-2</v>
      </c>
      <c r="D350" s="32">
        <f>MAX($B$2:B350)</f>
        <v>44948.645019531301</v>
      </c>
      <c r="E350" s="34">
        <f t="shared" si="20"/>
        <v>-0.11575241982155871</v>
      </c>
      <c r="F350" s="35">
        <f t="shared" si="21"/>
        <v>88.424758017844127</v>
      </c>
      <c r="G350" s="36" t="str">
        <f t="shared" si="22"/>
        <v>2023-05</v>
      </c>
    </row>
    <row r="351" spans="1:7" x14ac:dyDescent="0.25">
      <c r="A351" s="37">
        <v>45070</v>
      </c>
      <c r="B351" s="38">
        <v>39457.781982421897</v>
      </c>
      <c r="C351" s="39">
        <f t="shared" si="23"/>
        <v>-7.2447682837387672E-3</v>
      </c>
      <c r="D351" s="38">
        <f>MAX($B$2:B351)</f>
        <v>44948.645019531301</v>
      </c>
      <c r="E351" s="40">
        <f t="shared" si="20"/>
        <v>-0.12215858864540829</v>
      </c>
      <c r="F351" s="41">
        <f t="shared" si="21"/>
        <v>87.784141135459166</v>
      </c>
      <c r="G351" s="42" t="str">
        <f t="shared" si="22"/>
        <v>2023-05</v>
      </c>
    </row>
    <row r="352" spans="1:7" x14ac:dyDescent="0.25">
      <c r="A352" s="31">
        <v>45071</v>
      </c>
      <c r="B352" s="32">
        <v>39799.478149414099</v>
      </c>
      <c r="C352" s="33">
        <f t="shared" si="23"/>
        <v>8.6597915499766476E-3</v>
      </c>
      <c r="D352" s="32">
        <f>MAX($B$2:B352)</f>
        <v>44948.645019531301</v>
      </c>
      <c r="E352" s="34">
        <f t="shared" si="20"/>
        <v>-0.11455666500914008</v>
      </c>
      <c r="F352" s="35">
        <f t="shared" si="21"/>
        <v>88.544333499085994</v>
      </c>
      <c r="G352" s="36" t="str">
        <f t="shared" si="22"/>
        <v>2023-05</v>
      </c>
    </row>
    <row r="353" spans="1:7" x14ac:dyDescent="0.25">
      <c r="A353" s="37">
        <v>45072</v>
      </c>
      <c r="B353" s="38">
        <v>40314.920043945298</v>
      </c>
      <c r="C353" s="39">
        <f t="shared" si="23"/>
        <v>1.2950971180982318E-2</v>
      </c>
      <c r="D353" s="38">
        <f>MAX($B$2:B353)</f>
        <v>44948.645019531301</v>
      </c>
      <c r="E353" s="40">
        <f t="shared" si="20"/>
        <v>-0.10308931389528064</v>
      </c>
      <c r="F353" s="41">
        <f t="shared" si="21"/>
        <v>89.69106861047193</v>
      </c>
      <c r="G353" s="42" t="str">
        <f t="shared" si="22"/>
        <v>2023-05</v>
      </c>
    </row>
    <row r="354" spans="1:7" x14ac:dyDescent="0.25">
      <c r="A354" s="31">
        <v>45076</v>
      </c>
      <c r="B354" s="32">
        <v>40330.270385742202</v>
      </c>
      <c r="C354" s="33">
        <f t="shared" si="23"/>
        <v>3.8076081461091427E-4</v>
      </c>
      <c r="D354" s="32">
        <f>MAX($B$2:B354)</f>
        <v>44948.645019531301</v>
      </c>
      <c r="E354" s="34">
        <f t="shared" si="20"/>
        <v>-0.10274780545180617</v>
      </c>
      <c r="F354" s="35">
        <f t="shared" si="21"/>
        <v>89.725219454819381</v>
      </c>
      <c r="G354" s="36" t="str">
        <f t="shared" si="22"/>
        <v>2023-05</v>
      </c>
    </row>
    <row r="355" spans="1:7" x14ac:dyDescent="0.25">
      <c r="A355" s="37">
        <v>45077</v>
      </c>
      <c r="B355" s="38">
        <v>40106.631469726599</v>
      </c>
      <c r="C355" s="39">
        <f t="shared" si="23"/>
        <v>-5.5451876190412142E-3</v>
      </c>
      <c r="D355" s="38">
        <f>MAX($B$2:B355)</f>
        <v>44948.645019531301</v>
      </c>
      <c r="E355" s="40">
        <f t="shared" si="20"/>
        <v>-0.10772323721217236</v>
      </c>
      <c r="F355" s="41">
        <f t="shared" si="21"/>
        <v>89.227676278782766</v>
      </c>
      <c r="G355" s="42" t="str">
        <f t="shared" si="22"/>
        <v>2023-05</v>
      </c>
    </row>
    <row r="356" spans="1:7" x14ac:dyDescent="0.25">
      <c r="A356" s="31">
        <v>45078</v>
      </c>
      <c r="B356" s="32">
        <v>40487.686157226599</v>
      </c>
      <c r="C356" s="33">
        <f t="shared" si="23"/>
        <v>9.5010394425079081E-3</v>
      </c>
      <c r="D356" s="32">
        <f>MAX($B$2:B356)</f>
        <v>44948.645019531301</v>
      </c>
      <c r="E356" s="34">
        <f t="shared" si="20"/>
        <v>-9.9245680495292032E-2</v>
      </c>
      <c r="F356" s="35">
        <f t="shared" si="21"/>
        <v>90.075431950470801</v>
      </c>
      <c r="G356" s="36" t="str">
        <f t="shared" si="22"/>
        <v>2023-06</v>
      </c>
    </row>
    <row r="357" spans="1:7" x14ac:dyDescent="0.25">
      <c r="A357" s="37">
        <v>45079</v>
      </c>
      <c r="B357" s="38">
        <v>41073.184204101599</v>
      </c>
      <c r="C357" s="39">
        <f t="shared" si="23"/>
        <v>1.4461138742315915E-2</v>
      </c>
      <c r="D357" s="38">
        <f>MAX($B$2:B357)</f>
        <v>44948.645019531301</v>
      </c>
      <c r="E357" s="40">
        <f t="shared" si="20"/>
        <v>-8.6219747308194039E-2</v>
      </c>
      <c r="F357" s="41">
        <f t="shared" si="21"/>
        <v>91.378025269180597</v>
      </c>
      <c r="G357" s="42" t="str">
        <f t="shared" si="22"/>
        <v>2023-06</v>
      </c>
    </row>
    <row r="358" spans="1:7" x14ac:dyDescent="0.25">
      <c r="A358" s="31">
        <v>45082</v>
      </c>
      <c r="B358" s="32">
        <v>40994.476318359397</v>
      </c>
      <c r="C358" s="33">
        <f t="shared" si="23"/>
        <v>-1.916284000555768E-3</v>
      </c>
      <c r="D358" s="32">
        <f>MAX($B$2:B358)</f>
        <v>44948.645019531301</v>
      </c>
      <c r="E358" s="34">
        <f t="shared" si="20"/>
        <v>-8.7970809786451221E-2</v>
      </c>
      <c r="F358" s="35">
        <f t="shared" si="21"/>
        <v>91.202919021354873</v>
      </c>
      <c r="G358" s="36" t="str">
        <f t="shared" si="22"/>
        <v>2023-06</v>
      </c>
    </row>
    <row r="359" spans="1:7" x14ac:dyDescent="0.25">
      <c r="A359" s="37">
        <v>45083</v>
      </c>
      <c r="B359" s="38">
        <v>41083.740234375</v>
      </c>
      <c r="C359" s="39">
        <f t="shared" si="23"/>
        <v>2.1774620395778044E-3</v>
      </c>
      <c r="D359" s="38">
        <f>MAX($B$2:B359)</f>
        <v>44948.645019531301</v>
      </c>
      <c r="E359" s="40">
        <f t="shared" si="20"/>
        <v>-8.5984900845774148E-2</v>
      </c>
      <c r="F359" s="41">
        <f t="shared" si="21"/>
        <v>91.401509915422579</v>
      </c>
      <c r="G359" s="42" t="str">
        <f t="shared" si="22"/>
        <v>2023-06</v>
      </c>
    </row>
    <row r="360" spans="1:7" x14ac:dyDescent="0.25">
      <c r="A360" s="31">
        <v>45084</v>
      </c>
      <c r="B360" s="32">
        <v>40941.693115234397</v>
      </c>
      <c r="C360" s="33">
        <f t="shared" si="23"/>
        <v>-3.457502124447509E-3</v>
      </c>
      <c r="D360" s="32">
        <f>MAX($B$2:B360)</f>
        <v>44948.645019531301</v>
      </c>
      <c r="E360" s="34">
        <f t="shared" si="20"/>
        <v>-8.9145109992877059E-2</v>
      </c>
      <c r="F360" s="35">
        <f t="shared" si="21"/>
        <v>91.0854890007123</v>
      </c>
      <c r="G360" s="36" t="str">
        <f t="shared" si="22"/>
        <v>2023-06</v>
      </c>
    </row>
    <row r="361" spans="1:7" x14ac:dyDescent="0.25">
      <c r="A361" s="37">
        <v>45085</v>
      </c>
      <c r="B361" s="38">
        <v>41189.321899414099</v>
      </c>
      <c r="C361" s="39">
        <f t="shared" si="23"/>
        <v>6.048327886263305E-3</v>
      </c>
      <c r="D361" s="38">
        <f>MAX($B$2:B361)</f>
        <v>44948.645019531301</v>
      </c>
      <c r="E361" s="40">
        <f t="shared" si="20"/>
        <v>-8.3635960961307765E-2</v>
      </c>
      <c r="F361" s="41">
        <f t="shared" si="21"/>
        <v>91.636403903869223</v>
      </c>
      <c r="G361" s="42" t="str">
        <f t="shared" si="22"/>
        <v>2023-06</v>
      </c>
    </row>
    <row r="362" spans="1:7" x14ac:dyDescent="0.25">
      <c r="A362" s="31">
        <v>45086</v>
      </c>
      <c r="B362" s="32">
        <v>41263.226318359397</v>
      </c>
      <c r="C362" s="33">
        <f t="shared" si="23"/>
        <v>1.7942616080395268E-3</v>
      </c>
      <c r="D362" s="32">
        <f>MAX($B$2:B362)</f>
        <v>44948.645019531301</v>
      </c>
      <c r="E362" s="34">
        <f t="shared" si="20"/>
        <v>-8.1991764147072654E-2</v>
      </c>
      <c r="F362" s="35">
        <f t="shared" si="21"/>
        <v>91.800823585292733</v>
      </c>
      <c r="G362" s="36" t="str">
        <f t="shared" si="22"/>
        <v>2023-06</v>
      </c>
    </row>
    <row r="363" spans="1:7" x14ac:dyDescent="0.25">
      <c r="A363" s="37">
        <v>45089</v>
      </c>
      <c r="B363" s="38">
        <v>41637.567138671897</v>
      </c>
      <c r="C363" s="39">
        <f t="shared" si="23"/>
        <v>9.0720201426892633E-3</v>
      </c>
      <c r="D363" s="38">
        <f>MAX($B$2:B363)</f>
        <v>44948.645019531301</v>
      </c>
      <c r="E363" s="40">
        <f t="shared" si="20"/>
        <v>-7.3663574940260323E-2</v>
      </c>
      <c r="F363" s="41">
        <f t="shared" si="21"/>
        <v>92.633642505973967</v>
      </c>
      <c r="G363" s="42" t="str">
        <f t="shared" si="22"/>
        <v>2023-06</v>
      </c>
    </row>
    <row r="364" spans="1:7" x14ac:dyDescent="0.25">
      <c r="A364" s="31">
        <v>45090</v>
      </c>
      <c r="B364" s="32">
        <v>41912.078857421897</v>
      </c>
      <c r="C364" s="33">
        <f t="shared" si="23"/>
        <v>6.5928856466506147E-3</v>
      </c>
      <c r="D364" s="32">
        <f>MAX($B$2:B364)</f>
        <v>44948.645019531301</v>
      </c>
      <c r="E364" s="34">
        <f t="shared" si="20"/>
        <v>-6.7556344819514336E-2</v>
      </c>
      <c r="F364" s="35">
        <f t="shared" si="21"/>
        <v>93.244365518048568</v>
      </c>
      <c r="G364" s="36" t="str">
        <f t="shared" si="22"/>
        <v>2023-06</v>
      </c>
    </row>
    <row r="365" spans="1:7" x14ac:dyDescent="0.25">
      <c r="A365" s="37">
        <v>45091</v>
      </c>
      <c r="B365" s="38">
        <v>41961.9873046875</v>
      </c>
      <c r="C365" s="39">
        <f t="shared" si="23"/>
        <v>1.1907891144073979E-3</v>
      </c>
      <c r="D365" s="38">
        <f>MAX($B$2:B365)</f>
        <v>44948.645019531301</v>
      </c>
      <c r="E365" s="40">
        <f t="shared" si="20"/>
        <v>-6.6446001065127214E-2</v>
      </c>
      <c r="F365" s="41">
        <f t="shared" si="21"/>
        <v>93.355399893487274</v>
      </c>
      <c r="G365" s="42" t="str">
        <f t="shared" si="22"/>
        <v>2023-06</v>
      </c>
    </row>
    <row r="366" spans="1:7" x14ac:dyDescent="0.25">
      <c r="A366" s="31">
        <v>45092</v>
      </c>
      <c r="B366" s="32">
        <v>42482.214355468801</v>
      </c>
      <c r="C366" s="33">
        <f t="shared" si="23"/>
        <v>1.2397578956494959E-2</v>
      </c>
      <c r="D366" s="32">
        <f>MAX($B$2:B366)</f>
        <v>44948.645019531301</v>
      </c>
      <c r="E366" s="34">
        <f t="shared" si="20"/>
        <v>-5.487219165318058E-2</v>
      </c>
      <c r="F366" s="35">
        <f t="shared" si="21"/>
        <v>94.512780834681948</v>
      </c>
      <c r="G366" s="36" t="str">
        <f t="shared" si="22"/>
        <v>2023-06</v>
      </c>
    </row>
    <row r="367" spans="1:7" x14ac:dyDescent="0.25">
      <c r="A367" s="37">
        <v>45093</v>
      </c>
      <c r="B367" s="38">
        <v>42337.515258789099</v>
      </c>
      <c r="C367" s="39">
        <f t="shared" si="23"/>
        <v>-3.4061100362833274E-3</v>
      </c>
      <c r="D367" s="38">
        <f>MAX($B$2:B367)</f>
        <v>44948.645019531301</v>
      </c>
      <c r="E367" s="40">
        <f t="shared" si="20"/>
        <v>-5.8091400966761131E-2</v>
      </c>
      <c r="F367" s="41">
        <f t="shared" si="21"/>
        <v>94.190859903323883</v>
      </c>
      <c r="G367" s="42" t="str">
        <f t="shared" si="22"/>
        <v>2023-06</v>
      </c>
    </row>
    <row r="368" spans="1:7" x14ac:dyDescent="0.25">
      <c r="A368" s="31">
        <v>45097</v>
      </c>
      <c r="B368" s="32">
        <v>42117.858886718801</v>
      </c>
      <c r="C368" s="33">
        <f t="shared" si="23"/>
        <v>-5.1882206768073535E-3</v>
      </c>
      <c r="D368" s="32">
        <f>MAX($B$2:B368)</f>
        <v>44948.645019531301</v>
      </c>
      <c r="E368" s="34">
        <f t="shared" si="20"/>
        <v>-6.2978230635928001E-2</v>
      </c>
      <c r="F368" s="35">
        <f t="shared" si="21"/>
        <v>93.702176936407199</v>
      </c>
      <c r="G368" s="36" t="str">
        <f t="shared" si="22"/>
        <v>2023-06</v>
      </c>
    </row>
    <row r="369" spans="1:7" x14ac:dyDescent="0.25">
      <c r="A369" s="37">
        <v>45098</v>
      </c>
      <c r="B369" s="38">
        <v>41902.053833007798</v>
      </c>
      <c r="C369" s="39">
        <f t="shared" si="23"/>
        <v>-5.1238372371074092E-3</v>
      </c>
      <c r="D369" s="38">
        <f>MAX($B$2:B369)</f>
        <v>44948.645019531301</v>
      </c>
      <c r="E369" s="40">
        <f t="shared" si="20"/>
        <v>-6.7779377669775931E-2</v>
      </c>
      <c r="F369" s="41">
        <f t="shared" si="21"/>
        <v>93.222062233022413</v>
      </c>
      <c r="G369" s="42" t="str">
        <f t="shared" si="22"/>
        <v>2023-06</v>
      </c>
    </row>
    <row r="370" spans="1:7" x14ac:dyDescent="0.25">
      <c r="A370" s="31">
        <v>45099</v>
      </c>
      <c r="B370" s="32">
        <v>42053.317260742202</v>
      </c>
      <c r="C370" s="33">
        <f t="shared" si="23"/>
        <v>3.6099287241917466E-3</v>
      </c>
      <c r="D370" s="32">
        <f>MAX($B$2:B370)</f>
        <v>44948.645019531301</v>
      </c>
      <c r="E370" s="34">
        <f t="shared" si="20"/>
        <v>-6.4414127667942078E-2</v>
      </c>
      <c r="F370" s="35">
        <f t="shared" si="21"/>
        <v>93.558587233205799</v>
      </c>
      <c r="G370" s="36" t="str">
        <f t="shared" si="22"/>
        <v>2023-06</v>
      </c>
    </row>
    <row r="371" spans="1:7" x14ac:dyDescent="0.25">
      <c r="A371" s="37">
        <v>45100</v>
      </c>
      <c r="B371" s="38">
        <v>41735.397338867202</v>
      </c>
      <c r="C371" s="39">
        <f t="shared" si="23"/>
        <v>-7.5599249377595878E-3</v>
      </c>
      <c r="D371" s="38">
        <f>MAX($B$2:B371)</f>
        <v>44948.645019531301</v>
      </c>
      <c r="E371" s="40">
        <f t="shared" si="20"/>
        <v>-7.1487086635600772E-2</v>
      </c>
      <c r="F371" s="41">
        <f t="shared" si="21"/>
        <v>92.851291336439928</v>
      </c>
      <c r="G371" s="42" t="str">
        <f t="shared" si="22"/>
        <v>2023-06</v>
      </c>
    </row>
    <row r="372" spans="1:7" x14ac:dyDescent="0.25">
      <c r="A372" s="31">
        <v>45103</v>
      </c>
      <c r="B372" s="32">
        <v>41564.871215820298</v>
      </c>
      <c r="C372" s="33">
        <f t="shared" si="23"/>
        <v>-4.0858871346625136E-3</v>
      </c>
      <c r="D372" s="32">
        <f>MAX($B$2:B372)</f>
        <v>44948.645019531301</v>
      </c>
      <c r="E372" s="34">
        <f t="shared" si="20"/>
        <v>-7.5280885602684311E-2</v>
      </c>
      <c r="F372" s="35">
        <f t="shared" si="21"/>
        <v>92.471911439731571</v>
      </c>
      <c r="G372" s="36" t="str">
        <f t="shared" si="22"/>
        <v>2023-06</v>
      </c>
    </row>
    <row r="373" spans="1:7" x14ac:dyDescent="0.25">
      <c r="A373" s="37">
        <v>45104</v>
      </c>
      <c r="B373" s="38">
        <v>42020.559692382798</v>
      </c>
      <c r="C373" s="39">
        <f t="shared" si="23"/>
        <v>1.0963307794132016E-2</v>
      </c>
      <c r="D373" s="38">
        <f>MAX($B$2:B373)</f>
        <v>44948.645019531301</v>
      </c>
      <c r="E373" s="40">
        <f t="shared" si="20"/>
        <v>-6.5142905328429257E-2</v>
      </c>
      <c r="F373" s="41">
        <f t="shared" si="21"/>
        <v>93.485709467157079</v>
      </c>
      <c r="G373" s="42" t="str">
        <f t="shared" si="22"/>
        <v>2023-06</v>
      </c>
    </row>
    <row r="374" spans="1:7" x14ac:dyDescent="0.25">
      <c r="A374" s="31">
        <v>45105</v>
      </c>
      <c r="B374" s="32">
        <v>42041.754150390603</v>
      </c>
      <c r="C374" s="33">
        <f t="shared" si="23"/>
        <v>5.0438304874944606E-4</v>
      </c>
      <c r="D374" s="32">
        <f>MAX($B$2:B374)</f>
        <v>44948.645019531301</v>
      </c>
      <c r="E374" s="34">
        <f t="shared" si="20"/>
        <v>-6.4671379256873718E-2</v>
      </c>
      <c r="F374" s="35">
        <f t="shared" si="21"/>
        <v>93.532862074312632</v>
      </c>
      <c r="G374" s="36" t="str">
        <f t="shared" si="22"/>
        <v>2023-06</v>
      </c>
    </row>
    <row r="375" spans="1:7" x14ac:dyDescent="0.25">
      <c r="A375" s="37">
        <v>45106</v>
      </c>
      <c r="B375" s="38">
        <v>42207.455444335901</v>
      </c>
      <c r="C375" s="39">
        <f t="shared" si="23"/>
        <v>3.9413506237764295E-3</v>
      </c>
      <c r="D375" s="38">
        <f>MAX($B$2:B375)</f>
        <v>44948.645019531301</v>
      </c>
      <c r="E375" s="40">
        <f t="shared" si="20"/>
        <v>-6.0984921214071841E-2</v>
      </c>
      <c r="F375" s="41">
        <f t="shared" si="21"/>
        <v>93.90150787859281</v>
      </c>
      <c r="G375" s="42" t="str">
        <f t="shared" si="22"/>
        <v>2023-06</v>
      </c>
    </row>
    <row r="376" spans="1:7" x14ac:dyDescent="0.25">
      <c r="A376" s="31">
        <v>45107</v>
      </c>
      <c r="B376" s="32">
        <v>42705.535888671897</v>
      </c>
      <c r="C376" s="33">
        <f t="shared" si="23"/>
        <v>1.1800769297568126E-2</v>
      </c>
      <c r="D376" s="32">
        <f>MAX($B$2:B376)</f>
        <v>44948.645019531301</v>
      </c>
      <c r="E376" s="34">
        <f t="shared" si="20"/>
        <v>-4.9903820902381324E-2</v>
      </c>
      <c r="F376" s="35">
        <f t="shared" si="21"/>
        <v>95.009617909761872</v>
      </c>
      <c r="G376" s="36" t="str">
        <f t="shared" si="22"/>
        <v>2023-06</v>
      </c>
    </row>
    <row r="377" spans="1:7" x14ac:dyDescent="0.25">
      <c r="A377" s="37">
        <v>45110</v>
      </c>
      <c r="B377" s="38">
        <v>42754.666137695298</v>
      </c>
      <c r="C377" s="39">
        <f t="shared" si="23"/>
        <v>1.1504421616783667E-3</v>
      </c>
      <c r="D377" s="38">
        <f>MAX($B$2:B377)</f>
        <v>44948.645019531301</v>
      </c>
      <c r="E377" s="40">
        <f t="shared" si="20"/>
        <v>-4.8810790200297771E-2</v>
      </c>
      <c r="F377" s="41">
        <f t="shared" si="21"/>
        <v>95.118920979970227</v>
      </c>
      <c r="G377" s="42" t="str">
        <f t="shared" si="22"/>
        <v>2023-07</v>
      </c>
    </row>
    <row r="378" spans="1:7" x14ac:dyDescent="0.25">
      <c r="A378" s="31">
        <v>45112</v>
      </c>
      <c r="B378" s="32">
        <v>42691.085815429702</v>
      </c>
      <c r="C378" s="33">
        <f t="shared" si="23"/>
        <v>-1.4870966846245448E-3</v>
      </c>
      <c r="D378" s="32">
        <f>MAX($B$2:B378)</f>
        <v>44948.645019531301</v>
      </c>
      <c r="E378" s="34">
        <f t="shared" si="20"/>
        <v>-5.0225300520641558E-2</v>
      </c>
      <c r="F378" s="35">
        <f t="shared" si="21"/>
        <v>94.977469947935845</v>
      </c>
      <c r="G378" s="36" t="str">
        <f t="shared" si="22"/>
        <v>2023-07</v>
      </c>
    </row>
    <row r="379" spans="1:7" x14ac:dyDescent="0.25">
      <c r="A379" s="37">
        <v>45113</v>
      </c>
      <c r="B379" s="38">
        <v>42356.781005859397</v>
      </c>
      <c r="C379" s="39">
        <f t="shared" si="23"/>
        <v>-7.8307872284072433E-3</v>
      </c>
      <c r="D379" s="38">
        <f>MAX($B$2:B379)</f>
        <v>44948.645019531301</v>
      </c>
      <c r="E379" s="40">
        <f t="shared" si="20"/>
        <v>-5.7662784107188836E-2</v>
      </c>
      <c r="F379" s="41">
        <f t="shared" si="21"/>
        <v>94.233721589281117</v>
      </c>
      <c r="G379" s="42" t="str">
        <f t="shared" si="22"/>
        <v>2023-07</v>
      </c>
    </row>
    <row r="380" spans="1:7" x14ac:dyDescent="0.25">
      <c r="A380" s="31">
        <v>45114</v>
      </c>
      <c r="B380" s="32">
        <v>42249.844360351599</v>
      </c>
      <c r="C380" s="33">
        <f t="shared" si="23"/>
        <v>-2.5246641262235414E-3</v>
      </c>
      <c r="D380" s="32">
        <f>MAX($B$2:B380)</f>
        <v>44948.645019531301</v>
      </c>
      <c r="E380" s="34">
        <f t="shared" si="20"/>
        <v>-6.0041869070958764E-2</v>
      </c>
      <c r="F380" s="35">
        <f t="shared" si="21"/>
        <v>93.995813092904129</v>
      </c>
      <c r="G380" s="36" t="str">
        <f t="shared" si="22"/>
        <v>2023-07</v>
      </c>
    </row>
    <row r="381" spans="1:7" x14ac:dyDescent="0.25">
      <c r="A381" s="37">
        <v>45117</v>
      </c>
      <c r="B381" s="38">
        <v>42356.781005859397</v>
      </c>
      <c r="C381" s="39">
        <f t="shared" si="23"/>
        <v>2.5310541879333126E-3</v>
      </c>
      <c r="D381" s="38">
        <f>MAX($B$2:B381)</f>
        <v>44948.645019531301</v>
      </c>
      <c r="E381" s="40">
        <f t="shared" si="20"/>
        <v>-5.7662784107188836E-2</v>
      </c>
      <c r="F381" s="41">
        <f t="shared" si="21"/>
        <v>94.233721589281117</v>
      </c>
      <c r="G381" s="42" t="str">
        <f t="shared" si="22"/>
        <v>2023-07</v>
      </c>
    </row>
    <row r="382" spans="1:7" x14ac:dyDescent="0.25">
      <c r="A382" s="31">
        <v>45118</v>
      </c>
      <c r="B382" s="32">
        <v>42626.531982421897</v>
      </c>
      <c r="C382" s="33">
        <f t="shared" si="23"/>
        <v>6.3685428910469355E-3</v>
      </c>
      <c r="D382" s="32">
        <f>MAX($B$2:B382)</f>
        <v>44948.645019531301</v>
      </c>
      <c r="E382" s="34">
        <f t="shared" si="20"/>
        <v>-5.1661469129945736E-2</v>
      </c>
      <c r="F382" s="35">
        <f t="shared" si="21"/>
        <v>94.833853087005423</v>
      </c>
      <c r="G382" s="36" t="str">
        <f t="shared" si="22"/>
        <v>2023-07</v>
      </c>
    </row>
    <row r="383" spans="1:7" x14ac:dyDescent="0.25">
      <c r="A383" s="37">
        <v>45119</v>
      </c>
      <c r="B383" s="38">
        <v>42969.503784179702</v>
      </c>
      <c r="C383" s="39">
        <f t="shared" si="23"/>
        <v>8.0459700990744842E-3</v>
      </c>
      <c r="D383" s="38">
        <f>MAX($B$2:B383)</f>
        <v>44948.645019531301</v>
      </c>
      <c r="E383" s="40">
        <f t="shared" si="20"/>
        <v>-4.4031165666765126E-2</v>
      </c>
      <c r="F383" s="41">
        <f t="shared" si="21"/>
        <v>95.596883433323484</v>
      </c>
      <c r="G383" s="42" t="str">
        <f t="shared" si="22"/>
        <v>2023-07</v>
      </c>
    </row>
    <row r="384" spans="1:7" x14ac:dyDescent="0.25">
      <c r="A384" s="31">
        <v>45120</v>
      </c>
      <c r="B384" s="32">
        <v>43310.543823242202</v>
      </c>
      <c r="C384" s="33">
        <f t="shared" si="23"/>
        <v>7.9367925860960309E-3</v>
      </c>
      <c r="D384" s="32">
        <f>MAX($B$2:B384)</f>
        <v>44948.645019531301</v>
      </c>
      <c r="E384" s="34">
        <f t="shared" si="20"/>
        <v>-3.6443839309890258E-2</v>
      </c>
      <c r="F384" s="35">
        <f t="shared" si="21"/>
        <v>96.355616069010978</v>
      </c>
      <c r="G384" s="36" t="str">
        <f t="shared" si="22"/>
        <v>2023-07</v>
      </c>
    </row>
    <row r="385" spans="1:7" x14ac:dyDescent="0.25">
      <c r="A385" s="37">
        <v>45121</v>
      </c>
      <c r="B385" s="38">
        <v>43283.575439453103</v>
      </c>
      <c r="C385" s="39">
        <f t="shared" si="23"/>
        <v>-6.2267479021183014E-4</v>
      </c>
      <c r="D385" s="38">
        <f>MAX($B$2:B385)</f>
        <v>44948.645019531301</v>
      </c>
      <c r="E385" s="40">
        <f t="shared" si="20"/>
        <v>-3.7043821440105318E-2</v>
      </c>
      <c r="F385" s="41">
        <f t="shared" si="21"/>
        <v>96.295617855989462</v>
      </c>
      <c r="G385" s="42" t="str">
        <f t="shared" si="22"/>
        <v>2023-07</v>
      </c>
    </row>
    <row r="386" spans="1:7" x14ac:dyDescent="0.25">
      <c r="A386" s="31">
        <v>45124</v>
      </c>
      <c r="B386" s="32">
        <v>43433.856201171897</v>
      </c>
      <c r="C386" s="33">
        <f t="shared" si="23"/>
        <v>3.4720043386669008E-3</v>
      </c>
      <c r="D386" s="32">
        <f>MAX($B$2:B386)</f>
        <v>44948.645019531301</v>
      </c>
      <c r="E386" s="34">
        <f t="shared" ref="E386:E449" si="24">B386/D386-1</f>
        <v>-3.3700433410199349E-2</v>
      </c>
      <c r="F386" s="35">
        <f t="shared" ref="F386:F449" si="25">B386/$B$2*100</f>
        <v>96.629956658980063</v>
      </c>
      <c r="G386" s="36" t="str">
        <f t="shared" ref="G386:G449" si="26">TEXT(A386,"YYYY-MM")</f>
        <v>2023-07</v>
      </c>
    </row>
    <row r="387" spans="1:7" x14ac:dyDescent="0.25">
      <c r="A387" s="37">
        <v>45125</v>
      </c>
      <c r="B387" s="38">
        <v>43756.597900390603</v>
      </c>
      <c r="C387" s="39">
        <f t="shared" ref="C387:C450" si="27">B387/B386-1</f>
        <v>7.4306480576780132E-3</v>
      </c>
      <c r="D387" s="38">
        <f>MAX($B$2:B387)</f>
        <v>44948.645019531301</v>
      </c>
      <c r="E387" s="40">
        <f t="shared" si="24"/>
        <v>-2.652020141258371E-2</v>
      </c>
      <c r="F387" s="41">
        <f t="shared" si="25"/>
        <v>97.347979858741624</v>
      </c>
      <c r="G387" s="42" t="str">
        <f t="shared" si="26"/>
        <v>2023-07</v>
      </c>
    </row>
    <row r="388" spans="1:7" x14ac:dyDescent="0.25">
      <c r="A388" s="31">
        <v>45126</v>
      </c>
      <c r="B388" s="32">
        <v>43853.900146484397</v>
      </c>
      <c r="C388" s="33">
        <f t="shared" si="27"/>
        <v>2.2237159825655439E-3</v>
      </c>
      <c r="D388" s="32">
        <f>MAX($B$2:B388)</f>
        <v>44948.645019531301</v>
      </c>
      <c r="E388" s="34">
        <f t="shared" si="24"/>
        <v>-2.4355458825760179E-2</v>
      </c>
      <c r="F388" s="35">
        <f t="shared" si="25"/>
        <v>97.564454117423978</v>
      </c>
      <c r="G388" s="36" t="str">
        <f t="shared" si="26"/>
        <v>2023-07</v>
      </c>
    </row>
    <row r="389" spans="1:7" x14ac:dyDescent="0.25">
      <c r="A389" s="37">
        <v>45127</v>
      </c>
      <c r="B389" s="38">
        <v>43562.954711914099</v>
      </c>
      <c r="C389" s="39">
        <f t="shared" si="27"/>
        <v>-6.6344255265429197E-3</v>
      </c>
      <c r="D389" s="38">
        <f>MAX($B$2:B389)</f>
        <v>44948.645019531301</v>
      </c>
      <c r="E389" s="40">
        <f t="shared" si="24"/>
        <v>-3.0828299874558707E-2</v>
      </c>
      <c r="F389" s="41">
        <f t="shared" si="25"/>
        <v>96.917170012544133</v>
      </c>
      <c r="G389" s="42" t="str">
        <f t="shared" si="26"/>
        <v>2023-07</v>
      </c>
    </row>
    <row r="390" spans="1:7" x14ac:dyDescent="0.25">
      <c r="A390" s="31">
        <v>45128</v>
      </c>
      <c r="B390" s="32">
        <v>43562.954711914099</v>
      </c>
      <c r="C390" s="33">
        <f t="shared" si="27"/>
        <v>0</v>
      </c>
      <c r="D390" s="32">
        <f>MAX($B$2:B390)</f>
        <v>44948.645019531301</v>
      </c>
      <c r="E390" s="34">
        <f t="shared" si="24"/>
        <v>-3.0828299874558707E-2</v>
      </c>
      <c r="F390" s="35">
        <f t="shared" si="25"/>
        <v>96.917170012544133</v>
      </c>
      <c r="G390" s="36" t="str">
        <f t="shared" si="26"/>
        <v>2023-07</v>
      </c>
    </row>
    <row r="391" spans="1:7" x14ac:dyDescent="0.25">
      <c r="A391" s="37">
        <v>45131</v>
      </c>
      <c r="B391" s="38">
        <v>43757.562255859397</v>
      </c>
      <c r="C391" s="39">
        <f t="shared" si="27"/>
        <v>4.4672714519080614E-3</v>
      </c>
      <c r="D391" s="38">
        <f>MAX($B$2:B391)</f>
        <v>44948.645019531301</v>
      </c>
      <c r="E391" s="40">
        <f t="shared" si="24"/>
        <v>-2.6498746806591145E-2</v>
      </c>
      <c r="F391" s="41">
        <f t="shared" si="25"/>
        <v>97.35012531934089</v>
      </c>
      <c r="G391" s="42" t="str">
        <f t="shared" si="26"/>
        <v>2023-07</v>
      </c>
    </row>
    <row r="392" spans="1:7" x14ac:dyDescent="0.25">
      <c r="A392" s="31">
        <v>45132</v>
      </c>
      <c r="B392" s="32">
        <v>43877.029418945298</v>
      </c>
      <c r="C392" s="33">
        <f t="shared" si="27"/>
        <v>2.730206093003007E-3</v>
      </c>
      <c r="D392" s="32">
        <f>MAX($B$2:B392)</f>
        <v>44948.645019531301</v>
      </c>
      <c r="E392" s="34">
        <f t="shared" si="24"/>
        <v>-2.3840887753576512E-2</v>
      </c>
      <c r="F392" s="35">
        <f t="shared" si="25"/>
        <v>97.615911224642346</v>
      </c>
      <c r="G392" s="36" t="str">
        <f t="shared" si="26"/>
        <v>2023-07</v>
      </c>
    </row>
    <row r="393" spans="1:7" x14ac:dyDescent="0.25">
      <c r="A393" s="37">
        <v>45133</v>
      </c>
      <c r="B393" s="38">
        <v>43883.770751953103</v>
      </c>
      <c r="C393" s="39">
        <f t="shared" si="27"/>
        <v>1.5364150894159323E-4</v>
      </c>
      <c r="D393" s="38">
        <f>MAX($B$2:B393)</f>
        <v>44948.645019531301</v>
      </c>
      <c r="E393" s="40">
        <f t="shared" si="24"/>
        <v>-2.3690909194603815E-2</v>
      </c>
      <c r="F393" s="41">
        <f t="shared" si="25"/>
        <v>97.630909080539624</v>
      </c>
      <c r="G393" s="42" t="str">
        <f t="shared" si="26"/>
        <v>2023-07</v>
      </c>
    </row>
    <row r="394" spans="1:7" x14ac:dyDescent="0.25">
      <c r="A394" s="31">
        <v>45134</v>
      </c>
      <c r="B394" s="32">
        <v>43592.825317382798</v>
      </c>
      <c r="C394" s="33">
        <f t="shared" si="27"/>
        <v>-6.6299096359525578E-3</v>
      </c>
      <c r="D394" s="32">
        <f>MAX($B$2:B394)</f>
        <v>44948.645019531301</v>
      </c>
      <c r="E394" s="34">
        <f t="shared" si="24"/>
        <v>-3.0163750243402565E-2</v>
      </c>
      <c r="F394" s="35">
        <f t="shared" si="25"/>
        <v>96.983624975659737</v>
      </c>
      <c r="G394" s="36" t="str">
        <f t="shared" si="26"/>
        <v>2023-07</v>
      </c>
    </row>
    <row r="395" spans="1:7" x14ac:dyDescent="0.25">
      <c r="A395" s="37">
        <v>45135</v>
      </c>
      <c r="B395" s="38">
        <v>44019.610595703103</v>
      </c>
      <c r="C395" s="39">
        <f t="shared" si="27"/>
        <v>9.790264228414669E-3</v>
      </c>
      <c r="D395" s="38">
        <f>MAX($B$2:B395)</f>
        <v>44948.645019531301</v>
      </c>
      <c r="E395" s="40">
        <f t="shared" si="24"/>
        <v>-2.0668797099990699E-2</v>
      </c>
      <c r="F395" s="41">
        <f t="shared" si="25"/>
        <v>97.933120290000929</v>
      </c>
      <c r="G395" s="42" t="str">
        <f t="shared" si="26"/>
        <v>2023-07</v>
      </c>
    </row>
    <row r="396" spans="1:7" x14ac:dyDescent="0.25">
      <c r="A396" s="31">
        <v>45138</v>
      </c>
      <c r="B396" s="32">
        <v>44103.424072265603</v>
      </c>
      <c r="C396" s="33">
        <f t="shared" si="27"/>
        <v>1.9040031347001829E-3</v>
      </c>
      <c r="D396" s="32">
        <f>MAX($B$2:B396)</f>
        <v>44948.645019531301</v>
      </c>
      <c r="E396" s="34">
        <f t="shared" si="24"/>
        <v>-1.8804147419759332E-2</v>
      </c>
      <c r="F396" s="35">
        <f t="shared" si="25"/>
        <v>98.119585258024074</v>
      </c>
      <c r="G396" s="36" t="str">
        <f t="shared" si="26"/>
        <v>2023-07</v>
      </c>
    </row>
    <row r="397" spans="1:7" x14ac:dyDescent="0.25">
      <c r="A397" s="37">
        <v>45139</v>
      </c>
      <c r="B397" s="38">
        <v>43977.2216796875</v>
      </c>
      <c r="C397" s="39">
        <f t="shared" si="27"/>
        <v>-2.8615100807437566E-3</v>
      </c>
      <c r="D397" s="38">
        <f>MAX($B$2:B397)</f>
        <v>44948.645019531301</v>
      </c>
      <c r="E397" s="40">
        <f t="shared" si="24"/>
        <v>-2.1611849243101666E-2</v>
      </c>
      <c r="F397" s="41">
        <f t="shared" si="25"/>
        <v>97.838815075689837</v>
      </c>
      <c r="G397" s="42" t="str">
        <f t="shared" si="26"/>
        <v>2023-08</v>
      </c>
    </row>
    <row r="398" spans="1:7" x14ac:dyDescent="0.25">
      <c r="A398" s="31">
        <v>45140</v>
      </c>
      <c r="B398" s="32">
        <v>43365.463256835901</v>
      </c>
      <c r="C398" s="33">
        <f t="shared" si="27"/>
        <v>-1.3910801989889254E-2</v>
      </c>
      <c r="D398" s="32">
        <f>MAX($B$2:B398)</f>
        <v>44948.645019531301</v>
      </c>
      <c r="E398" s="34">
        <f t="shared" si="24"/>
        <v>-3.5222013077534808E-2</v>
      </c>
      <c r="F398" s="35">
        <f t="shared" si="25"/>
        <v>96.477798692246523</v>
      </c>
      <c r="G398" s="36" t="str">
        <f t="shared" si="26"/>
        <v>2023-08</v>
      </c>
    </row>
    <row r="399" spans="1:7" x14ac:dyDescent="0.25">
      <c r="A399" s="37">
        <v>45141</v>
      </c>
      <c r="B399" s="38">
        <v>43241.183471679702</v>
      </c>
      <c r="C399" s="39">
        <f t="shared" si="27"/>
        <v>-2.8658701146611065E-3</v>
      </c>
      <c r="D399" s="38">
        <f>MAX($B$2:B399)</f>
        <v>44948.645019531301</v>
      </c>
      <c r="E399" s="40">
        <f t="shared" si="24"/>
        <v>-3.7986941477538783E-2</v>
      </c>
      <c r="F399" s="41">
        <f t="shared" si="25"/>
        <v>96.201305852246122</v>
      </c>
      <c r="G399" s="42" t="str">
        <f t="shared" si="26"/>
        <v>2023-08</v>
      </c>
    </row>
    <row r="400" spans="1:7" x14ac:dyDescent="0.25">
      <c r="A400" s="31">
        <v>45142</v>
      </c>
      <c r="B400" s="32">
        <v>43045.614624023401</v>
      </c>
      <c r="C400" s="33">
        <f t="shared" si="27"/>
        <v>-4.5227450304264893E-3</v>
      </c>
      <c r="D400" s="32">
        <f>MAX($B$2:B400)</f>
        <v>44948.645019531301</v>
      </c>
      <c r="E400" s="34">
        <f t="shared" si="24"/>
        <v>-4.2337881257176635E-2</v>
      </c>
      <c r="F400" s="35">
        <f t="shared" si="25"/>
        <v>95.766211874282334</v>
      </c>
      <c r="G400" s="36" t="str">
        <f t="shared" si="26"/>
        <v>2023-08</v>
      </c>
    </row>
    <row r="401" spans="1:7" x14ac:dyDescent="0.25">
      <c r="A401" s="37">
        <v>45145</v>
      </c>
      <c r="B401" s="38">
        <v>43421.340942382798</v>
      </c>
      <c r="C401" s="39">
        <f t="shared" si="27"/>
        <v>8.7285620530948016E-3</v>
      </c>
      <c r="D401" s="38">
        <f>MAX($B$2:B401)</f>
        <v>44948.645019531301</v>
      </c>
      <c r="E401" s="40">
        <f t="shared" si="24"/>
        <v>-3.3978868027831566E-2</v>
      </c>
      <c r="F401" s="41">
        <f t="shared" si="25"/>
        <v>96.602113197216838</v>
      </c>
      <c r="G401" s="42" t="str">
        <f t="shared" si="26"/>
        <v>2023-08</v>
      </c>
    </row>
    <row r="402" spans="1:7" x14ac:dyDescent="0.25">
      <c r="A402" s="31">
        <v>45146</v>
      </c>
      <c r="B402" s="32">
        <v>43232.510375976599</v>
      </c>
      <c r="C402" s="33">
        <f t="shared" si="27"/>
        <v>-4.3487962902104549E-3</v>
      </c>
      <c r="D402" s="32">
        <f>MAX($B$2:B402)</f>
        <v>44948.645019531301</v>
      </c>
      <c r="E402" s="34">
        <f t="shared" si="24"/>
        <v>-3.817989714281711E-2</v>
      </c>
      <c r="F402" s="35">
        <f t="shared" si="25"/>
        <v>96.182010285718292</v>
      </c>
      <c r="G402" s="36" t="str">
        <f t="shared" si="26"/>
        <v>2023-08</v>
      </c>
    </row>
    <row r="403" spans="1:7" x14ac:dyDescent="0.25">
      <c r="A403" s="37">
        <v>45147</v>
      </c>
      <c r="B403" s="38">
        <v>42943.496704101599</v>
      </c>
      <c r="C403" s="39">
        <f t="shared" si="27"/>
        <v>-6.6851003876841064E-3</v>
      </c>
      <c r="D403" s="38">
        <f>MAX($B$2:B403)</f>
        <v>44948.645019531301</v>
      </c>
      <c r="E403" s="40">
        <f t="shared" si="24"/>
        <v>-4.4609761085310007E-2</v>
      </c>
      <c r="F403" s="41">
        <f t="shared" si="25"/>
        <v>95.539023891469</v>
      </c>
      <c r="G403" s="42" t="str">
        <f t="shared" si="26"/>
        <v>2023-08</v>
      </c>
    </row>
    <row r="404" spans="1:7" x14ac:dyDescent="0.25">
      <c r="A404" s="31">
        <v>45148</v>
      </c>
      <c r="B404" s="32">
        <v>42958.908081054702</v>
      </c>
      <c r="C404" s="33">
        <f t="shared" si="27"/>
        <v>3.5887568865877739E-4</v>
      </c>
      <c r="D404" s="32">
        <f>MAX($B$2:B404)</f>
        <v>44948.645019531301</v>
      </c>
      <c r="E404" s="34">
        <f t="shared" si="24"/>
        <v>-4.4266894755381592E-2</v>
      </c>
      <c r="F404" s="35">
        <f t="shared" si="25"/>
        <v>95.573310524461846</v>
      </c>
      <c r="G404" s="36" t="str">
        <f t="shared" si="26"/>
        <v>2023-08</v>
      </c>
    </row>
    <row r="405" spans="1:7" x14ac:dyDescent="0.25">
      <c r="A405" s="37">
        <v>45149</v>
      </c>
      <c r="B405" s="38">
        <v>42933.859252929702</v>
      </c>
      <c r="C405" s="39">
        <f t="shared" si="27"/>
        <v>-5.8308810079010787E-4</v>
      </c>
      <c r="D405" s="38">
        <f>MAX($B$2:B405)</f>
        <v>44948.645019531301</v>
      </c>
      <c r="E405" s="40">
        <f t="shared" si="24"/>
        <v>-4.48241713565809E-2</v>
      </c>
      <c r="F405" s="41">
        <f t="shared" si="25"/>
        <v>95.517582864341904</v>
      </c>
      <c r="G405" s="42" t="str">
        <f t="shared" si="26"/>
        <v>2023-08</v>
      </c>
    </row>
    <row r="406" spans="1:7" x14ac:dyDescent="0.25">
      <c r="A406" s="31">
        <v>45152</v>
      </c>
      <c r="B406" s="32">
        <v>43170.852661132798</v>
      </c>
      <c r="C406" s="33">
        <f t="shared" si="27"/>
        <v>5.5199651819541895E-3</v>
      </c>
      <c r="D406" s="32">
        <f>MAX($B$2:B406)</f>
        <v>44948.645019531301</v>
      </c>
      <c r="E406" s="34">
        <f t="shared" si="24"/>
        <v>-3.9551634039824979E-2</v>
      </c>
      <c r="F406" s="35">
        <f t="shared" si="25"/>
        <v>96.044836596017504</v>
      </c>
      <c r="G406" s="36" t="str">
        <f t="shared" si="26"/>
        <v>2023-08</v>
      </c>
    </row>
    <row r="407" spans="1:7" x14ac:dyDescent="0.25">
      <c r="A407" s="37">
        <v>45153</v>
      </c>
      <c r="B407" s="38">
        <v>42667.962646484397</v>
      </c>
      <c r="C407" s="39">
        <f t="shared" si="27"/>
        <v>-1.164883210891865E-2</v>
      </c>
      <c r="D407" s="38">
        <f>MAX($B$2:B407)</f>
        <v>44948.645019531301</v>
      </c>
      <c r="E407" s="40">
        <f t="shared" si="24"/>
        <v>-5.0739735804180341E-2</v>
      </c>
      <c r="F407" s="41">
        <f t="shared" si="25"/>
        <v>94.926026419581973</v>
      </c>
      <c r="G407" s="42" t="str">
        <f t="shared" si="26"/>
        <v>2023-08</v>
      </c>
    </row>
    <row r="408" spans="1:7" x14ac:dyDescent="0.25">
      <c r="A408" s="31">
        <v>45154</v>
      </c>
      <c r="B408" s="32">
        <v>42354.8583984375</v>
      </c>
      <c r="C408" s="33">
        <f t="shared" si="27"/>
        <v>-7.3381579205233916E-3</v>
      </c>
      <c r="D408" s="32">
        <f>MAX($B$2:B408)</f>
        <v>44948.645019531301</v>
      </c>
      <c r="E408" s="34">
        <f t="shared" si="24"/>
        <v>-5.7705557530527085E-2</v>
      </c>
      <c r="F408" s="35">
        <f t="shared" si="25"/>
        <v>94.229444246947295</v>
      </c>
      <c r="G408" s="36" t="str">
        <f t="shared" si="26"/>
        <v>2023-08</v>
      </c>
    </row>
    <row r="409" spans="1:7" x14ac:dyDescent="0.25">
      <c r="A409" s="37">
        <v>45155</v>
      </c>
      <c r="B409" s="38">
        <v>42032.116699218801</v>
      </c>
      <c r="C409" s="39">
        <f t="shared" si="27"/>
        <v>-7.6199451827374531E-3</v>
      </c>
      <c r="D409" s="38">
        <f>MAX($B$2:B409)</f>
        <v>44948.645019531301</v>
      </c>
      <c r="E409" s="40">
        <f t="shared" si="24"/>
        <v>-6.4885789528142501E-2</v>
      </c>
      <c r="F409" s="41">
        <f t="shared" si="25"/>
        <v>93.511421047185749</v>
      </c>
      <c r="G409" s="42" t="str">
        <f t="shared" si="26"/>
        <v>2023-08</v>
      </c>
    </row>
    <row r="410" spans="1:7" x14ac:dyDescent="0.25">
      <c r="A410" s="31">
        <v>45156</v>
      </c>
      <c r="B410" s="32">
        <v>42052.352905273401</v>
      </c>
      <c r="C410" s="33">
        <f t="shared" si="27"/>
        <v>4.8144627593726952E-4</v>
      </c>
      <c r="D410" s="32">
        <f>MAX($B$2:B410)</f>
        <v>44948.645019531301</v>
      </c>
      <c r="E410" s="34">
        <f t="shared" si="24"/>
        <v>-6.4435582273934866E-2</v>
      </c>
      <c r="F410" s="35">
        <f t="shared" si="25"/>
        <v>93.556441772606519</v>
      </c>
      <c r="G410" s="36" t="str">
        <f t="shared" si="26"/>
        <v>2023-08</v>
      </c>
    </row>
    <row r="411" spans="1:7" x14ac:dyDescent="0.25">
      <c r="A411" s="37">
        <v>45159</v>
      </c>
      <c r="B411" s="38">
        <v>42325.955200195298</v>
      </c>
      <c r="C411" s="39">
        <f t="shared" si="27"/>
        <v>6.5062303538212518E-3</v>
      </c>
      <c r="D411" s="38">
        <f>MAX($B$2:B411)</f>
        <v>44948.645019531301</v>
      </c>
      <c r="E411" s="40">
        <f t="shared" si="24"/>
        <v>-5.8348584661370273E-2</v>
      </c>
      <c r="F411" s="41">
        <f t="shared" si="25"/>
        <v>94.165141533862979</v>
      </c>
      <c r="G411" s="42" t="str">
        <f t="shared" si="26"/>
        <v>2023-08</v>
      </c>
    </row>
    <row r="412" spans="1:7" x14ac:dyDescent="0.25">
      <c r="A412" s="31">
        <v>45160</v>
      </c>
      <c r="B412" s="32">
        <v>42211.309814453103</v>
      </c>
      <c r="C412" s="33">
        <f t="shared" si="27"/>
        <v>-2.7086307963976042E-3</v>
      </c>
      <c r="D412" s="32">
        <f>MAX($B$2:B412)</f>
        <v>44948.645019531301</v>
      </c>
      <c r="E412" s="34">
        <f t="shared" si="24"/>
        <v>-6.0899170684427961E-2</v>
      </c>
      <c r="F412" s="35">
        <f t="shared" si="25"/>
        <v>93.910082931557199</v>
      </c>
      <c r="G412" s="36" t="str">
        <f t="shared" si="26"/>
        <v>2023-08</v>
      </c>
    </row>
    <row r="413" spans="1:7" x14ac:dyDescent="0.25">
      <c r="A413" s="37">
        <v>45161</v>
      </c>
      <c r="B413" s="38">
        <v>42681.448364257798</v>
      </c>
      <c r="C413" s="39">
        <f t="shared" si="27"/>
        <v>1.1137738958380217E-2</v>
      </c>
      <c r="D413" s="38">
        <f>MAX($B$2:B413)</f>
        <v>44948.645019531301</v>
      </c>
      <c r="E413" s="40">
        <f t="shared" si="24"/>
        <v>-5.0439710791912673E-2</v>
      </c>
      <c r="F413" s="41">
        <f t="shared" si="25"/>
        <v>94.956028920808734</v>
      </c>
      <c r="G413" s="42" t="str">
        <f t="shared" si="26"/>
        <v>2023-08</v>
      </c>
    </row>
    <row r="414" spans="1:7" x14ac:dyDescent="0.25">
      <c r="A414" s="31">
        <v>45162</v>
      </c>
      <c r="B414" s="32">
        <v>42089.923095703103</v>
      </c>
      <c r="C414" s="33">
        <f t="shared" si="27"/>
        <v>-1.3859072061154554E-2</v>
      </c>
      <c r="D414" s="32">
        <f>MAX($B$2:B414)</f>
        <v>44948.645019531301</v>
      </c>
      <c r="E414" s="34">
        <f t="shared" si="24"/>
        <v>-6.3599735266458235E-2</v>
      </c>
      <c r="F414" s="35">
        <f t="shared" si="25"/>
        <v>93.640026473354183</v>
      </c>
      <c r="G414" s="36" t="str">
        <f t="shared" si="26"/>
        <v>2023-08</v>
      </c>
    </row>
    <row r="415" spans="1:7" x14ac:dyDescent="0.25">
      <c r="A415" s="37">
        <v>45163</v>
      </c>
      <c r="B415" s="38">
        <v>42386.648559570298</v>
      </c>
      <c r="C415" s="39">
        <f t="shared" si="27"/>
        <v>7.0497981949861899E-3</v>
      </c>
      <c r="D415" s="38">
        <f>MAX($B$2:B415)</f>
        <v>44948.645019531301</v>
      </c>
      <c r="E415" s="40">
        <f t="shared" si="24"/>
        <v>-5.6998302370355192E-2</v>
      </c>
      <c r="F415" s="41">
        <f t="shared" si="25"/>
        <v>94.300169762964487</v>
      </c>
      <c r="G415" s="42" t="str">
        <f t="shared" si="26"/>
        <v>2023-08</v>
      </c>
    </row>
    <row r="416" spans="1:7" x14ac:dyDescent="0.25">
      <c r="A416" s="31">
        <v>45166</v>
      </c>
      <c r="B416" s="32">
        <v>42655.438232421897</v>
      </c>
      <c r="C416" s="33">
        <f t="shared" si="27"/>
        <v>6.3413759281731874E-3</v>
      </c>
      <c r="D416" s="32">
        <f>MAX($B$2:B416)</f>
        <v>44948.645019531301</v>
      </c>
      <c r="E416" s="34">
        <f t="shared" si="24"/>
        <v>-5.1018374104780051E-2</v>
      </c>
      <c r="F416" s="35">
        <f t="shared" si="25"/>
        <v>94.898162589522002</v>
      </c>
      <c r="G416" s="36" t="str">
        <f t="shared" si="26"/>
        <v>2023-08</v>
      </c>
    </row>
    <row r="417" spans="1:7" x14ac:dyDescent="0.25">
      <c r="A417" s="37">
        <v>45167</v>
      </c>
      <c r="B417" s="38">
        <v>43272.006225585901</v>
      </c>
      <c r="C417" s="39">
        <f t="shared" si="27"/>
        <v>1.4454616309518054E-2</v>
      </c>
      <c r="D417" s="38">
        <f>MAX($B$2:B417)</f>
        <v>44948.645019531301</v>
      </c>
      <c r="E417" s="40">
        <f t="shared" si="24"/>
        <v>-3.7301208817682063E-2</v>
      </c>
      <c r="F417" s="41">
        <f t="shared" si="25"/>
        <v>96.269879118231799</v>
      </c>
      <c r="G417" s="42" t="str">
        <f t="shared" si="26"/>
        <v>2023-08</v>
      </c>
    </row>
    <row r="418" spans="1:7" x14ac:dyDescent="0.25">
      <c r="A418" s="31">
        <v>45168</v>
      </c>
      <c r="B418" s="32">
        <v>43450.241088867202</v>
      </c>
      <c r="C418" s="33">
        <f t="shared" si="27"/>
        <v>4.1189415242761651E-3</v>
      </c>
      <c r="D418" s="32">
        <f>MAX($B$2:B418)</f>
        <v>44948.645019531301</v>
      </c>
      <c r="E418" s="34">
        <f t="shared" si="24"/>
        <v>-3.3335908791310764E-2</v>
      </c>
      <c r="F418" s="35">
        <f t="shared" si="25"/>
        <v>96.66640912086892</v>
      </c>
      <c r="G418" s="36" t="str">
        <f t="shared" si="26"/>
        <v>2023-08</v>
      </c>
    </row>
    <row r="419" spans="1:7" x14ac:dyDescent="0.25">
      <c r="A419" s="37">
        <v>45169</v>
      </c>
      <c r="B419" s="38">
        <v>43386.654663085901</v>
      </c>
      <c r="C419" s="39">
        <f t="shared" si="27"/>
        <v>-1.4634309082716124E-3</v>
      </c>
      <c r="D419" s="38">
        <f>MAX($B$2:B419)</f>
        <v>44948.645019531301</v>
      </c>
      <c r="E419" s="40">
        <f t="shared" si="24"/>
        <v>-3.4750554900301767E-2</v>
      </c>
      <c r="F419" s="41">
        <f t="shared" si="25"/>
        <v>96.524944509969828</v>
      </c>
      <c r="G419" s="42" t="str">
        <f t="shared" si="26"/>
        <v>2023-08</v>
      </c>
    </row>
    <row r="420" spans="1:7" x14ac:dyDescent="0.25">
      <c r="A420" s="31">
        <v>45170</v>
      </c>
      <c r="B420" s="32">
        <v>43467.581176757798</v>
      </c>
      <c r="C420" s="33">
        <f t="shared" si="27"/>
        <v>1.8652397678577959E-3</v>
      </c>
      <c r="D420" s="32">
        <f>MAX($B$2:B420)</f>
        <v>44948.645019531301</v>
      </c>
      <c r="E420" s="34">
        <f t="shared" si="24"/>
        <v>-3.2950133249399216E-2</v>
      </c>
      <c r="F420" s="35">
        <f t="shared" si="25"/>
        <v>96.704986675060084</v>
      </c>
      <c r="G420" s="36" t="str">
        <f t="shared" si="26"/>
        <v>2023-09</v>
      </c>
    </row>
    <row r="421" spans="1:7" x14ac:dyDescent="0.25">
      <c r="A421" s="37">
        <v>45174</v>
      </c>
      <c r="B421" s="38">
        <v>43279.7119140625</v>
      </c>
      <c r="C421" s="39">
        <f t="shared" si="27"/>
        <v>-4.3220546809664695E-3</v>
      </c>
      <c r="D421" s="38">
        <f>MAX($B$2:B421)</f>
        <v>44948.645019531301</v>
      </c>
      <c r="E421" s="40">
        <f t="shared" si="24"/>
        <v>-3.712977565271669E-2</v>
      </c>
      <c r="F421" s="41">
        <f t="shared" si="25"/>
        <v>96.287022434728328</v>
      </c>
      <c r="G421" s="42" t="str">
        <f t="shared" si="26"/>
        <v>2023-09</v>
      </c>
    </row>
    <row r="422" spans="1:7" x14ac:dyDescent="0.25">
      <c r="A422" s="31">
        <v>45175</v>
      </c>
      <c r="B422" s="32">
        <v>42988.76953125</v>
      </c>
      <c r="C422" s="33">
        <f t="shared" si="27"/>
        <v>-6.7223733695409571E-3</v>
      </c>
      <c r="D422" s="32">
        <f>MAX($B$2:B422)</f>
        <v>44948.645019531301</v>
      </c>
      <c r="E422" s="34">
        <f t="shared" si="24"/>
        <v>-4.3602548807192831E-2</v>
      </c>
      <c r="F422" s="35">
        <f t="shared" si="25"/>
        <v>95.639745119280718</v>
      </c>
      <c r="G422" s="36" t="str">
        <f t="shared" si="26"/>
        <v>2023-09</v>
      </c>
    </row>
    <row r="423" spans="1:7" x14ac:dyDescent="0.25">
      <c r="A423" s="37">
        <v>45176</v>
      </c>
      <c r="B423" s="38">
        <v>42856.787109375</v>
      </c>
      <c r="C423" s="39">
        <f t="shared" si="27"/>
        <v>-3.0701604934064708E-3</v>
      </c>
      <c r="D423" s="38">
        <f>MAX($B$2:B423)</f>
        <v>44948.645019531301</v>
      </c>
      <c r="E423" s="40">
        <f t="shared" si="24"/>
        <v>-4.6538842477839681E-2</v>
      </c>
      <c r="F423" s="41">
        <f t="shared" si="25"/>
        <v>95.346115752216036</v>
      </c>
      <c r="G423" s="42" t="str">
        <f t="shared" si="26"/>
        <v>2023-09</v>
      </c>
    </row>
    <row r="424" spans="1:7" x14ac:dyDescent="0.25">
      <c r="A424" s="31">
        <v>45177</v>
      </c>
      <c r="B424" s="32">
        <v>42921.334838867202</v>
      </c>
      <c r="C424" s="33">
        <f t="shared" si="27"/>
        <v>1.5061261901754275E-3</v>
      </c>
      <c r="D424" s="32">
        <f>MAX($B$2:B424)</f>
        <v>44948.645019531301</v>
      </c>
      <c r="E424" s="34">
        <f t="shared" si="24"/>
        <v>-4.5102809657180609E-2</v>
      </c>
      <c r="F424" s="35">
        <f t="shared" si="25"/>
        <v>95.489719034281933</v>
      </c>
      <c r="G424" s="36" t="str">
        <f t="shared" si="26"/>
        <v>2023-09</v>
      </c>
    </row>
    <row r="425" spans="1:7" x14ac:dyDescent="0.25">
      <c r="A425" s="37">
        <v>45180</v>
      </c>
      <c r="B425" s="38">
        <v>43203.61328125</v>
      </c>
      <c r="C425" s="39">
        <f t="shared" si="27"/>
        <v>6.5766464030652116E-3</v>
      </c>
      <c r="D425" s="38">
        <f>MAX($B$2:B425)</f>
        <v>44948.645019531301</v>
      </c>
      <c r="E425" s="40">
        <f t="shared" si="24"/>
        <v>-3.8822788485015303E-2</v>
      </c>
      <c r="F425" s="41">
        <f t="shared" si="25"/>
        <v>96.117721151498472</v>
      </c>
      <c r="G425" s="42" t="str">
        <f t="shared" si="26"/>
        <v>2023-09</v>
      </c>
    </row>
    <row r="426" spans="1:7" x14ac:dyDescent="0.25">
      <c r="A426" s="31">
        <v>45181</v>
      </c>
      <c r="B426" s="32">
        <v>42966.613769531301</v>
      </c>
      <c r="C426" s="33">
        <f t="shared" si="27"/>
        <v>-5.4856409850690957E-3</v>
      </c>
      <c r="D426" s="32">
        <f>MAX($B$2:B426)</f>
        <v>44948.645019531301</v>
      </c>
      <c r="E426" s="34">
        <f t="shared" si="24"/>
        <v>-4.4095461590416329E-2</v>
      </c>
      <c r="F426" s="35">
        <f t="shared" si="25"/>
        <v>95.590453840958361</v>
      </c>
      <c r="G426" s="36" t="str">
        <f t="shared" si="26"/>
        <v>2023-09</v>
      </c>
    </row>
    <row r="427" spans="1:7" x14ac:dyDescent="0.25">
      <c r="A427" s="37">
        <v>45182</v>
      </c>
      <c r="B427" s="38">
        <v>43016.714477539099</v>
      </c>
      <c r="C427" s="39">
        <f t="shared" si="27"/>
        <v>1.1660380842795082E-3</v>
      </c>
      <c r="D427" s="38">
        <f>MAX($B$2:B427)</f>
        <v>44948.645019531301</v>
      </c>
      <c r="E427" s="40">
        <f t="shared" si="24"/>
        <v>-4.2980840493695216E-2</v>
      </c>
      <c r="F427" s="41">
        <f t="shared" si="25"/>
        <v>95.701915950630479</v>
      </c>
      <c r="G427" s="42" t="str">
        <f t="shared" si="26"/>
        <v>2023-09</v>
      </c>
    </row>
    <row r="428" spans="1:7" x14ac:dyDescent="0.25">
      <c r="A428" s="31">
        <v>45183</v>
      </c>
      <c r="B428" s="32">
        <v>43387.615966796897</v>
      </c>
      <c r="C428" s="33">
        <f t="shared" si="27"/>
        <v>8.6222644793447767E-3</v>
      </c>
      <c r="D428" s="32">
        <f>MAX($B$2:B428)</f>
        <v>44948.645019531301</v>
      </c>
      <c r="E428" s="34">
        <f t="shared" si="24"/>
        <v>-3.4729168188631698E-2</v>
      </c>
      <c r="F428" s="35">
        <f t="shared" si="25"/>
        <v>96.527083181136831</v>
      </c>
      <c r="G428" s="36" t="str">
        <f t="shared" si="26"/>
        <v>2023-09</v>
      </c>
    </row>
    <row r="429" spans="1:7" x14ac:dyDescent="0.25">
      <c r="A429" s="37">
        <v>45184</v>
      </c>
      <c r="B429" s="38">
        <v>42864.871215820298</v>
      </c>
      <c r="C429" s="39">
        <f t="shared" si="27"/>
        <v>-1.2048247854333338E-2</v>
      </c>
      <c r="D429" s="38">
        <f>MAX($B$2:B429)</f>
        <v>44948.645019531301</v>
      </c>
      <c r="E429" s="40">
        <f t="shared" si="24"/>
        <v>-4.635899041685354E-2</v>
      </c>
      <c r="F429" s="41">
        <f t="shared" si="25"/>
        <v>95.364100958314651</v>
      </c>
      <c r="G429" s="42" t="str">
        <f t="shared" si="26"/>
        <v>2023-09</v>
      </c>
    </row>
    <row r="430" spans="1:7" x14ac:dyDescent="0.25">
      <c r="A430" s="31">
        <v>45187</v>
      </c>
      <c r="B430" s="32">
        <v>42890.008544921897</v>
      </c>
      <c r="C430" s="33">
        <f t="shared" si="27"/>
        <v>5.86431928724096E-4</v>
      </c>
      <c r="D430" s="32">
        <f>MAX($B$2:B430)</f>
        <v>44948.645019531301</v>
      </c>
      <c r="E430" s="34">
        <f t="shared" si="24"/>
        <v>-4.5799744880293369E-2</v>
      </c>
      <c r="F430" s="35">
        <f t="shared" si="25"/>
        <v>95.420025511970664</v>
      </c>
      <c r="G430" s="36" t="str">
        <f t="shared" si="26"/>
        <v>2023-09</v>
      </c>
    </row>
    <row r="431" spans="1:7" x14ac:dyDescent="0.25">
      <c r="A431" s="37">
        <v>45188</v>
      </c>
      <c r="B431" s="38">
        <v>42801.062011718801</v>
      </c>
      <c r="C431" s="39">
        <f t="shared" si="27"/>
        <v>-2.0738287592070304E-3</v>
      </c>
      <c r="D431" s="38">
        <f>MAX($B$2:B431)</f>
        <v>44948.645019531301</v>
      </c>
      <c r="E431" s="40">
        <f t="shared" si="24"/>
        <v>-4.7778592811403398E-2</v>
      </c>
      <c r="F431" s="41">
        <f t="shared" si="25"/>
        <v>95.222140718859663</v>
      </c>
      <c r="G431" s="42" t="str">
        <f t="shared" si="26"/>
        <v>2023-09</v>
      </c>
    </row>
    <row r="432" spans="1:7" x14ac:dyDescent="0.25">
      <c r="A432" s="31">
        <v>45189</v>
      </c>
      <c r="B432" s="32">
        <v>42407.574462890603</v>
      </c>
      <c r="C432" s="33">
        <f t="shared" si="27"/>
        <v>-9.1934061991373328E-3</v>
      </c>
      <c r="D432" s="32">
        <f>MAX($B$2:B432)</f>
        <v>44948.645019531301</v>
      </c>
      <c r="E432" s="34">
        <f t="shared" si="24"/>
        <v>-5.6532750999202297E-2</v>
      </c>
      <c r="F432" s="35">
        <f t="shared" si="25"/>
        <v>94.346724900079764</v>
      </c>
      <c r="G432" s="36" t="str">
        <f t="shared" si="26"/>
        <v>2023-09</v>
      </c>
    </row>
    <row r="433" spans="1:7" x14ac:dyDescent="0.25">
      <c r="A433" s="37">
        <v>45190</v>
      </c>
      <c r="B433" s="38">
        <v>41706.646728515603</v>
      </c>
      <c r="C433" s="39">
        <f t="shared" si="27"/>
        <v>-1.6528361813957448E-2</v>
      </c>
      <c r="D433" s="38">
        <f>MAX($B$2:B433)</f>
        <v>44948.645019531301</v>
      </c>
      <c r="E433" s="40">
        <f t="shared" si="24"/>
        <v>-7.2126719050306654E-2</v>
      </c>
      <c r="F433" s="41">
        <f t="shared" si="25"/>
        <v>92.78732809496934</v>
      </c>
      <c r="G433" s="42" t="str">
        <f t="shared" si="26"/>
        <v>2023-09</v>
      </c>
    </row>
    <row r="434" spans="1:7" x14ac:dyDescent="0.25">
      <c r="A434" s="31">
        <v>45191</v>
      </c>
      <c r="B434" s="32">
        <v>41612.872314453103</v>
      </c>
      <c r="C434" s="33">
        <f t="shared" si="27"/>
        <v>-2.2484285220270017E-3</v>
      </c>
      <c r="D434" s="32">
        <f>MAX($B$2:B434)</f>
        <v>44948.645019531301</v>
      </c>
      <c r="E434" s="34">
        <f t="shared" si="24"/>
        <v>-7.4212975800020731E-2</v>
      </c>
      <c r="F434" s="35">
        <f t="shared" si="25"/>
        <v>92.578702419997924</v>
      </c>
      <c r="G434" s="36" t="str">
        <f t="shared" si="26"/>
        <v>2023-09</v>
      </c>
    </row>
    <row r="435" spans="1:7" x14ac:dyDescent="0.25">
      <c r="A435" s="37">
        <v>45194</v>
      </c>
      <c r="B435" s="38">
        <v>41787.863159179702</v>
      </c>
      <c r="C435" s="39">
        <f t="shared" si="27"/>
        <v>4.2052094699029929E-3</v>
      </c>
      <c r="D435" s="38">
        <f>MAX($B$2:B435)</f>
        <v>44948.645019531301</v>
      </c>
      <c r="E435" s="40">
        <f t="shared" si="24"/>
        <v>-7.0319847438741756E-2</v>
      </c>
      <c r="F435" s="41">
        <f t="shared" si="25"/>
        <v>92.968015256125824</v>
      </c>
      <c r="G435" s="42" t="str">
        <f t="shared" si="26"/>
        <v>2023-09</v>
      </c>
    </row>
    <row r="436" spans="1:7" x14ac:dyDescent="0.25">
      <c r="A436" s="31">
        <v>45195</v>
      </c>
      <c r="B436" s="32">
        <v>41173.944091796897</v>
      </c>
      <c r="C436" s="33">
        <f t="shared" si="27"/>
        <v>-1.4691324728528077E-2</v>
      </c>
      <c r="D436" s="32">
        <f>MAX($B$2:B436)</f>
        <v>44948.645019531301</v>
      </c>
      <c r="E436" s="34">
        <f t="shared" si="24"/>
        <v>-8.397808045368671E-2</v>
      </c>
      <c r="F436" s="35">
        <f t="shared" si="25"/>
        <v>91.602191954631323</v>
      </c>
      <c r="G436" s="36" t="str">
        <f t="shared" si="26"/>
        <v>2023-09</v>
      </c>
    </row>
    <row r="437" spans="1:7" x14ac:dyDescent="0.25">
      <c r="A437" s="37">
        <v>45196</v>
      </c>
      <c r="B437" s="38">
        <v>41190.377807617202</v>
      </c>
      <c r="C437" s="39">
        <f t="shared" si="27"/>
        <v>3.9912901673111456E-4</v>
      </c>
      <c r="D437" s="38">
        <f>MAX($B$2:B437)</f>
        <v>44948.645019531301</v>
      </c>
      <c r="E437" s="40">
        <f t="shared" si="24"/>
        <v>-8.3612469525633948E-2</v>
      </c>
      <c r="F437" s="41">
        <f t="shared" si="25"/>
        <v>91.638753047436609</v>
      </c>
      <c r="G437" s="42" t="str">
        <f t="shared" si="26"/>
        <v>2023-09</v>
      </c>
    </row>
    <row r="438" spans="1:7" x14ac:dyDescent="0.25">
      <c r="A438" s="31">
        <v>45197</v>
      </c>
      <c r="B438" s="32">
        <v>41429.1748046875</v>
      </c>
      <c r="C438" s="33">
        <f t="shared" si="27"/>
        <v>5.7973975909038078E-3</v>
      </c>
      <c r="D438" s="32">
        <f>MAX($B$2:B438)</f>
        <v>44948.645019531301</v>
      </c>
      <c r="E438" s="34">
        <f t="shared" si="24"/>
        <v>-7.8299806664127614E-2</v>
      </c>
      <c r="F438" s="35">
        <f t="shared" si="25"/>
        <v>92.170019333587234</v>
      </c>
      <c r="G438" s="36" t="str">
        <f t="shared" si="26"/>
        <v>2023-09</v>
      </c>
    </row>
    <row r="439" spans="1:7" x14ac:dyDescent="0.25">
      <c r="A439" s="37">
        <v>45198</v>
      </c>
      <c r="B439" s="38">
        <v>41328.634643554702</v>
      </c>
      <c r="C439" s="39">
        <f t="shared" si="27"/>
        <v>-2.4267961311510433E-3</v>
      </c>
      <c r="D439" s="38">
        <f>MAX($B$2:B439)</f>
        <v>44948.645019531301</v>
      </c>
      <c r="E439" s="40">
        <f t="shared" si="24"/>
        <v>-8.0536585127396254E-2</v>
      </c>
      <c r="F439" s="41">
        <f t="shared" si="25"/>
        <v>91.946341487260369</v>
      </c>
      <c r="G439" s="42" t="str">
        <f t="shared" si="26"/>
        <v>2023-09</v>
      </c>
    </row>
    <row r="440" spans="1:7" x14ac:dyDescent="0.25">
      <c r="A440" s="31">
        <v>45201</v>
      </c>
      <c r="B440" s="32">
        <v>41312.197875976599</v>
      </c>
      <c r="C440" s="33">
        <f t="shared" si="27"/>
        <v>-3.9770894247692645E-4</v>
      </c>
      <c r="D440" s="32">
        <f>MAX($B$2:B440)</f>
        <v>44948.645019531301</v>
      </c>
      <c r="E440" s="34">
        <f t="shared" si="24"/>
        <v>-8.0902263949771513E-2</v>
      </c>
      <c r="F440" s="35">
        <f t="shared" si="25"/>
        <v>91.909773605022849</v>
      </c>
      <c r="G440" s="36" t="str">
        <f t="shared" si="26"/>
        <v>2023-10</v>
      </c>
    </row>
    <row r="441" spans="1:7" x14ac:dyDescent="0.25">
      <c r="A441" s="37">
        <v>45202</v>
      </c>
      <c r="B441" s="38">
        <v>40759.191894531301</v>
      </c>
      <c r="C441" s="39">
        <f t="shared" si="27"/>
        <v>-1.3386021801732206E-2</v>
      </c>
      <c r="D441" s="38">
        <f>MAX($B$2:B441)</f>
        <v>44948.645019531301</v>
      </c>
      <c r="E441" s="40">
        <f t="shared" si="24"/>
        <v>-9.3205326282462586E-2</v>
      </c>
      <c r="F441" s="41">
        <f t="shared" si="25"/>
        <v>90.679467371753745</v>
      </c>
      <c r="G441" s="42" t="str">
        <f t="shared" si="26"/>
        <v>2023-10</v>
      </c>
    </row>
    <row r="442" spans="1:7" x14ac:dyDescent="0.25">
      <c r="A442" s="31">
        <v>45203</v>
      </c>
      <c r="B442" s="32">
        <v>41055.993652343801</v>
      </c>
      <c r="C442" s="33">
        <f t="shared" si="27"/>
        <v>7.2818361703663737E-3</v>
      </c>
      <c r="D442" s="32">
        <f>MAX($B$2:B442)</f>
        <v>44948.645019531301</v>
      </c>
      <c r="E442" s="34">
        <f t="shared" si="24"/>
        <v>-8.6602196028290668E-2</v>
      </c>
      <c r="F442" s="35">
        <f t="shared" si="25"/>
        <v>91.339780397170927</v>
      </c>
      <c r="G442" s="36" t="str">
        <f t="shared" si="26"/>
        <v>2023-10</v>
      </c>
    </row>
    <row r="443" spans="1:7" x14ac:dyDescent="0.25">
      <c r="A443" s="37">
        <v>45204</v>
      </c>
      <c r="B443" s="38">
        <v>41040.524291992202</v>
      </c>
      <c r="C443" s="39">
        <f t="shared" si="27"/>
        <v>-3.7678689456621672E-4</v>
      </c>
      <c r="D443" s="38">
        <f>MAX($B$2:B443)</f>
        <v>44948.645019531301</v>
      </c>
      <c r="E443" s="40">
        <f t="shared" si="24"/>
        <v>-8.6946352350352751E-2</v>
      </c>
      <c r="F443" s="41">
        <f t="shared" si="25"/>
        <v>91.305364764964722</v>
      </c>
      <c r="G443" s="42" t="str">
        <f t="shared" si="26"/>
        <v>2023-10</v>
      </c>
    </row>
    <row r="444" spans="1:7" x14ac:dyDescent="0.25">
      <c r="A444" s="31">
        <v>45205</v>
      </c>
      <c r="B444" s="32">
        <v>41527.792358398401</v>
      </c>
      <c r="C444" s="33">
        <f t="shared" si="27"/>
        <v>1.1872851889985991E-2</v>
      </c>
      <c r="D444" s="32">
        <f>MAX($B$2:B444)</f>
        <v>44948.645019531301</v>
      </c>
      <c r="E444" s="34">
        <f t="shared" si="24"/>
        <v>-7.6105801624197E-2</v>
      </c>
      <c r="F444" s="35">
        <f t="shared" si="25"/>
        <v>92.389419837580306</v>
      </c>
      <c r="G444" s="36" t="str">
        <f t="shared" si="26"/>
        <v>2023-10</v>
      </c>
    </row>
    <row r="445" spans="1:7" x14ac:dyDescent="0.25">
      <c r="A445" s="37">
        <v>45208</v>
      </c>
      <c r="B445" s="38">
        <v>41793.661499023401</v>
      </c>
      <c r="C445" s="39">
        <f t="shared" si="27"/>
        <v>6.4021977939607844E-3</v>
      </c>
      <c r="D445" s="38">
        <f>MAX($B$2:B445)</f>
        <v>44948.645019531301</v>
      </c>
      <c r="E445" s="40">
        <f t="shared" si="24"/>
        <v>-7.0190848225502256E-2</v>
      </c>
      <c r="F445" s="41">
        <f t="shared" si="25"/>
        <v>92.980915177449774</v>
      </c>
      <c r="G445" s="42" t="str">
        <f t="shared" si="26"/>
        <v>2023-10</v>
      </c>
    </row>
    <row r="446" spans="1:7" x14ac:dyDescent="0.25">
      <c r="A446" s="31">
        <v>45209</v>
      </c>
      <c r="B446" s="32">
        <v>42011.187744140603</v>
      </c>
      <c r="C446" s="33">
        <f t="shared" si="27"/>
        <v>5.2047664003376237E-3</v>
      </c>
      <c r="D446" s="32">
        <f>MAX($B$2:B446)</f>
        <v>44948.645019531301</v>
      </c>
      <c r="E446" s="34">
        <f t="shared" si="24"/>
        <v>-6.5351408793619892E-2</v>
      </c>
      <c r="F446" s="35">
        <f t="shared" si="25"/>
        <v>93.46485912063801</v>
      </c>
      <c r="G446" s="36" t="str">
        <f t="shared" si="26"/>
        <v>2023-10</v>
      </c>
    </row>
    <row r="447" spans="1:7" x14ac:dyDescent="0.25">
      <c r="A447" s="37">
        <v>45210</v>
      </c>
      <c r="B447" s="38">
        <v>42183.2763671875</v>
      </c>
      <c r="C447" s="39">
        <f t="shared" si="27"/>
        <v>4.0962570278888499E-3</v>
      </c>
      <c r="D447" s="38">
        <f>MAX($B$2:B447)</f>
        <v>44948.645019531301</v>
      </c>
      <c r="E447" s="40">
        <f t="shared" si="24"/>
        <v>-6.152284793328433E-2</v>
      </c>
      <c r="F447" s="41">
        <f t="shared" si="25"/>
        <v>93.847715206671566</v>
      </c>
      <c r="G447" s="42" t="str">
        <f t="shared" si="26"/>
        <v>2023-10</v>
      </c>
    </row>
    <row r="448" spans="1:7" x14ac:dyDescent="0.25">
      <c r="A448" s="31">
        <v>45211</v>
      </c>
      <c r="B448" s="32">
        <v>41926.113891601599</v>
      </c>
      <c r="C448" s="33">
        <f t="shared" si="27"/>
        <v>-6.096313461937175E-3</v>
      </c>
      <c r="D448" s="32">
        <f>MAX($B$2:B448)</f>
        <v>44948.645019531301</v>
      </c>
      <c r="E448" s="34">
        <f t="shared" si="24"/>
        <v>-6.7244098829149057E-2</v>
      </c>
      <c r="F448" s="35">
        <f t="shared" si="25"/>
        <v>93.275590117085088</v>
      </c>
      <c r="G448" s="36" t="str">
        <f t="shared" si="26"/>
        <v>2023-10</v>
      </c>
    </row>
    <row r="449" spans="1:7" x14ac:dyDescent="0.25">
      <c r="A449" s="37">
        <v>45212</v>
      </c>
      <c r="B449" s="38">
        <v>41717.28515625</v>
      </c>
      <c r="C449" s="39">
        <f t="shared" si="27"/>
        <v>-4.9808750673033808E-3</v>
      </c>
      <c r="D449" s="38">
        <f>MAX($B$2:B449)</f>
        <v>44948.645019531301</v>
      </c>
      <c r="E449" s="40">
        <f t="shared" si="24"/>
        <v>-7.1890039441171005E-2</v>
      </c>
      <c r="F449" s="41">
        <f t="shared" si="25"/>
        <v>92.810996055882896</v>
      </c>
      <c r="G449" s="42" t="str">
        <f t="shared" si="26"/>
        <v>2023-10</v>
      </c>
    </row>
    <row r="450" spans="1:7" x14ac:dyDescent="0.25">
      <c r="A450" s="31">
        <v>45215</v>
      </c>
      <c r="B450" s="32">
        <v>42156.210327148401</v>
      </c>
      <c r="C450" s="33">
        <f t="shared" si="27"/>
        <v>1.05214222175396E-2</v>
      </c>
      <c r="D450" s="32">
        <f>MAX($B$2:B450)</f>
        <v>44948.645019531301</v>
      </c>
      <c r="E450" s="34">
        <f t="shared" ref="E450:E513" si="28">B450/D450-1</f>
        <v>-6.2125002681827635E-2</v>
      </c>
      <c r="F450" s="35">
        <f t="shared" ref="F450:F513" si="29">B450/$B$2*100</f>
        <v>93.787499731817235</v>
      </c>
      <c r="G450" s="36" t="str">
        <f t="shared" ref="G450:G513" si="30">TEXT(A450,"YYYY-MM")</f>
        <v>2023-10</v>
      </c>
    </row>
    <row r="451" spans="1:7" x14ac:dyDescent="0.25">
      <c r="A451" s="37">
        <v>45216</v>
      </c>
      <c r="B451" s="38">
        <v>42154.275512695298</v>
      </c>
      <c r="C451" s="39">
        <f t="shared" ref="C451:C514" si="31">B451/B450-1</f>
        <v>-4.5896308944470832E-5</v>
      </c>
      <c r="D451" s="38">
        <f>MAX($B$2:B451)</f>
        <v>44948.645019531301</v>
      </c>
      <c r="E451" s="40">
        <f t="shared" si="28"/>
        <v>-6.2168047682455874E-2</v>
      </c>
      <c r="F451" s="41">
        <f t="shared" si="29"/>
        <v>93.783195231754419</v>
      </c>
      <c r="G451" s="42" t="str">
        <f t="shared" si="30"/>
        <v>2023-10</v>
      </c>
    </row>
    <row r="452" spans="1:7" x14ac:dyDescent="0.25">
      <c r="A452" s="31">
        <v>45217</v>
      </c>
      <c r="B452" s="32">
        <v>41592.565917968801</v>
      </c>
      <c r="C452" s="33">
        <f t="shared" si="31"/>
        <v>-1.3325091889133112E-2</v>
      </c>
      <c r="D452" s="32">
        <f>MAX($B$2:B452)</f>
        <v>44948.645019531301</v>
      </c>
      <c r="E452" s="34">
        <f t="shared" si="28"/>
        <v>-7.4664744623652135E-2</v>
      </c>
      <c r="F452" s="35">
        <f t="shared" si="29"/>
        <v>92.533525537634787</v>
      </c>
      <c r="G452" s="36" t="str">
        <f t="shared" si="30"/>
        <v>2023-10</v>
      </c>
    </row>
    <row r="453" spans="1:7" x14ac:dyDescent="0.25">
      <c r="A453" s="37">
        <v>45218</v>
      </c>
      <c r="B453" s="38">
        <v>41227.114868164099</v>
      </c>
      <c r="C453" s="39">
        <f t="shared" si="31"/>
        <v>-8.7864511779692789E-3</v>
      </c>
      <c r="D453" s="38">
        <f>MAX($B$2:B453)</f>
        <v>44948.645019531301</v>
      </c>
      <c r="E453" s="40">
        <f t="shared" si="28"/>
        <v>-8.279515766827017E-2</v>
      </c>
      <c r="F453" s="41">
        <f t="shared" si="29"/>
        <v>91.720484233172982</v>
      </c>
      <c r="G453" s="42" t="str">
        <f t="shared" si="30"/>
        <v>2023-10</v>
      </c>
    </row>
    <row r="454" spans="1:7" x14ac:dyDescent="0.25">
      <c r="A454" s="31">
        <v>45219</v>
      </c>
      <c r="B454" s="32">
        <v>40720.523071289099</v>
      </c>
      <c r="C454" s="33">
        <f t="shared" si="31"/>
        <v>-1.2287830436230607E-2</v>
      </c>
      <c r="D454" s="32">
        <f>MAX($B$2:B454)</f>
        <v>44948.645019531301</v>
      </c>
      <c r="E454" s="34">
        <f t="shared" si="28"/>
        <v>-9.4065615246132106E-2</v>
      </c>
      <c r="F454" s="35">
        <f t="shared" si="29"/>
        <v>90.59343847538679</v>
      </c>
      <c r="G454" s="36" t="str">
        <f t="shared" si="30"/>
        <v>2023-10</v>
      </c>
    </row>
    <row r="455" spans="1:7" x14ac:dyDescent="0.25">
      <c r="A455" s="37">
        <v>45222</v>
      </c>
      <c r="B455" s="38">
        <v>40649.938964843801</v>
      </c>
      <c r="C455" s="39">
        <f t="shared" si="31"/>
        <v>-1.7333791690673506E-3</v>
      </c>
      <c r="D455" s="38">
        <f>MAX($B$2:B455)</f>
        <v>44948.645019531301</v>
      </c>
      <c r="E455" s="40">
        <f t="shared" si="28"/>
        <v>-9.5635943037206239E-2</v>
      </c>
      <c r="F455" s="41">
        <f t="shared" si="29"/>
        <v>90.43640569627938</v>
      </c>
      <c r="G455" s="42" t="str">
        <f t="shared" si="30"/>
        <v>2023-10</v>
      </c>
    </row>
    <row r="456" spans="1:7" x14ac:dyDescent="0.25">
      <c r="A456" s="31">
        <v>45223</v>
      </c>
      <c r="B456" s="32">
        <v>40956.417846679702</v>
      </c>
      <c r="C456" s="33">
        <f t="shared" si="31"/>
        <v>7.5394672080801861E-3</v>
      </c>
      <c r="D456" s="32">
        <f>MAX($B$2:B456)</f>
        <v>44948.645019531301</v>
      </c>
      <c r="E456" s="34">
        <f t="shared" si="28"/>
        <v>-8.8817519885568852E-2</v>
      </c>
      <c r="F456" s="35">
        <f t="shared" si="29"/>
        <v>91.118248011443114</v>
      </c>
      <c r="G456" s="36" t="str">
        <f t="shared" si="30"/>
        <v>2023-10</v>
      </c>
    </row>
    <row r="457" spans="1:7" x14ac:dyDescent="0.25">
      <c r="A457" s="37">
        <v>45224</v>
      </c>
      <c r="B457" s="38">
        <v>40368.594360351599</v>
      </c>
      <c r="C457" s="39">
        <f t="shared" si="31"/>
        <v>-1.4352414523375101E-2</v>
      </c>
      <c r="D457" s="38">
        <f>MAX($B$2:B457)</f>
        <v>44948.645019531301</v>
      </c>
      <c r="E457" s="40">
        <f t="shared" si="28"/>
        <v>-0.10189518854660817</v>
      </c>
      <c r="F457" s="41">
        <f t="shared" si="29"/>
        <v>89.810481145339182</v>
      </c>
      <c r="G457" s="42" t="str">
        <f t="shared" si="30"/>
        <v>2023-10</v>
      </c>
    </row>
    <row r="458" spans="1:7" x14ac:dyDescent="0.25">
      <c r="A458" s="31">
        <v>45225</v>
      </c>
      <c r="B458" s="32">
        <v>39885.202026367202</v>
      </c>
      <c r="C458" s="33">
        <f t="shared" si="31"/>
        <v>-1.1974465339798068E-2</v>
      </c>
      <c r="D458" s="32">
        <f>MAX($B$2:B458)</f>
        <v>44948.645019531301</v>
      </c>
      <c r="E458" s="34">
        <f t="shared" si="28"/>
        <v>-0.11264951348286267</v>
      </c>
      <c r="F458" s="35">
        <f t="shared" si="29"/>
        <v>88.735048651713726</v>
      </c>
      <c r="G458" s="36" t="str">
        <f t="shared" si="30"/>
        <v>2023-10</v>
      </c>
    </row>
    <row r="459" spans="1:7" x14ac:dyDescent="0.25">
      <c r="A459" s="37">
        <v>45226</v>
      </c>
      <c r="B459" s="38">
        <v>39704.406738281301</v>
      </c>
      <c r="C459" s="39">
        <f t="shared" si="31"/>
        <v>-4.5328913707489704E-3</v>
      </c>
      <c r="D459" s="38">
        <f>MAX($B$2:B459)</f>
        <v>44948.645019531301</v>
      </c>
      <c r="E459" s="40">
        <f t="shared" si="28"/>
        <v>-0.11667177684602614</v>
      </c>
      <c r="F459" s="41">
        <f t="shared" si="29"/>
        <v>88.332822315397379</v>
      </c>
      <c r="G459" s="42" t="str">
        <f t="shared" si="30"/>
        <v>2023-10</v>
      </c>
    </row>
    <row r="460" spans="1:7" x14ac:dyDescent="0.25">
      <c r="A460" s="31">
        <v>45229</v>
      </c>
      <c r="B460" s="32">
        <v>40179.110717773401</v>
      </c>
      <c r="C460" s="33">
        <f t="shared" si="31"/>
        <v>1.1955951958209532E-2</v>
      </c>
      <c r="D460" s="32">
        <f>MAX($B$2:B460)</f>
        <v>44948.645019531301</v>
      </c>
      <c r="E460" s="34">
        <f t="shared" si="28"/>
        <v>-0.10611074704666668</v>
      </c>
      <c r="F460" s="35">
        <f t="shared" si="29"/>
        <v>89.388925295333337</v>
      </c>
      <c r="G460" s="36" t="str">
        <f t="shared" si="30"/>
        <v>2023-10</v>
      </c>
    </row>
    <row r="461" spans="1:7" x14ac:dyDescent="0.25">
      <c r="A461" s="37">
        <v>45230</v>
      </c>
      <c r="B461" s="38">
        <v>40431.442260742202</v>
      </c>
      <c r="C461" s="39">
        <f t="shared" si="31"/>
        <v>6.280167441764295E-3</v>
      </c>
      <c r="D461" s="38">
        <f>MAX($B$2:B461)</f>
        <v>44948.645019531301</v>
      </c>
      <c r="E461" s="40">
        <f t="shared" si="28"/>
        <v>-0.10049697286372616</v>
      </c>
      <c r="F461" s="41">
        <f t="shared" si="29"/>
        <v>89.95030271362738</v>
      </c>
      <c r="G461" s="42" t="str">
        <f t="shared" si="30"/>
        <v>2023-10</v>
      </c>
    </row>
    <row r="462" spans="1:7" x14ac:dyDescent="0.25">
      <c r="A462" s="31">
        <v>45231</v>
      </c>
      <c r="B462" s="32">
        <v>40862.634277343801</v>
      </c>
      <c r="C462" s="33">
        <f t="shared" si="31"/>
        <v>1.0664769607298341E-2</v>
      </c>
      <c r="D462" s="32">
        <f>MAX($B$2:B462)</f>
        <v>44948.645019531301</v>
      </c>
      <c r="E462" s="34">
        <f t="shared" si="28"/>
        <v>-9.0903980318250421E-2</v>
      </c>
      <c r="F462" s="35">
        <f t="shared" si="29"/>
        <v>90.909601968174954</v>
      </c>
      <c r="G462" s="36" t="str">
        <f t="shared" si="30"/>
        <v>2023-11</v>
      </c>
    </row>
    <row r="463" spans="1:7" x14ac:dyDescent="0.25">
      <c r="A463" s="37">
        <v>45232</v>
      </c>
      <c r="B463" s="38">
        <v>41645.739746093801</v>
      </c>
      <c r="C463" s="39">
        <f t="shared" si="31"/>
        <v>1.9164341276553198E-2</v>
      </c>
      <c r="D463" s="38">
        <f>MAX($B$2:B463)</f>
        <v>44948.645019531301</v>
      </c>
      <c r="E463" s="40">
        <f t="shared" si="28"/>
        <v>-7.3481753943913208E-2</v>
      </c>
      <c r="F463" s="41">
        <f t="shared" si="29"/>
        <v>92.651824605608681</v>
      </c>
      <c r="G463" s="42" t="str">
        <f t="shared" si="30"/>
        <v>2023-11</v>
      </c>
    </row>
    <row r="464" spans="1:7" x14ac:dyDescent="0.25">
      <c r="A464" s="31">
        <v>45233</v>
      </c>
      <c r="B464" s="32">
        <v>42025.692749023401</v>
      </c>
      <c r="C464" s="33">
        <f t="shared" si="31"/>
        <v>9.1234542895888282E-3</v>
      </c>
      <c r="D464" s="32">
        <f>MAX($B$2:B464)</f>
        <v>44948.645019531301</v>
      </c>
      <c r="E464" s="34">
        <f t="shared" si="28"/>
        <v>-6.5028707077550485E-2</v>
      </c>
      <c r="F464" s="35">
        <f t="shared" si="29"/>
        <v>93.497129292244949</v>
      </c>
      <c r="G464" s="36" t="str">
        <f t="shared" si="30"/>
        <v>2023-11</v>
      </c>
    </row>
    <row r="465" spans="1:7" x14ac:dyDescent="0.25">
      <c r="A465" s="37">
        <v>45236</v>
      </c>
      <c r="B465" s="38">
        <v>42122.369384765603</v>
      </c>
      <c r="C465" s="39">
        <f t="shared" si="31"/>
        <v>2.3004174213034911E-3</v>
      </c>
      <c r="D465" s="38">
        <f>MAX($B$2:B465)</f>
        <v>44948.645019531301</v>
      </c>
      <c r="E465" s="40">
        <f t="shared" si="28"/>
        <v>-6.2877882826892995E-2</v>
      </c>
      <c r="F465" s="41">
        <f t="shared" si="29"/>
        <v>93.712211717310694</v>
      </c>
      <c r="G465" s="42" t="str">
        <f t="shared" si="30"/>
        <v>2023-11</v>
      </c>
    </row>
    <row r="466" spans="1:7" x14ac:dyDescent="0.25">
      <c r="A466" s="31">
        <v>45237</v>
      </c>
      <c r="B466" s="32">
        <v>42242.254638671897</v>
      </c>
      <c r="C466" s="33">
        <f t="shared" si="31"/>
        <v>2.8461184794996708E-3</v>
      </c>
      <c r="D466" s="32">
        <f>MAX($B$2:B466)</f>
        <v>44948.645019531301</v>
      </c>
      <c r="E466" s="34">
        <f t="shared" si="28"/>
        <v>-6.0210722251658799E-2</v>
      </c>
      <c r="F466" s="35">
        <f t="shared" si="29"/>
        <v>93.978927774834119</v>
      </c>
      <c r="G466" s="36" t="str">
        <f t="shared" si="30"/>
        <v>2023-11</v>
      </c>
    </row>
    <row r="467" spans="1:7" x14ac:dyDescent="0.25">
      <c r="A467" s="37">
        <v>45238</v>
      </c>
      <c r="B467" s="38">
        <v>42273.196411132798</v>
      </c>
      <c r="C467" s="39">
        <f t="shared" si="31"/>
        <v>7.3248392458147293E-4</v>
      </c>
      <c r="D467" s="38">
        <f>MAX($B$2:B467)</f>
        <v>44948.645019531301</v>
      </c>
      <c r="E467" s="40">
        <f t="shared" si="28"/>
        <v>-5.9522341713214133E-2</v>
      </c>
      <c r="F467" s="41">
        <f t="shared" si="29"/>
        <v>94.047765828678592</v>
      </c>
      <c r="G467" s="42" t="str">
        <f t="shared" si="30"/>
        <v>2023-11</v>
      </c>
    </row>
    <row r="468" spans="1:7" x14ac:dyDescent="0.25">
      <c r="A468" s="31">
        <v>45239</v>
      </c>
      <c r="B468" s="32">
        <v>41943.515014648401</v>
      </c>
      <c r="C468" s="33">
        <f t="shared" si="31"/>
        <v>-7.7988282049468172E-3</v>
      </c>
      <c r="D468" s="32">
        <f>MAX($B$2:B468)</f>
        <v>44948.645019531301</v>
      </c>
      <c r="E468" s="34">
        <f t="shared" si="28"/>
        <v>-6.6856965400783452E-2</v>
      </c>
      <c r="F468" s="35">
        <f t="shared" si="29"/>
        <v>93.314303459921661</v>
      </c>
      <c r="G468" s="36" t="str">
        <f t="shared" si="30"/>
        <v>2023-11</v>
      </c>
    </row>
    <row r="469" spans="1:7" x14ac:dyDescent="0.25">
      <c r="A469" s="37">
        <v>45240</v>
      </c>
      <c r="B469" s="38">
        <v>42598.031616210901</v>
      </c>
      <c r="C469" s="39">
        <f t="shared" si="31"/>
        <v>1.5604715087276677E-2</v>
      </c>
      <c r="D469" s="38">
        <f>MAX($B$2:B469)</f>
        <v>44948.645019531301</v>
      </c>
      <c r="E469" s="40">
        <f t="shared" si="28"/>
        <v>-5.2295534210185846E-2</v>
      </c>
      <c r="F469" s="41">
        <f t="shared" si="29"/>
        <v>94.770446578981421</v>
      </c>
      <c r="G469" s="42" t="str">
        <f t="shared" si="30"/>
        <v>2023-11</v>
      </c>
    </row>
    <row r="470" spans="1:7" x14ac:dyDescent="0.25">
      <c r="A470" s="31">
        <v>45243</v>
      </c>
      <c r="B470" s="32">
        <v>42557.431030273401</v>
      </c>
      <c r="C470" s="33">
        <f t="shared" si="31"/>
        <v>-9.5310943715176677E-4</v>
      </c>
      <c r="D470" s="32">
        <f>MAX($B$2:B470)</f>
        <v>44948.645019531301</v>
      </c>
      <c r="E470" s="34">
        <f t="shared" si="28"/>
        <v>-5.3198800280160996E-2</v>
      </c>
      <c r="F470" s="35">
        <f t="shared" si="29"/>
        <v>94.680119971983899</v>
      </c>
      <c r="G470" s="36" t="str">
        <f t="shared" si="30"/>
        <v>2023-11</v>
      </c>
    </row>
    <row r="471" spans="1:7" x14ac:dyDescent="0.25">
      <c r="A471" s="37">
        <v>45244</v>
      </c>
      <c r="B471" s="38">
        <v>43383.071899414099</v>
      </c>
      <c r="C471" s="39">
        <f t="shared" si="31"/>
        <v>1.9400627555581806E-2</v>
      </c>
      <c r="D471" s="38">
        <f>MAX($B$2:B471)</f>
        <v>44948.645019531301</v>
      </c>
      <c r="E471" s="40">
        <f t="shared" si="28"/>
        <v>-3.4830262835218284E-2</v>
      </c>
      <c r="F471" s="41">
        <f t="shared" si="29"/>
        <v>96.516973716478176</v>
      </c>
      <c r="G471" s="42" t="str">
        <f t="shared" si="30"/>
        <v>2023-11</v>
      </c>
    </row>
    <row r="472" spans="1:7" x14ac:dyDescent="0.25">
      <c r="A472" s="31">
        <v>45245</v>
      </c>
      <c r="B472" s="32">
        <v>43474.9267578125</v>
      </c>
      <c r="C472" s="33">
        <f t="shared" si="31"/>
        <v>2.1172972400702594E-3</v>
      </c>
      <c r="D472" s="32">
        <f>MAX($B$2:B472)</f>
        <v>44948.645019531301</v>
      </c>
      <c r="E472" s="34">
        <f t="shared" si="28"/>
        <v>-3.2786711614519959E-2</v>
      </c>
      <c r="F472" s="35">
        <f t="shared" si="29"/>
        <v>96.721328838548004</v>
      </c>
      <c r="G472" s="36" t="str">
        <f t="shared" si="30"/>
        <v>2023-11</v>
      </c>
    </row>
    <row r="473" spans="1:7" x14ac:dyDescent="0.25">
      <c r="A473" s="37">
        <v>45246</v>
      </c>
      <c r="B473" s="38">
        <v>43528.091430664099</v>
      </c>
      <c r="C473" s="39">
        <f t="shared" si="31"/>
        <v>1.2228812517101062E-3</v>
      </c>
      <c r="D473" s="38">
        <f>MAX($B$2:B473)</f>
        <v>44948.645019531301</v>
      </c>
      <c r="E473" s="40">
        <f t="shared" si="28"/>
        <v>-3.1603924617748413E-2</v>
      </c>
      <c r="F473" s="41">
        <f t="shared" si="29"/>
        <v>96.839607538225152</v>
      </c>
      <c r="G473" s="42" t="str">
        <f t="shared" si="30"/>
        <v>2023-11</v>
      </c>
    </row>
    <row r="474" spans="1:7" x14ac:dyDescent="0.25">
      <c r="A474" s="31">
        <v>45247</v>
      </c>
      <c r="B474" s="32">
        <v>43582.235717773401</v>
      </c>
      <c r="C474" s="33">
        <f t="shared" si="31"/>
        <v>1.2438929741624971E-3</v>
      </c>
      <c r="D474" s="32">
        <f>MAX($B$2:B474)</f>
        <v>44948.645019531301</v>
      </c>
      <c r="E474" s="34">
        <f t="shared" si="28"/>
        <v>-3.0399343543374036E-2</v>
      </c>
      <c r="F474" s="35">
        <f t="shared" si="29"/>
        <v>96.960065645662596</v>
      </c>
      <c r="G474" s="36" t="str">
        <f t="shared" si="30"/>
        <v>2023-11</v>
      </c>
    </row>
    <row r="475" spans="1:7" x14ac:dyDescent="0.25">
      <c r="A475" s="37">
        <v>45250</v>
      </c>
      <c r="B475" s="38">
        <v>43917.715454101599</v>
      </c>
      <c r="C475" s="39">
        <f t="shared" si="31"/>
        <v>7.6976256679595068E-3</v>
      </c>
      <c r="D475" s="38">
        <f>MAX($B$2:B475)</f>
        <v>44948.645019531301</v>
      </c>
      <c r="E475" s="40">
        <f t="shared" si="28"/>
        <v>-2.2935720642562996E-2</v>
      </c>
      <c r="F475" s="41">
        <f t="shared" si="29"/>
        <v>97.706427935743704</v>
      </c>
      <c r="G475" s="42" t="str">
        <f t="shared" si="30"/>
        <v>2023-11</v>
      </c>
    </row>
    <row r="476" spans="1:7" x14ac:dyDescent="0.25">
      <c r="A476" s="31">
        <v>45251</v>
      </c>
      <c r="B476" s="32">
        <v>43822.000122070298</v>
      </c>
      <c r="C476" s="33">
        <f t="shared" si="31"/>
        <v>-2.1794242036868861E-3</v>
      </c>
      <c r="D476" s="32">
        <f>MAX($B$2:B476)</f>
        <v>44948.645019531301</v>
      </c>
      <c r="E476" s="34">
        <f t="shared" si="28"/>
        <v>-2.5065158181552527E-2</v>
      </c>
      <c r="F476" s="35">
        <f t="shared" si="29"/>
        <v>97.49348418184475</v>
      </c>
      <c r="G476" s="36" t="str">
        <f t="shared" si="30"/>
        <v>2023-11</v>
      </c>
    </row>
    <row r="477" spans="1:7" x14ac:dyDescent="0.25">
      <c r="A477" s="37">
        <v>45252</v>
      </c>
      <c r="B477" s="38">
        <v>43991.1865234375</v>
      </c>
      <c r="C477" s="39">
        <f t="shared" si="31"/>
        <v>3.8607640202619198E-3</v>
      </c>
      <c r="D477" s="38">
        <f>MAX($B$2:B477)</f>
        <v>44948.645019531301</v>
      </c>
      <c r="E477" s="40">
        <f t="shared" si="28"/>
        <v>-2.1301164822160046E-2</v>
      </c>
      <c r="F477" s="41">
        <f t="shared" si="29"/>
        <v>97.86988351778399</v>
      </c>
      <c r="G477" s="42" t="str">
        <f t="shared" si="30"/>
        <v>2023-11</v>
      </c>
    </row>
    <row r="478" spans="1:7" x14ac:dyDescent="0.25">
      <c r="A478" s="31">
        <v>45254</v>
      </c>
      <c r="B478" s="32">
        <v>44018.255615234397</v>
      </c>
      <c r="C478" s="33">
        <f t="shared" si="31"/>
        <v>6.1532988619150686E-4</v>
      </c>
      <c r="D478" s="32">
        <f>MAX($B$2:B478)</f>
        <v>44948.645019531301</v>
      </c>
      <c r="E478" s="34">
        <f t="shared" si="28"/>
        <v>-2.0698942179294355E-2</v>
      </c>
      <c r="F478" s="35">
        <f t="shared" si="29"/>
        <v>97.930105782070569</v>
      </c>
      <c r="G478" s="36" t="str">
        <f t="shared" si="30"/>
        <v>2023-11</v>
      </c>
    </row>
    <row r="479" spans="1:7" x14ac:dyDescent="0.25">
      <c r="A479" s="37">
        <v>45257</v>
      </c>
      <c r="B479" s="38">
        <v>43938.983154296897</v>
      </c>
      <c r="C479" s="39">
        <f t="shared" si="31"/>
        <v>-1.8008996456021498E-3</v>
      </c>
      <c r="D479" s="38">
        <f>MAX($B$2:B479)</f>
        <v>44948.645019531301</v>
      </c>
      <c r="E479" s="40">
        <f t="shared" si="28"/>
        <v>-2.2462565107261412E-2</v>
      </c>
      <c r="F479" s="41">
        <f t="shared" si="29"/>
        <v>97.753743489273859</v>
      </c>
      <c r="G479" s="42" t="str">
        <f t="shared" si="30"/>
        <v>2023-11</v>
      </c>
    </row>
    <row r="480" spans="1:7" x14ac:dyDescent="0.25">
      <c r="A480" s="31">
        <v>45258</v>
      </c>
      <c r="B480" s="32">
        <v>43982.485961914099</v>
      </c>
      <c r="C480" s="33">
        <f t="shared" si="31"/>
        <v>9.9007315359211923E-4</v>
      </c>
      <c r="D480" s="32">
        <f>MAX($B$2:B480)</f>
        <v>44948.645019531301</v>
      </c>
      <c r="E480" s="34">
        <f t="shared" si="28"/>
        <v>-2.1494731536342959E-2</v>
      </c>
      <c r="F480" s="35">
        <f t="shared" si="29"/>
        <v>97.85052684636571</v>
      </c>
      <c r="G480" s="36" t="str">
        <f t="shared" si="30"/>
        <v>2023-11</v>
      </c>
    </row>
    <row r="481" spans="1:7" x14ac:dyDescent="0.25">
      <c r="A481" s="37">
        <v>45259</v>
      </c>
      <c r="B481" s="38">
        <v>43951.547241210901</v>
      </c>
      <c r="C481" s="39">
        <f t="shared" si="31"/>
        <v>-7.0343274206896567E-4</v>
      </c>
      <c r="D481" s="38">
        <f>MAX($B$2:B481)</f>
        <v>44948.645019531301</v>
      </c>
      <c r="E481" s="40">
        <f t="shared" si="28"/>
        <v>-2.2183044180467237E-2</v>
      </c>
      <c r="F481" s="41">
        <f t="shared" si="29"/>
        <v>97.781695581953272</v>
      </c>
      <c r="G481" s="42" t="str">
        <f t="shared" si="30"/>
        <v>2023-11</v>
      </c>
    </row>
    <row r="482" spans="1:7" x14ac:dyDescent="0.25">
      <c r="A482" s="31">
        <v>45260</v>
      </c>
      <c r="B482" s="32">
        <v>44124.609375</v>
      </c>
      <c r="C482" s="33">
        <f t="shared" si="31"/>
        <v>3.9375663577738695E-3</v>
      </c>
      <c r="D482" s="32">
        <f>MAX($B$2:B482)</f>
        <v>44948.645019531301</v>
      </c>
      <c r="E482" s="34">
        <f t="shared" si="28"/>
        <v>-1.8332825031171396E-2</v>
      </c>
      <c r="F482" s="35">
        <f t="shared" si="29"/>
        <v>98.166717496882853</v>
      </c>
      <c r="G482" s="36" t="str">
        <f t="shared" si="30"/>
        <v>2023-11</v>
      </c>
    </row>
    <row r="483" spans="1:7" x14ac:dyDescent="0.25">
      <c r="A483" s="37">
        <v>45261</v>
      </c>
      <c r="B483" s="38">
        <v>44385.641479492202</v>
      </c>
      <c r="C483" s="39">
        <f t="shared" si="31"/>
        <v>5.9157941155643101E-3</v>
      </c>
      <c r="D483" s="38">
        <f>MAX($B$2:B483)</f>
        <v>44948.645019531301</v>
      </c>
      <c r="E483" s="40">
        <f t="shared" si="28"/>
        <v>-1.2525484134048082E-2</v>
      </c>
      <c r="F483" s="41">
        <f t="shared" si="29"/>
        <v>98.74745158659519</v>
      </c>
      <c r="G483" s="42" t="str">
        <f t="shared" si="30"/>
        <v>2023-12</v>
      </c>
    </row>
    <row r="484" spans="1:7" x14ac:dyDescent="0.25">
      <c r="A484" s="31">
        <v>45264</v>
      </c>
      <c r="B484" s="32">
        <v>44152.648925781301</v>
      </c>
      <c r="C484" s="33">
        <f t="shared" si="31"/>
        <v>-5.249277602950797E-3</v>
      </c>
      <c r="D484" s="32">
        <f>MAX($B$2:B484)</f>
        <v>44948.645019531301</v>
      </c>
      <c r="E484" s="34">
        <f t="shared" si="28"/>
        <v>-1.7709011993667922E-2</v>
      </c>
      <c r="F484" s="35">
        <f t="shared" si="29"/>
        <v>98.22909880063321</v>
      </c>
      <c r="G484" s="36" t="str">
        <f t="shared" si="30"/>
        <v>2023-12</v>
      </c>
    </row>
    <row r="485" spans="1:7" x14ac:dyDescent="0.25">
      <c r="A485" s="37">
        <v>45265</v>
      </c>
      <c r="B485" s="38">
        <v>44143.939208984397</v>
      </c>
      <c r="C485" s="39">
        <f t="shared" si="31"/>
        <v>-1.9726374314588124E-4</v>
      </c>
      <c r="D485" s="38">
        <f>MAX($B$2:B485)</f>
        <v>44948.645019531301</v>
      </c>
      <c r="E485" s="40">
        <f t="shared" si="28"/>
        <v>-1.7902782390820438E-2</v>
      </c>
      <c r="F485" s="41">
        <f t="shared" si="29"/>
        <v>98.209721760917958</v>
      </c>
      <c r="G485" s="42" t="str">
        <f t="shared" si="30"/>
        <v>2023-12</v>
      </c>
    </row>
    <row r="486" spans="1:7" x14ac:dyDescent="0.25">
      <c r="A486" s="31">
        <v>45266</v>
      </c>
      <c r="B486" s="32">
        <v>43966.055297851599</v>
      </c>
      <c r="C486" s="33">
        <f t="shared" si="31"/>
        <v>-4.0296338369502083E-3</v>
      </c>
      <c r="D486" s="32">
        <f>MAX($B$2:B486)</f>
        <v>44948.645019531301</v>
      </c>
      <c r="E486" s="34">
        <f t="shared" si="28"/>
        <v>-2.1860274570073113E-2</v>
      </c>
      <c r="F486" s="35">
        <f t="shared" si="29"/>
        <v>97.813972542992687</v>
      </c>
      <c r="G486" s="36" t="str">
        <f t="shared" si="30"/>
        <v>2023-12</v>
      </c>
    </row>
    <row r="487" spans="1:7" x14ac:dyDescent="0.25">
      <c r="A487" s="37">
        <v>45267</v>
      </c>
      <c r="B487" s="38">
        <v>44301.531982421897</v>
      </c>
      <c r="C487" s="39">
        <f t="shared" si="31"/>
        <v>7.6303566989939231E-3</v>
      </c>
      <c r="D487" s="38">
        <f>MAX($B$2:B487)</f>
        <v>44948.645019531301</v>
      </c>
      <c r="E487" s="40">
        <f t="shared" si="28"/>
        <v>-1.4396719563586791E-2</v>
      </c>
      <c r="F487" s="41">
        <f t="shared" si="29"/>
        <v>98.56032804364132</v>
      </c>
      <c r="G487" s="42" t="str">
        <f t="shared" si="30"/>
        <v>2023-12</v>
      </c>
    </row>
    <row r="488" spans="1:7" x14ac:dyDescent="0.25">
      <c r="A488" s="31">
        <v>45268</v>
      </c>
      <c r="B488" s="32">
        <v>44491.9921875</v>
      </c>
      <c r="C488" s="33">
        <f t="shared" si="31"/>
        <v>4.2991787542172588E-3</v>
      </c>
      <c r="D488" s="32">
        <f>MAX($B$2:B488)</f>
        <v>44948.645019531301</v>
      </c>
      <c r="E488" s="34">
        <f t="shared" si="28"/>
        <v>-1.0159434880247731E-2</v>
      </c>
      <c r="F488" s="35">
        <f t="shared" si="29"/>
        <v>98.984056511975226</v>
      </c>
      <c r="G488" s="36" t="str">
        <f t="shared" si="30"/>
        <v>2023-12</v>
      </c>
    </row>
    <row r="489" spans="1:7" x14ac:dyDescent="0.25">
      <c r="A489" s="37">
        <v>45271</v>
      </c>
      <c r="B489" s="38">
        <v>44665.042114257798</v>
      </c>
      <c r="C489" s="39">
        <f t="shared" si="31"/>
        <v>3.8894623110721227E-3</v>
      </c>
      <c r="D489" s="38">
        <f>MAX($B$2:B489)</f>
        <v>44948.645019531301</v>
      </c>
      <c r="E489" s="40">
        <f t="shared" si="28"/>
        <v>-6.3094873082440994E-3</v>
      </c>
      <c r="F489" s="41">
        <f t="shared" si="29"/>
        <v>99.369051269175586</v>
      </c>
      <c r="G489" s="42" t="str">
        <f t="shared" si="30"/>
        <v>2023-12</v>
      </c>
    </row>
    <row r="490" spans="1:7" x14ac:dyDescent="0.25">
      <c r="A490" s="31">
        <v>45272</v>
      </c>
      <c r="B490" s="32">
        <v>44869.039916992202</v>
      </c>
      <c r="C490" s="33">
        <f t="shared" si="31"/>
        <v>4.5672811012369419E-3</v>
      </c>
      <c r="D490" s="32">
        <f>MAX($B$2:B490)</f>
        <v>44948.645019531301</v>
      </c>
      <c r="E490" s="34">
        <f t="shared" si="28"/>
        <v>-1.7710234091485866E-3</v>
      </c>
      <c r="F490" s="35">
        <f t="shared" si="29"/>
        <v>99.822897659085143</v>
      </c>
      <c r="G490" s="36" t="str">
        <f t="shared" si="30"/>
        <v>2023-12</v>
      </c>
    </row>
    <row r="491" spans="1:7" x14ac:dyDescent="0.25">
      <c r="A491" s="37">
        <v>45273</v>
      </c>
      <c r="B491" s="38">
        <v>45487.786865234397</v>
      </c>
      <c r="C491" s="39">
        <f t="shared" si="31"/>
        <v>1.3790064360344578E-2</v>
      </c>
      <c r="D491" s="38">
        <f>MAX($B$2:B491)</f>
        <v>45487.786865234397</v>
      </c>
      <c r="E491" s="40">
        <f t="shared" si="28"/>
        <v>0</v>
      </c>
      <c r="F491" s="41">
        <f t="shared" si="29"/>
        <v>101.19946184244002</v>
      </c>
      <c r="G491" s="42" t="str">
        <f t="shared" si="30"/>
        <v>2023-12</v>
      </c>
    </row>
    <row r="492" spans="1:7" x14ac:dyDescent="0.25">
      <c r="A492" s="31">
        <v>45274</v>
      </c>
      <c r="B492" s="32">
        <v>45633.776855468801</v>
      </c>
      <c r="C492" s="33">
        <f t="shared" si="31"/>
        <v>3.2094326916130012E-3</v>
      </c>
      <c r="D492" s="32">
        <f>MAX($B$2:B492)</f>
        <v>45633.776855468801</v>
      </c>
      <c r="E492" s="34">
        <f t="shared" si="28"/>
        <v>0</v>
      </c>
      <c r="F492" s="35">
        <f t="shared" si="29"/>
        <v>101.52425470365078</v>
      </c>
      <c r="G492" s="36" t="str">
        <f t="shared" si="30"/>
        <v>2023-12</v>
      </c>
    </row>
    <row r="493" spans="1:7" x14ac:dyDescent="0.25">
      <c r="A493" s="37">
        <v>45275</v>
      </c>
      <c r="B493" s="38">
        <v>45558.639526367202</v>
      </c>
      <c r="C493" s="39">
        <f t="shared" si="31"/>
        <v>-1.6465288275299139E-3</v>
      </c>
      <c r="D493" s="38">
        <f>MAX($B$2:B493)</f>
        <v>45633.776855468801</v>
      </c>
      <c r="E493" s="40">
        <f t="shared" si="28"/>
        <v>-1.6465288275299139E-3</v>
      </c>
      <c r="F493" s="41">
        <f t="shared" si="29"/>
        <v>101.35709209158772</v>
      </c>
      <c r="G493" s="42" t="str">
        <f t="shared" si="30"/>
        <v>2023-12</v>
      </c>
    </row>
    <row r="494" spans="1:7" x14ac:dyDescent="0.25">
      <c r="A494" s="31">
        <v>45278</v>
      </c>
      <c r="B494" s="32">
        <v>45814.913940429702</v>
      </c>
      <c r="C494" s="33">
        <f t="shared" si="31"/>
        <v>5.6251551127679544E-3</v>
      </c>
      <c r="D494" s="32">
        <f>MAX($B$2:B494)</f>
        <v>45814.913940429702</v>
      </c>
      <c r="E494" s="34">
        <f t="shared" si="28"/>
        <v>0</v>
      </c>
      <c r="F494" s="35">
        <f t="shared" si="29"/>
        <v>101.92724145638203</v>
      </c>
      <c r="G494" s="36" t="str">
        <f t="shared" si="30"/>
        <v>2023-12</v>
      </c>
    </row>
    <row r="495" spans="1:7" x14ac:dyDescent="0.25">
      <c r="A495" s="37">
        <v>45279</v>
      </c>
      <c r="B495" s="38">
        <v>46093.502807617202</v>
      </c>
      <c r="C495" s="39">
        <f t="shared" si="31"/>
        <v>6.0807462729217665E-3</v>
      </c>
      <c r="D495" s="38">
        <f>MAX($B$2:B495)</f>
        <v>46093.502807617202</v>
      </c>
      <c r="E495" s="40">
        <f t="shared" si="28"/>
        <v>0</v>
      </c>
      <c r="F495" s="41">
        <f t="shared" si="29"/>
        <v>102.54703514997712</v>
      </c>
      <c r="G495" s="42" t="str">
        <f t="shared" si="30"/>
        <v>2023-12</v>
      </c>
    </row>
    <row r="496" spans="1:7" x14ac:dyDescent="0.25">
      <c r="A496" s="31">
        <v>45280</v>
      </c>
      <c r="B496" s="32">
        <v>45454.772949218801</v>
      </c>
      <c r="C496" s="33">
        <f t="shared" si="31"/>
        <v>-1.3857264462288743E-2</v>
      </c>
      <c r="D496" s="32">
        <f>MAX($B$2:B496)</f>
        <v>46093.502807617202</v>
      </c>
      <c r="E496" s="34">
        <f t="shared" si="28"/>
        <v>-1.3857264462288743E-2</v>
      </c>
      <c r="F496" s="35">
        <f t="shared" si="29"/>
        <v>101.12601376408026</v>
      </c>
      <c r="G496" s="36" t="str">
        <f t="shared" si="30"/>
        <v>2023-12</v>
      </c>
    </row>
    <row r="497" spans="1:7" x14ac:dyDescent="0.25">
      <c r="A497" s="37">
        <v>45281</v>
      </c>
      <c r="B497" s="38">
        <v>45885.772705078103</v>
      </c>
      <c r="C497" s="39">
        <f t="shared" si="31"/>
        <v>9.4819471728702087E-3</v>
      </c>
      <c r="D497" s="38">
        <f>MAX($B$2:B497)</f>
        <v>46093.502807617202</v>
      </c>
      <c r="E497" s="40">
        <f t="shared" si="28"/>
        <v>-4.5067111390104664E-3</v>
      </c>
      <c r="F497" s="41">
        <f t="shared" si="29"/>
        <v>102.0848852843942</v>
      </c>
      <c r="G497" s="42" t="str">
        <f t="shared" si="30"/>
        <v>2023-12</v>
      </c>
    </row>
    <row r="498" spans="1:7" x14ac:dyDescent="0.25">
      <c r="A498" s="31">
        <v>45282</v>
      </c>
      <c r="B498" s="32">
        <v>45977.993774414099</v>
      </c>
      <c r="C498" s="33">
        <f t="shared" si="31"/>
        <v>2.0097965861602951E-3</v>
      </c>
      <c r="D498" s="32">
        <f>MAX($B$2:B498)</f>
        <v>46093.502807617202</v>
      </c>
      <c r="E498" s="34">
        <f t="shared" si="28"/>
        <v>-2.5059721255120682E-3</v>
      </c>
      <c r="F498" s="35">
        <f t="shared" si="29"/>
        <v>102.29005513833735</v>
      </c>
      <c r="G498" s="36" t="str">
        <f t="shared" si="30"/>
        <v>2023-12</v>
      </c>
    </row>
    <row r="499" spans="1:7" x14ac:dyDescent="0.25">
      <c r="A499" s="37">
        <v>45286</v>
      </c>
      <c r="B499" s="38">
        <v>46172.134399414099</v>
      </c>
      <c r="C499" s="39">
        <f t="shared" si="31"/>
        <v>4.2224683824294562E-3</v>
      </c>
      <c r="D499" s="38">
        <f>MAX($B$2:B499)</f>
        <v>46172.134399414099</v>
      </c>
      <c r="E499" s="40">
        <f t="shared" si="28"/>
        <v>0</v>
      </c>
      <c r="F499" s="41">
        <f t="shared" si="29"/>
        <v>102.72197166199595</v>
      </c>
      <c r="G499" s="42" t="str">
        <f t="shared" si="30"/>
        <v>2023-12</v>
      </c>
    </row>
    <row r="500" spans="1:7" x14ac:dyDescent="0.25">
      <c r="A500" s="31">
        <v>45287</v>
      </c>
      <c r="B500" s="32">
        <v>46255.618286132798</v>
      </c>
      <c r="C500" s="33">
        <f t="shared" si="31"/>
        <v>1.8081010939741127E-3</v>
      </c>
      <c r="D500" s="32">
        <f>MAX($B$2:B500)</f>
        <v>46255.618286132798</v>
      </c>
      <c r="E500" s="34">
        <f t="shared" si="28"/>
        <v>0</v>
      </c>
      <c r="F500" s="35">
        <f t="shared" si="29"/>
        <v>102.9077033713332</v>
      </c>
      <c r="G500" s="36" t="str">
        <f t="shared" si="30"/>
        <v>2023-12</v>
      </c>
    </row>
    <row r="501" spans="1:7" x14ac:dyDescent="0.25">
      <c r="A501" s="37">
        <v>45288</v>
      </c>
      <c r="B501" s="38">
        <v>46273.089599609397</v>
      </c>
      <c r="C501" s="39">
        <f t="shared" si="31"/>
        <v>3.7771224607840992E-4</v>
      </c>
      <c r="D501" s="38">
        <f>MAX($B$2:B501)</f>
        <v>46273.089599609397</v>
      </c>
      <c r="E501" s="40">
        <f t="shared" si="28"/>
        <v>0</v>
      </c>
      <c r="F501" s="41">
        <f t="shared" si="29"/>
        <v>102.94657287111232</v>
      </c>
      <c r="G501" s="42" t="str">
        <f t="shared" si="30"/>
        <v>2023-12</v>
      </c>
    </row>
    <row r="502" spans="1:7" x14ac:dyDescent="0.25">
      <c r="A502" s="31">
        <v>45289</v>
      </c>
      <c r="B502" s="32">
        <v>46139.132690429702</v>
      </c>
      <c r="C502" s="33">
        <f t="shared" si="31"/>
        <v>-2.8949203595176609E-3</v>
      </c>
      <c r="D502" s="32">
        <f>MAX($B$2:B502)</f>
        <v>46273.089599609397</v>
      </c>
      <c r="E502" s="34">
        <f t="shared" si="28"/>
        <v>-2.8949203595176609E-3</v>
      </c>
      <c r="F502" s="35">
        <f t="shared" si="29"/>
        <v>102.64855074136518</v>
      </c>
      <c r="G502" s="36" t="str">
        <f t="shared" si="30"/>
        <v>2023-12</v>
      </c>
    </row>
    <row r="503" spans="1:7" x14ac:dyDescent="0.25">
      <c r="A503" s="37">
        <v>45293</v>
      </c>
      <c r="B503" s="38">
        <v>45880.920410156301</v>
      </c>
      <c r="C503" s="39">
        <f t="shared" si="31"/>
        <v>-5.5963834865704332E-3</v>
      </c>
      <c r="D503" s="38">
        <f>MAX($B$2:B503)</f>
        <v>46273.089599609397</v>
      </c>
      <c r="E503" s="40">
        <f t="shared" si="28"/>
        <v>-8.475102761593134E-3</v>
      </c>
      <c r="F503" s="41">
        <f t="shared" si="29"/>
        <v>102.07409008707582</v>
      </c>
      <c r="G503" s="42" t="str">
        <f t="shared" si="30"/>
        <v>2024-01</v>
      </c>
    </row>
    <row r="504" spans="1:7" x14ac:dyDescent="0.25">
      <c r="A504" s="31">
        <v>45294</v>
      </c>
      <c r="B504" s="32">
        <v>45506.2255859375</v>
      </c>
      <c r="C504" s="33">
        <f t="shared" si="31"/>
        <v>-8.166680634764667E-3</v>
      </c>
      <c r="D504" s="32">
        <f>MAX($B$2:B504)</f>
        <v>46273.089599609397</v>
      </c>
      <c r="E504" s="34">
        <f t="shared" si="28"/>
        <v>-1.6572569938756998E-2</v>
      </c>
      <c r="F504" s="35">
        <f t="shared" si="29"/>
        <v>101.24048359225048</v>
      </c>
      <c r="G504" s="36" t="str">
        <f t="shared" si="30"/>
        <v>2024-01</v>
      </c>
    </row>
    <row r="505" spans="1:7" x14ac:dyDescent="0.25">
      <c r="A505" s="37">
        <v>45295</v>
      </c>
      <c r="B505" s="38">
        <v>45359.6435546875</v>
      </c>
      <c r="C505" s="39">
        <f t="shared" si="31"/>
        <v>-3.2211423681619555E-3</v>
      </c>
      <c r="D505" s="38">
        <f>MAX($B$2:B505)</f>
        <v>46273.089599609397</v>
      </c>
      <c r="E505" s="40">
        <f t="shared" si="28"/>
        <v>-1.9740329699739934E-2</v>
      </c>
      <c r="F505" s="41">
        <f t="shared" si="29"/>
        <v>100.91437358117827</v>
      </c>
      <c r="G505" s="42" t="str">
        <f t="shared" si="30"/>
        <v>2024-01</v>
      </c>
    </row>
    <row r="506" spans="1:7" x14ac:dyDescent="0.25">
      <c r="A506" s="31">
        <v>45296</v>
      </c>
      <c r="B506" s="32">
        <v>45421.774291992202</v>
      </c>
      <c r="C506" s="33">
        <f t="shared" si="31"/>
        <v>1.3697360128015479E-3</v>
      </c>
      <c r="D506" s="32">
        <f>MAX($B$2:B506)</f>
        <v>46273.089599609397</v>
      </c>
      <c r="E506" s="34">
        <f t="shared" si="28"/>
        <v>-1.8397632727432556E-2</v>
      </c>
      <c r="F506" s="35">
        <f t="shared" si="29"/>
        <v>101.05259963288174</v>
      </c>
      <c r="G506" s="36" t="str">
        <f t="shared" si="30"/>
        <v>2024-01</v>
      </c>
    </row>
    <row r="507" spans="1:7" x14ac:dyDescent="0.25">
      <c r="A507" s="37">
        <v>45299</v>
      </c>
      <c r="B507" s="38">
        <v>46070.21484375</v>
      </c>
      <c r="C507" s="39">
        <f t="shared" si="31"/>
        <v>1.4275984632157401E-2</v>
      </c>
      <c r="D507" s="38">
        <f>MAX($B$2:B507)</f>
        <v>46273.089599609397</v>
      </c>
      <c r="E507" s="40">
        <f t="shared" si="28"/>
        <v>-4.3842924173601583E-3</v>
      </c>
      <c r="F507" s="41">
        <f t="shared" si="29"/>
        <v>102.4952249922803</v>
      </c>
      <c r="G507" s="42" t="str">
        <f t="shared" si="30"/>
        <v>2024-01</v>
      </c>
    </row>
    <row r="508" spans="1:7" x14ac:dyDescent="0.25">
      <c r="A508" s="31">
        <v>45300</v>
      </c>
      <c r="B508" s="32">
        <v>46000.3173828125</v>
      </c>
      <c r="C508" s="33">
        <f t="shared" si="31"/>
        <v>-1.5171941605777173E-3</v>
      </c>
      <c r="D508" s="32">
        <f>MAX($B$2:B508)</f>
        <v>46273.089599609397</v>
      </c>
      <c r="E508" s="34">
        <f t="shared" si="28"/>
        <v>-5.8948347550841218E-3</v>
      </c>
      <c r="F508" s="35">
        <f t="shared" si="29"/>
        <v>102.33971983543491</v>
      </c>
      <c r="G508" s="36" t="str">
        <f t="shared" si="30"/>
        <v>2024-01</v>
      </c>
    </row>
    <row r="509" spans="1:7" x14ac:dyDescent="0.25">
      <c r="A509" s="37">
        <v>45301</v>
      </c>
      <c r="B509" s="38">
        <v>46260.470581054702</v>
      </c>
      <c r="C509" s="39">
        <f t="shared" si="31"/>
        <v>5.6554652890157264E-3</v>
      </c>
      <c r="D509" s="38">
        <f>MAX($B$2:B509)</f>
        <v>46273.089599609397</v>
      </c>
      <c r="E509" s="40">
        <f t="shared" si="28"/>
        <v>-2.7270749941021855E-4</v>
      </c>
      <c r="F509" s="41">
        <f t="shared" si="29"/>
        <v>102.91849856865181</v>
      </c>
      <c r="G509" s="42" t="str">
        <f t="shared" si="30"/>
        <v>2024-01</v>
      </c>
    </row>
    <row r="510" spans="1:7" x14ac:dyDescent="0.25">
      <c r="A510" s="31">
        <v>45302</v>
      </c>
      <c r="B510" s="32">
        <v>46240.081787109397</v>
      </c>
      <c r="C510" s="33">
        <f t="shared" si="31"/>
        <v>-4.4073900868735194E-4</v>
      </c>
      <c r="D510" s="32">
        <f>MAX($B$2:B510)</f>
        <v>46273.089599609397</v>
      </c>
      <c r="E510" s="34">
        <f t="shared" si="28"/>
        <v>-7.1332631526466184E-4</v>
      </c>
      <c r="F510" s="35">
        <f t="shared" si="29"/>
        <v>102.87313837161707</v>
      </c>
      <c r="G510" s="36" t="str">
        <f t="shared" si="30"/>
        <v>2024-01</v>
      </c>
    </row>
    <row r="511" spans="1:7" x14ac:dyDescent="0.25">
      <c r="A511" s="37">
        <v>45303</v>
      </c>
      <c r="B511" s="38">
        <v>46272.119140625</v>
      </c>
      <c r="C511" s="39">
        <f t="shared" si="31"/>
        <v>6.9284811525860412E-4</v>
      </c>
      <c r="D511" s="38">
        <f>MAX($B$2:B511)</f>
        <v>46273.089599609397</v>
      </c>
      <c r="E511" s="40">
        <f t="shared" si="28"/>
        <v>-2.0972426799104049E-5</v>
      </c>
      <c r="F511" s="41">
        <f t="shared" si="29"/>
        <v>102.94441383164859</v>
      </c>
      <c r="G511" s="42" t="str">
        <f t="shared" si="30"/>
        <v>2024-01</v>
      </c>
    </row>
    <row r="512" spans="1:7" x14ac:dyDescent="0.25">
      <c r="A512" s="31">
        <v>45307</v>
      </c>
      <c r="B512" s="32">
        <v>46102.249145507798</v>
      </c>
      <c r="C512" s="33">
        <f t="shared" si="31"/>
        <v>-3.6711090451887474E-3</v>
      </c>
      <c r="D512" s="32">
        <f>MAX($B$2:B512)</f>
        <v>46273.089599609397</v>
      </c>
      <c r="E512" s="34">
        <f t="shared" si="28"/>
        <v>-3.6920044799222396E-3</v>
      </c>
      <c r="F512" s="35">
        <f t="shared" si="29"/>
        <v>102.56649366287955</v>
      </c>
      <c r="G512" s="36" t="str">
        <f t="shared" si="30"/>
        <v>2024-01</v>
      </c>
    </row>
    <row r="513" spans="1:7" x14ac:dyDescent="0.25">
      <c r="A513" s="37">
        <v>45308</v>
      </c>
      <c r="B513" s="38">
        <v>45845.977783203103</v>
      </c>
      <c r="C513" s="39">
        <f t="shared" si="31"/>
        <v>-5.5587605172114918E-3</v>
      </c>
      <c r="D513" s="38">
        <f>MAX($B$2:B513)</f>
        <v>46273.089599609397</v>
      </c>
      <c r="E513" s="40">
        <f t="shared" si="28"/>
        <v>-9.2302420284012809E-3</v>
      </c>
      <c r="F513" s="41">
        <f t="shared" si="29"/>
        <v>101.99635108751752</v>
      </c>
      <c r="G513" s="42" t="str">
        <f t="shared" si="30"/>
        <v>2024-01</v>
      </c>
    </row>
    <row r="514" spans="1:7" x14ac:dyDescent="0.25">
      <c r="A514" s="31">
        <v>45309</v>
      </c>
      <c r="B514" s="32">
        <v>46253.674316406301</v>
      </c>
      <c r="C514" s="33">
        <f t="shared" si="31"/>
        <v>8.8927437676455945E-3</v>
      </c>
      <c r="D514" s="32">
        <f>MAX($B$2:B514)</f>
        <v>46273.089599609397</v>
      </c>
      <c r="E514" s="34">
        <f t="shared" ref="E514:E577" si="32">B514/D514-1</f>
        <v>-4.1958043802758915E-4</v>
      </c>
      <c r="F514" s="35">
        <f t="shared" ref="F514:F577" si="33">B514/$B$2*100</f>
        <v>102.90337850297364</v>
      </c>
      <c r="G514" s="36" t="str">
        <f t="shared" ref="G514:G577" si="34">TEXT(A514,"YYYY-MM")</f>
        <v>2024-01</v>
      </c>
    </row>
    <row r="515" spans="1:7" x14ac:dyDescent="0.25">
      <c r="A515" s="37">
        <v>45310</v>
      </c>
      <c r="B515" s="38">
        <v>46830.279541015603</v>
      </c>
      <c r="C515" s="39">
        <f t="shared" ref="C515:C578" si="35">B515/B514-1</f>
        <v>1.2466149622296641E-2</v>
      </c>
      <c r="D515" s="38">
        <f>MAX($B$2:B515)</f>
        <v>46830.279541015603</v>
      </c>
      <c r="E515" s="40">
        <f t="shared" si="32"/>
        <v>0</v>
      </c>
      <c r="F515" s="41">
        <f t="shared" si="33"/>
        <v>104.18618741603154</v>
      </c>
      <c r="G515" s="42" t="str">
        <f t="shared" si="34"/>
        <v>2024-01</v>
      </c>
    </row>
    <row r="516" spans="1:7" x14ac:dyDescent="0.25">
      <c r="A516" s="31">
        <v>45313</v>
      </c>
      <c r="B516" s="32">
        <v>46929.296875</v>
      </c>
      <c r="C516" s="33">
        <f t="shared" si="35"/>
        <v>2.1143869939463933E-3</v>
      </c>
      <c r="D516" s="32">
        <f>MAX($B$2:B516)</f>
        <v>46929.296875</v>
      </c>
      <c r="E516" s="34">
        <f t="shared" si="32"/>
        <v>0</v>
      </c>
      <c r="F516" s="35">
        <f t="shared" si="33"/>
        <v>104.40647733565285</v>
      </c>
      <c r="G516" s="36" t="str">
        <f t="shared" si="34"/>
        <v>2024-01</v>
      </c>
    </row>
    <row r="517" spans="1:7" x14ac:dyDescent="0.25">
      <c r="A517" s="37">
        <v>45314</v>
      </c>
      <c r="B517" s="38">
        <v>47066.165161132798</v>
      </c>
      <c r="C517" s="39">
        <f t="shared" si="35"/>
        <v>2.9164785165514129E-3</v>
      </c>
      <c r="D517" s="38">
        <f>MAX($B$2:B517)</f>
        <v>47066.165161132798</v>
      </c>
      <c r="E517" s="40">
        <f t="shared" si="32"/>
        <v>0</v>
      </c>
      <c r="F517" s="41">
        <f t="shared" si="33"/>
        <v>104.71097658379109</v>
      </c>
      <c r="G517" s="42" t="str">
        <f t="shared" si="34"/>
        <v>2024-01</v>
      </c>
    </row>
    <row r="518" spans="1:7" x14ac:dyDescent="0.25">
      <c r="A518" s="31">
        <v>45315</v>
      </c>
      <c r="B518" s="32">
        <v>47117.617797851599</v>
      </c>
      <c r="C518" s="33">
        <f t="shared" si="35"/>
        <v>1.0931979808137537E-3</v>
      </c>
      <c r="D518" s="32">
        <f>MAX($B$2:B518)</f>
        <v>47117.617797851599</v>
      </c>
      <c r="E518" s="34">
        <f t="shared" si="32"/>
        <v>0</v>
      </c>
      <c r="F518" s="35">
        <f t="shared" si="33"/>
        <v>104.82544641196152</v>
      </c>
      <c r="G518" s="36" t="str">
        <f t="shared" si="34"/>
        <v>2024-01</v>
      </c>
    </row>
    <row r="519" spans="1:7" x14ac:dyDescent="0.25">
      <c r="A519" s="37">
        <v>45316</v>
      </c>
      <c r="B519" s="38">
        <v>47373.886108398401</v>
      </c>
      <c r="C519" s="39">
        <f t="shared" si="35"/>
        <v>5.4389063480728694E-3</v>
      </c>
      <c r="D519" s="38">
        <f>MAX($B$2:B519)</f>
        <v>47373.886108398401</v>
      </c>
      <c r="E519" s="40">
        <f t="shared" si="32"/>
        <v>0</v>
      </c>
      <c r="F519" s="41">
        <f t="shared" si="33"/>
        <v>105.39558219789112</v>
      </c>
      <c r="G519" s="42" t="str">
        <f t="shared" si="34"/>
        <v>2024-01</v>
      </c>
    </row>
    <row r="520" spans="1:7" x14ac:dyDescent="0.25">
      <c r="A520" s="31">
        <v>45317</v>
      </c>
      <c r="B520" s="32">
        <v>47313.699340820298</v>
      </c>
      <c r="C520" s="33">
        <f t="shared" si="35"/>
        <v>-1.2704629601292261E-3</v>
      </c>
      <c r="D520" s="32">
        <f>MAX($B$2:B520)</f>
        <v>47373.886108398401</v>
      </c>
      <c r="E520" s="34">
        <f t="shared" si="32"/>
        <v>-1.2704629601292261E-3</v>
      </c>
      <c r="F520" s="35">
        <f t="shared" si="33"/>
        <v>105.26168101454742</v>
      </c>
      <c r="G520" s="36" t="str">
        <f t="shared" si="34"/>
        <v>2024-01</v>
      </c>
    </row>
    <row r="521" spans="1:7" x14ac:dyDescent="0.25">
      <c r="A521" s="37">
        <v>45320</v>
      </c>
      <c r="B521" s="38">
        <v>47688.394165039099</v>
      </c>
      <c r="C521" s="39">
        <f t="shared" si="35"/>
        <v>7.9193728125064311E-3</v>
      </c>
      <c r="D521" s="38">
        <f>MAX($B$2:B521)</f>
        <v>47688.394165039099</v>
      </c>
      <c r="E521" s="40">
        <f t="shared" si="32"/>
        <v>0</v>
      </c>
      <c r="F521" s="41">
        <f t="shared" si="33"/>
        <v>106.09528750937278</v>
      </c>
      <c r="G521" s="42" t="str">
        <f t="shared" si="34"/>
        <v>2024-01</v>
      </c>
    </row>
    <row r="522" spans="1:7" x14ac:dyDescent="0.25">
      <c r="A522" s="31">
        <v>45321</v>
      </c>
      <c r="B522" s="32">
        <v>47651.510620117202</v>
      </c>
      <c r="C522" s="33">
        <f t="shared" si="35"/>
        <v>-7.7342811742098228E-4</v>
      </c>
      <c r="D522" s="32">
        <f>MAX($B$2:B522)</f>
        <v>47688.394165039099</v>
      </c>
      <c r="E522" s="34">
        <f t="shared" si="32"/>
        <v>-7.7342811742098228E-4</v>
      </c>
      <c r="F522" s="35">
        <f t="shared" si="33"/>
        <v>106.01323043088715</v>
      </c>
      <c r="G522" s="36" t="str">
        <f t="shared" si="34"/>
        <v>2024-01</v>
      </c>
    </row>
    <row r="523" spans="1:7" x14ac:dyDescent="0.25">
      <c r="A523" s="37">
        <v>45322</v>
      </c>
      <c r="B523" s="38">
        <v>46873.959350585901</v>
      </c>
      <c r="C523" s="39">
        <f t="shared" si="35"/>
        <v>-1.6317452676999467E-2</v>
      </c>
      <c r="D523" s="38">
        <f>MAX($B$2:B523)</f>
        <v>47688.394165039099</v>
      </c>
      <c r="E523" s="40">
        <f t="shared" si="32"/>
        <v>-1.707826041771543E-2</v>
      </c>
      <c r="F523" s="41">
        <f t="shared" si="33"/>
        <v>104.28336456019531</v>
      </c>
      <c r="G523" s="42" t="str">
        <f t="shared" si="34"/>
        <v>2024-01</v>
      </c>
    </row>
    <row r="524" spans="1:7" x14ac:dyDescent="0.25">
      <c r="A524" s="31">
        <v>45323</v>
      </c>
      <c r="B524" s="32">
        <v>47487.454223632798</v>
      </c>
      <c r="C524" s="33">
        <f t="shared" si="35"/>
        <v>1.3088181189439663E-2</v>
      </c>
      <c r="D524" s="32">
        <f>MAX($B$2:B524)</f>
        <v>47688.394165039099</v>
      </c>
      <c r="E524" s="34">
        <f t="shared" si="32"/>
        <v>-4.2136025950232359E-3</v>
      </c>
      <c r="F524" s="35">
        <f t="shared" si="33"/>
        <v>105.64824413060354</v>
      </c>
      <c r="G524" s="36" t="str">
        <f t="shared" si="34"/>
        <v>2024-02</v>
      </c>
    </row>
    <row r="525" spans="1:7" x14ac:dyDescent="0.25">
      <c r="A525" s="37">
        <v>45324</v>
      </c>
      <c r="B525" s="38">
        <v>47987.374877929702</v>
      </c>
      <c r="C525" s="39">
        <f t="shared" si="35"/>
        <v>1.052742587426625E-2</v>
      </c>
      <c r="D525" s="38">
        <f>MAX($B$2:B525)</f>
        <v>47987.374877929702</v>
      </c>
      <c r="E525" s="40">
        <f t="shared" si="32"/>
        <v>0</v>
      </c>
      <c r="F525" s="41">
        <f t="shared" si="33"/>
        <v>106.76044818943484</v>
      </c>
      <c r="G525" s="42" t="str">
        <f t="shared" si="34"/>
        <v>2024-02</v>
      </c>
    </row>
    <row r="526" spans="1:7" x14ac:dyDescent="0.25">
      <c r="A526" s="31">
        <v>45327</v>
      </c>
      <c r="B526" s="32">
        <v>47812.646484375</v>
      </c>
      <c r="C526" s="33">
        <f t="shared" si="35"/>
        <v>-3.641132568705352E-3</v>
      </c>
      <c r="D526" s="32">
        <f>MAX($B$2:B526)</f>
        <v>47987.374877929702</v>
      </c>
      <c r="E526" s="34">
        <f t="shared" si="32"/>
        <v>-3.641132568705352E-3</v>
      </c>
      <c r="F526" s="35">
        <f t="shared" si="33"/>
        <v>106.37171924448272</v>
      </c>
      <c r="G526" s="36" t="str">
        <f t="shared" si="34"/>
        <v>2024-02</v>
      </c>
    </row>
    <row r="527" spans="1:7" x14ac:dyDescent="0.25">
      <c r="A527" s="37">
        <v>45328</v>
      </c>
      <c r="B527" s="38">
        <v>47951.461791992202</v>
      </c>
      <c r="C527" s="39">
        <f t="shared" si="35"/>
        <v>2.9033178002930704E-3</v>
      </c>
      <c r="D527" s="38">
        <f>MAX($B$2:B527)</f>
        <v>47987.374877929702</v>
      </c>
      <c r="E527" s="40">
        <f t="shared" si="32"/>
        <v>-7.4838613341232652E-4</v>
      </c>
      <c r="F527" s="41">
        <f t="shared" si="33"/>
        <v>106.680550150413</v>
      </c>
      <c r="G527" s="42" t="str">
        <f t="shared" si="34"/>
        <v>2024-02</v>
      </c>
    </row>
    <row r="528" spans="1:7" x14ac:dyDescent="0.25">
      <c r="A528" s="31">
        <v>45329</v>
      </c>
      <c r="B528" s="32">
        <v>48351.397705078103</v>
      </c>
      <c r="C528" s="33">
        <f t="shared" si="35"/>
        <v>8.3404321399163095E-3</v>
      </c>
      <c r="D528" s="32">
        <f>MAX($B$2:B528)</f>
        <v>48351.397705078103</v>
      </c>
      <c r="E528" s="34">
        <f t="shared" si="32"/>
        <v>0</v>
      </c>
      <c r="F528" s="35">
        <f t="shared" si="33"/>
        <v>107.57031203959144</v>
      </c>
      <c r="G528" s="36" t="str">
        <f t="shared" si="34"/>
        <v>2024-02</v>
      </c>
    </row>
    <row r="529" spans="1:7" x14ac:dyDescent="0.25">
      <c r="A529" s="37">
        <v>45330</v>
      </c>
      <c r="B529" s="38">
        <v>48372.750854492202</v>
      </c>
      <c r="C529" s="39">
        <f t="shared" si="35"/>
        <v>4.4162424309512893E-4</v>
      </c>
      <c r="D529" s="38">
        <f>MAX($B$2:B529)</f>
        <v>48372.750854492202</v>
      </c>
      <c r="E529" s="40">
        <f t="shared" si="32"/>
        <v>0</v>
      </c>
      <c r="F529" s="41">
        <f t="shared" si="33"/>
        <v>107.61781769722545</v>
      </c>
      <c r="G529" s="42" t="str">
        <f t="shared" si="34"/>
        <v>2024-02</v>
      </c>
    </row>
    <row r="530" spans="1:7" x14ac:dyDescent="0.25">
      <c r="A530" s="31">
        <v>45331</v>
      </c>
      <c r="B530" s="32">
        <v>48652.3193359375</v>
      </c>
      <c r="C530" s="33">
        <f t="shared" si="35"/>
        <v>5.7794621249938061E-3</v>
      </c>
      <c r="D530" s="32">
        <f>MAX($B$2:B530)</f>
        <v>48652.3193359375</v>
      </c>
      <c r="E530" s="34">
        <f t="shared" si="32"/>
        <v>0</v>
      </c>
      <c r="F530" s="35">
        <f t="shared" si="33"/>
        <v>108.23979079858105</v>
      </c>
      <c r="G530" s="36" t="str">
        <f t="shared" si="34"/>
        <v>2024-02</v>
      </c>
    </row>
    <row r="531" spans="1:7" x14ac:dyDescent="0.25">
      <c r="A531" s="37">
        <v>45334</v>
      </c>
      <c r="B531" s="38">
        <v>48630.963134765603</v>
      </c>
      <c r="C531" s="39">
        <f t="shared" si="35"/>
        <v>-4.3895545913108514E-4</v>
      </c>
      <c r="D531" s="38">
        <f>MAX($B$2:B531)</f>
        <v>48652.3193359375</v>
      </c>
      <c r="E531" s="40">
        <f t="shared" si="32"/>
        <v>-4.3895545913108514E-4</v>
      </c>
      <c r="F531" s="41">
        <f t="shared" si="33"/>
        <v>108.19227835151482</v>
      </c>
      <c r="G531" s="42" t="str">
        <f t="shared" si="34"/>
        <v>2024-02</v>
      </c>
    </row>
    <row r="532" spans="1:7" x14ac:dyDescent="0.25">
      <c r="A532" s="31">
        <v>45335</v>
      </c>
      <c r="B532" s="32">
        <v>47961.160278320298</v>
      </c>
      <c r="C532" s="33">
        <f t="shared" si="35"/>
        <v>-1.3773176866539782E-2</v>
      </c>
      <c r="D532" s="32">
        <f>MAX($B$2:B532)</f>
        <v>48652.3193359375</v>
      </c>
      <c r="E532" s="34">
        <f t="shared" si="32"/>
        <v>-1.420608651449573E-2</v>
      </c>
      <c r="F532" s="35">
        <f t="shared" si="33"/>
        <v>106.70212696618549</v>
      </c>
      <c r="G532" s="36" t="str">
        <f t="shared" si="34"/>
        <v>2024-02</v>
      </c>
    </row>
    <row r="533" spans="1:7" x14ac:dyDescent="0.25">
      <c r="A533" s="37">
        <v>45336</v>
      </c>
      <c r="B533" s="38">
        <v>48397.018432617202</v>
      </c>
      <c r="C533" s="39">
        <f t="shared" si="35"/>
        <v>9.0877316513529038E-3</v>
      </c>
      <c r="D533" s="38">
        <f>MAX($B$2:B533)</f>
        <v>48652.3193359375</v>
      </c>
      <c r="E533" s="40">
        <f t="shared" si="32"/>
        <v>-5.2474559652023745E-3</v>
      </c>
      <c r="F533" s="41">
        <f t="shared" si="33"/>
        <v>107.67180726268278</v>
      </c>
      <c r="G533" s="42" t="str">
        <f t="shared" si="34"/>
        <v>2024-02</v>
      </c>
    </row>
    <row r="534" spans="1:7" x14ac:dyDescent="0.25">
      <c r="A534" s="31">
        <v>45337</v>
      </c>
      <c r="B534" s="32">
        <v>48730.944824218801</v>
      </c>
      <c r="C534" s="33">
        <f t="shared" si="35"/>
        <v>6.8997306531708436E-3</v>
      </c>
      <c r="D534" s="32">
        <f>MAX($B$2:B534)</f>
        <v>48730.944824218801</v>
      </c>
      <c r="E534" s="34">
        <f t="shared" si="32"/>
        <v>0</v>
      </c>
      <c r="F534" s="35">
        <f t="shared" si="33"/>
        <v>108.41471373173539</v>
      </c>
      <c r="G534" s="36" t="str">
        <f t="shared" si="34"/>
        <v>2024-02</v>
      </c>
    </row>
    <row r="535" spans="1:7" x14ac:dyDescent="0.25">
      <c r="A535" s="37">
        <v>45338</v>
      </c>
      <c r="B535" s="38">
        <v>48488.265991210901</v>
      </c>
      <c r="C535" s="39">
        <f t="shared" si="35"/>
        <v>-4.9799738930423887E-3</v>
      </c>
      <c r="D535" s="38">
        <f>MAX($B$2:B535)</f>
        <v>48730.944824218801</v>
      </c>
      <c r="E535" s="40">
        <f t="shared" si="32"/>
        <v>-4.9799738930423887E-3</v>
      </c>
      <c r="F535" s="41">
        <f t="shared" si="33"/>
        <v>107.87481128772968</v>
      </c>
      <c r="G535" s="42" t="str">
        <f t="shared" si="34"/>
        <v>2024-02</v>
      </c>
    </row>
    <row r="536" spans="1:7" x14ac:dyDescent="0.25">
      <c r="A536" s="31">
        <v>45342</v>
      </c>
      <c r="B536" s="32">
        <v>48221.319580078103</v>
      </c>
      <c r="C536" s="33">
        <f t="shared" si="35"/>
        <v>-5.5053816769027319E-3</v>
      </c>
      <c r="D536" s="32">
        <f>MAX($B$2:B536)</f>
        <v>48730.944824218801</v>
      </c>
      <c r="E536" s="34">
        <f t="shared" si="32"/>
        <v>-1.0457938912922904E-2</v>
      </c>
      <c r="F536" s="35">
        <f t="shared" si="33"/>
        <v>107.28091927826688</v>
      </c>
      <c r="G536" s="36" t="str">
        <f t="shared" si="34"/>
        <v>2024-02</v>
      </c>
    </row>
    <row r="537" spans="1:7" x14ac:dyDescent="0.25">
      <c r="A537" s="37">
        <v>45343</v>
      </c>
      <c r="B537" s="38">
        <v>48264.999389648401</v>
      </c>
      <c r="C537" s="39">
        <f t="shared" si="35"/>
        <v>9.0581945808776432E-4</v>
      </c>
      <c r="D537" s="38">
        <f>MAX($B$2:B537)</f>
        <v>48730.944824218801</v>
      </c>
      <c r="E537" s="40">
        <f t="shared" si="32"/>
        <v>-9.5615924593941415E-3</v>
      </c>
      <c r="F537" s="41">
        <f t="shared" si="33"/>
        <v>107.37809642243067</v>
      </c>
      <c r="G537" s="42" t="str">
        <f t="shared" si="34"/>
        <v>2024-02</v>
      </c>
    </row>
    <row r="538" spans="1:7" x14ac:dyDescent="0.25">
      <c r="A538" s="31">
        <v>45344</v>
      </c>
      <c r="B538" s="32">
        <v>49263.873291015603</v>
      </c>
      <c r="C538" s="33">
        <f t="shared" si="35"/>
        <v>2.0695616160754327E-2</v>
      </c>
      <c r="D538" s="32">
        <f>MAX($B$2:B538)</f>
        <v>49263.873291015603</v>
      </c>
      <c r="E538" s="34">
        <f t="shared" si="32"/>
        <v>0</v>
      </c>
      <c r="F538" s="35">
        <f t="shared" si="33"/>
        <v>109.60035229006175</v>
      </c>
      <c r="G538" s="36" t="str">
        <f t="shared" si="34"/>
        <v>2024-02</v>
      </c>
    </row>
    <row r="539" spans="1:7" x14ac:dyDescent="0.25">
      <c r="A539" s="37">
        <v>45345</v>
      </c>
      <c r="B539" s="38">
        <v>49297.845458984397</v>
      </c>
      <c r="C539" s="39">
        <f t="shared" si="35"/>
        <v>6.895959594592771E-4</v>
      </c>
      <c r="D539" s="38">
        <f>MAX($B$2:B539)</f>
        <v>49297.845458984397</v>
      </c>
      <c r="E539" s="40">
        <f t="shared" si="32"/>
        <v>0</v>
      </c>
      <c r="F539" s="41">
        <f t="shared" si="33"/>
        <v>109.67593225015628</v>
      </c>
      <c r="G539" s="42" t="str">
        <f t="shared" si="34"/>
        <v>2024-02</v>
      </c>
    </row>
    <row r="540" spans="1:7" x14ac:dyDescent="0.25">
      <c r="A540" s="31">
        <v>45348</v>
      </c>
      <c r="B540" s="32">
        <v>49117.291259765603</v>
      </c>
      <c r="C540" s="33">
        <f t="shared" si="35"/>
        <v>-3.6625170438536747E-3</v>
      </c>
      <c r="D540" s="32">
        <f>MAX($B$2:B540)</f>
        <v>49297.845458984397</v>
      </c>
      <c r="E540" s="34">
        <f t="shared" si="32"/>
        <v>-3.6625170438536747E-3</v>
      </c>
      <c r="F540" s="35">
        <f t="shared" si="33"/>
        <v>109.27424227898955</v>
      </c>
      <c r="G540" s="36" t="str">
        <f t="shared" si="34"/>
        <v>2024-02</v>
      </c>
    </row>
    <row r="541" spans="1:7" x14ac:dyDescent="0.25">
      <c r="A541" s="37">
        <v>45349</v>
      </c>
      <c r="B541" s="38">
        <v>49208.538818359397</v>
      </c>
      <c r="C541" s="39">
        <f t="shared" si="35"/>
        <v>1.857748183042407E-3</v>
      </c>
      <c r="D541" s="38">
        <f>MAX($B$2:B541)</f>
        <v>49297.845458984397</v>
      </c>
      <c r="E541" s="40">
        <f t="shared" si="32"/>
        <v>-1.8115728951948462E-3</v>
      </c>
      <c r="F541" s="41">
        <f t="shared" si="33"/>
        <v>109.47724630403668</v>
      </c>
      <c r="G541" s="42" t="str">
        <f t="shared" si="34"/>
        <v>2024-02</v>
      </c>
    </row>
    <row r="542" spans="1:7" x14ac:dyDescent="0.25">
      <c r="A542" s="31">
        <v>45350</v>
      </c>
      <c r="B542" s="32">
        <v>49143.502807617202</v>
      </c>
      <c r="C542" s="33">
        <f t="shared" si="35"/>
        <v>-1.3216407620282311E-3</v>
      </c>
      <c r="D542" s="32">
        <f>MAX($B$2:B542)</f>
        <v>49297.845458984397</v>
      </c>
      <c r="E542" s="34">
        <f t="shared" si="32"/>
        <v>-3.1308194086414609E-3</v>
      </c>
      <c r="F542" s="35">
        <f t="shared" si="33"/>
        <v>109.33255671280666</v>
      </c>
      <c r="G542" s="36" t="str">
        <f t="shared" si="34"/>
        <v>2024-02</v>
      </c>
    </row>
    <row r="543" spans="1:7" x14ac:dyDescent="0.25">
      <c r="A543" s="37">
        <v>45351</v>
      </c>
      <c r="B543" s="38">
        <v>49320.169067382798</v>
      </c>
      <c r="C543" s="39">
        <f t="shared" si="35"/>
        <v>3.5949057285800112E-3</v>
      </c>
      <c r="D543" s="38">
        <f>MAX($B$2:B543)</f>
        <v>49320.169067382798</v>
      </c>
      <c r="E543" s="40">
        <f t="shared" si="32"/>
        <v>0</v>
      </c>
      <c r="F543" s="41">
        <f t="shared" si="33"/>
        <v>109.72559694725383</v>
      </c>
      <c r="G543" s="42" t="str">
        <f t="shared" si="34"/>
        <v>2024-02</v>
      </c>
    </row>
    <row r="544" spans="1:7" x14ac:dyDescent="0.25">
      <c r="A544" s="31">
        <v>45352</v>
      </c>
      <c r="B544" s="32">
        <v>49783.200073242202</v>
      </c>
      <c r="C544" s="33">
        <f t="shared" si="35"/>
        <v>9.3882688282516114E-3</v>
      </c>
      <c r="D544" s="32">
        <f>MAX($B$2:B544)</f>
        <v>49783.200073242202</v>
      </c>
      <c r="E544" s="34">
        <f t="shared" si="32"/>
        <v>0</v>
      </c>
      <c r="F544" s="35">
        <f t="shared" si="33"/>
        <v>110.75573034873503</v>
      </c>
      <c r="G544" s="36" t="str">
        <f t="shared" si="34"/>
        <v>2024-03</v>
      </c>
    </row>
    <row r="545" spans="1:7" x14ac:dyDescent="0.25">
      <c r="A545" s="37">
        <v>45355</v>
      </c>
      <c r="B545" s="38">
        <v>49729.815673828103</v>
      </c>
      <c r="C545" s="39">
        <f t="shared" si="35"/>
        <v>-1.0723376427300702E-3</v>
      </c>
      <c r="D545" s="38">
        <f>MAX($B$2:B545)</f>
        <v>49783.200073242202</v>
      </c>
      <c r="E545" s="40">
        <f t="shared" si="32"/>
        <v>-1.0723376427300702E-3</v>
      </c>
      <c r="F545" s="41">
        <f t="shared" si="33"/>
        <v>110.63696280993402</v>
      </c>
      <c r="G545" s="42" t="str">
        <f t="shared" si="34"/>
        <v>2024-03</v>
      </c>
    </row>
    <row r="546" spans="1:7" x14ac:dyDescent="0.25">
      <c r="A546" s="31">
        <v>45356</v>
      </c>
      <c r="B546" s="32">
        <v>49232.806396484397</v>
      </c>
      <c r="C546" s="33">
        <f t="shared" si="35"/>
        <v>-9.9941910222135499E-3</v>
      </c>
      <c r="D546" s="32">
        <f>MAX($B$2:B546)</f>
        <v>49783.200073242202</v>
      </c>
      <c r="E546" s="34">
        <f t="shared" si="32"/>
        <v>-1.1055811517701852E-2</v>
      </c>
      <c r="F546" s="35">
        <f t="shared" si="33"/>
        <v>109.531235869494</v>
      </c>
      <c r="G546" s="36" t="str">
        <f t="shared" si="34"/>
        <v>2024-03</v>
      </c>
    </row>
    <row r="547" spans="1:7" x14ac:dyDescent="0.25">
      <c r="A547" s="37">
        <v>45357</v>
      </c>
      <c r="B547" s="38">
        <v>49482.275390625</v>
      </c>
      <c r="C547" s="39">
        <f t="shared" si="35"/>
        <v>5.0671292660338096E-3</v>
      </c>
      <c r="D547" s="38">
        <f>MAX($B$2:B547)</f>
        <v>49783.200073242202</v>
      </c>
      <c r="E547" s="40">
        <f t="shared" si="32"/>
        <v>-6.0447034777690867E-3</v>
      </c>
      <c r="F547" s="41">
        <f t="shared" si="33"/>
        <v>110.08624480031317</v>
      </c>
      <c r="G547" s="42" t="str">
        <f t="shared" si="34"/>
        <v>2024-03</v>
      </c>
    </row>
    <row r="548" spans="1:7" x14ac:dyDescent="0.25">
      <c r="A548" s="31">
        <v>45358</v>
      </c>
      <c r="B548" s="32">
        <v>49973.4619140625</v>
      </c>
      <c r="C548" s="33">
        <f t="shared" si="35"/>
        <v>9.9265144854385756E-3</v>
      </c>
      <c r="D548" s="32">
        <f>MAX($B$2:B548)</f>
        <v>49973.4619140625</v>
      </c>
      <c r="E548" s="34">
        <f t="shared" si="32"/>
        <v>0</v>
      </c>
      <c r="F548" s="35">
        <f t="shared" si="33"/>
        <v>111.17901750397101</v>
      </c>
      <c r="G548" s="36" t="str">
        <f t="shared" si="34"/>
        <v>2024-03</v>
      </c>
    </row>
    <row r="549" spans="1:7" x14ac:dyDescent="0.25">
      <c r="A549" s="37">
        <v>45359</v>
      </c>
      <c r="B549" s="38">
        <v>49673.513793945298</v>
      </c>
      <c r="C549" s="39">
        <f t="shared" si="35"/>
        <v>-6.002148112792538E-3</v>
      </c>
      <c r="D549" s="38">
        <f>MAX($B$2:B549)</f>
        <v>49973.4619140625</v>
      </c>
      <c r="E549" s="40">
        <f t="shared" si="32"/>
        <v>-6.002148112792538E-3</v>
      </c>
      <c r="F549" s="41">
        <f t="shared" si="33"/>
        <v>110.51170457387742</v>
      </c>
      <c r="G549" s="42" t="str">
        <f t="shared" si="34"/>
        <v>2024-03</v>
      </c>
    </row>
    <row r="550" spans="1:7" x14ac:dyDescent="0.25">
      <c r="A550" s="31">
        <v>45362</v>
      </c>
      <c r="B550" s="32">
        <v>49630.801391601599</v>
      </c>
      <c r="C550" s="33">
        <f t="shared" si="35"/>
        <v>-8.5986271317306517E-4</v>
      </c>
      <c r="D550" s="32">
        <f>MAX($B$2:B550)</f>
        <v>49973.4619140625</v>
      </c>
      <c r="E550" s="34">
        <f t="shared" si="32"/>
        <v>-6.8568498026044811E-3</v>
      </c>
      <c r="F550" s="35">
        <f t="shared" si="33"/>
        <v>110.41667967974516</v>
      </c>
      <c r="G550" s="36" t="str">
        <f t="shared" si="34"/>
        <v>2024-03</v>
      </c>
    </row>
    <row r="551" spans="1:7" x14ac:dyDescent="0.25">
      <c r="A551" s="37">
        <v>45363</v>
      </c>
      <c r="B551" s="38">
        <v>50164.694213867202</v>
      </c>
      <c r="C551" s="39">
        <f t="shared" si="35"/>
        <v>1.0757287960213135E-2</v>
      </c>
      <c r="D551" s="38">
        <f>MAX($B$2:B551)</f>
        <v>50164.694213867202</v>
      </c>
      <c r="E551" s="40">
        <f t="shared" si="32"/>
        <v>0</v>
      </c>
      <c r="F551" s="41">
        <f t="shared" si="33"/>
        <v>111.60446369867078</v>
      </c>
      <c r="G551" s="42" t="str">
        <f t="shared" si="34"/>
        <v>2024-03</v>
      </c>
    </row>
    <row r="552" spans="1:7" x14ac:dyDescent="0.25">
      <c r="A552" s="31">
        <v>45364</v>
      </c>
      <c r="B552" s="32">
        <v>50086.068725585901</v>
      </c>
      <c r="C552" s="33">
        <f t="shared" si="35"/>
        <v>-1.567347105637662E-3</v>
      </c>
      <c r="D552" s="32">
        <f>MAX($B$2:B552)</f>
        <v>50164.694213867202</v>
      </c>
      <c r="E552" s="34">
        <f t="shared" si="32"/>
        <v>-1.567347105637662E-3</v>
      </c>
      <c r="F552" s="35">
        <f t="shared" si="33"/>
        <v>111.42954076551644</v>
      </c>
      <c r="G552" s="36" t="str">
        <f t="shared" si="34"/>
        <v>2024-03</v>
      </c>
    </row>
    <row r="553" spans="1:7" x14ac:dyDescent="0.25">
      <c r="A553" s="37">
        <v>45365</v>
      </c>
      <c r="B553" s="38">
        <v>49987.048339843801</v>
      </c>
      <c r="C553" s="39">
        <f t="shared" si="35"/>
        <v>-1.9770045496008137E-3</v>
      </c>
      <c r="D553" s="38">
        <f>MAX($B$2:B553)</f>
        <v>50164.694213867202</v>
      </c>
      <c r="E553" s="40">
        <f t="shared" si="32"/>
        <v>-3.541253002879774E-3</v>
      </c>
      <c r="F553" s="41">
        <f t="shared" si="33"/>
        <v>111.20924405646309</v>
      </c>
      <c r="G553" s="42" t="str">
        <f t="shared" si="34"/>
        <v>2024-03</v>
      </c>
    </row>
    <row r="554" spans="1:7" x14ac:dyDescent="0.25">
      <c r="A554" s="31">
        <v>45366</v>
      </c>
      <c r="B554" s="32">
        <v>49643.811035156301</v>
      </c>
      <c r="C554" s="33">
        <f t="shared" si="35"/>
        <v>-6.8665247516507266E-3</v>
      </c>
      <c r="D554" s="32">
        <f>MAX($B$2:B554)</f>
        <v>50164.694213867202</v>
      </c>
      <c r="E554" s="34">
        <f t="shared" si="32"/>
        <v>-1.0383461653134307E-2</v>
      </c>
      <c r="F554" s="35">
        <f t="shared" si="33"/>
        <v>110.445623029537</v>
      </c>
      <c r="G554" s="36" t="str">
        <f t="shared" si="34"/>
        <v>2024-03</v>
      </c>
    </row>
    <row r="555" spans="1:7" x14ac:dyDescent="0.25">
      <c r="A555" s="37">
        <v>45369</v>
      </c>
      <c r="B555" s="38">
        <v>49938.851928710901</v>
      </c>
      <c r="C555" s="39">
        <f t="shared" si="35"/>
        <v>5.9431555999127639E-3</v>
      </c>
      <c r="D555" s="38">
        <f>MAX($B$2:B555)</f>
        <v>50164.694213867202</v>
      </c>
      <c r="E555" s="40">
        <f t="shared" si="32"/>
        <v>-4.5020165814918522E-3</v>
      </c>
      <c r="F555" s="41">
        <f t="shared" si="33"/>
        <v>111.10201855253085</v>
      </c>
      <c r="G555" s="42" t="str">
        <f t="shared" si="34"/>
        <v>2024-03</v>
      </c>
    </row>
    <row r="556" spans="1:7" x14ac:dyDescent="0.25">
      <c r="A556" s="31">
        <v>45370</v>
      </c>
      <c r="B556" s="32">
        <v>50216.369628906301</v>
      </c>
      <c r="C556" s="33">
        <f t="shared" si="35"/>
        <v>5.5571501842206494E-3</v>
      </c>
      <c r="D556" s="32">
        <f>MAX($B$2:B556)</f>
        <v>50216.369628906301</v>
      </c>
      <c r="E556" s="34">
        <f t="shared" si="32"/>
        <v>0</v>
      </c>
      <c r="F556" s="35">
        <f t="shared" si="33"/>
        <v>111.71942915539732</v>
      </c>
      <c r="G556" s="36" t="str">
        <f t="shared" si="34"/>
        <v>2024-03</v>
      </c>
    </row>
    <row r="557" spans="1:7" x14ac:dyDescent="0.25">
      <c r="A557" s="37">
        <v>45371</v>
      </c>
      <c r="B557" s="38">
        <v>50680.8349609375</v>
      </c>
      <c r="C557" s="39">
        <f t="shared" si="35"/>
        <v>9.2492813690745468E-3</v>
      </c>
      <c r="D557" s="38">
        <f>MAX($B$2:B557)</f>
        <v>50680.8349609375</v>
      </c>
      <c r="E557" s="40">
        <f t="shared" si="32"/>
        <v>0</v>
      </c>
      <c r="F557" s="41">
        <f t="shared" si="33"/>
        <v>112.75275359004797</v>
      </c>
      <c r="G557" s="42" t="str">
        <f t="shared" si="34"/>
        <v>2024-03</v>
      </c>
    </row>
    <row r="558" spans="1:7" x14ac:dyDescent="0.25">
      <c r="A558" s="31">
        <v>45372</v>
      </c>
      <c r="B558" s="32">
        <v>50848.324584960901</v>
      </c>
      <c r="C558" s="33">
        <f t="shared" si="35"/>
        <v>3.3047921201869723E-3</v>
      </c>
      <c r="D558" s="32">
        <f>MAX($B$2:B558)</f>
        <v>50848.324584960901</v>
      </c>
      <c r="E558" s="34">
        <f t="shared" si="32"/>
        <v>0</v>
      </c>
      <c r="F558" s="35">
        <f t="shared" si="33"/>
        <v>113.12537800164175</v>
      </c>
      <c r="G558" s="36" t="str">
        <f t="shared" si="34"/>
        <v>2024-03</v>
      </c>
    </row>
    <row r="559" spans="1:7" x14ac:dyDescent="0.25">
      <c r="A559" s="37">
        <v>45373</v>
      </c>
      <c r="B559" s="38">
        <v>50751.922607421897</v>
      </c>
      <c r="C559" s="39">
        <f t="shared" si="35"/>
        <v>-1.8958732333044237E-3</v>
      </c>
      <c r="D559" s="38">
        <f>MAX($B$2:B559)</f>
        <v>50848.324584960901</v>
      </c>
      <c r="E559" s="40">
        <f t="shared" si="32"/>
        <v>-1.8958732333044237E-3</v>
      </c>
      <c r="F559" s="41">
        <f t="shared" si="33"/>
        <v>112.91090662548098</v>
      </c>
      <c r="G559" s="42" t="str">
        <f t="shared" si="34"/>
        <v>2024-03</v>
      </c>
    </row>
    <row r="560" spans="1:7" x14ac:dyDescent="0.25">
      <c r="A560" s="31">
        <v>45376</v>
      </c>
      <c r="B560" s="32">
        <v>50611.703491210901</v>
      </c>
      <c r="C560" s="33">
        <f t="shared" si="35"/>
        <v>-2.7628335835792051E-3</v>
      </c>
      <c r="D560" s="32">
        <f>MAX($B$2:B560)</f>
        <v>50848.324584960901</v>
      </c>
      <c r="E560" s="34">
        <f t="shared" si="32"/>
        <v>-4.6534688346444586E-3</v>
      </c>
      <c r="F560" s="35">
        <f t="shared" si="33"/>
        <v>112.59895258070374</v>
      </c>
      <c r="G560" s="36" t="str">
        <f t="shared" si="34"/>
        <v>2024-03</v>
      </c>
    </row>
    <row r="561" spans="1:7" x14ac:dyDescent="0.25">
      <c r="A561" s="37">
        <v>45377</v>
      </c>
      <c r="B561" s="38">
        <v>50518.228149414099</v>
      </c>
      <c r="C561" s="39">
        <f t="shared" si="35"/>
        <v>-1.8469115905777045E-3</v>
      </c>
      <c r="D561" s="38">
        <f>MAX($B$2:B561)</f>
        <v>50848.324584960901</v>
      </c>
      <c r="E561" s="40">
        <f t="shared" si="32"/>
        <v>-6.4917858796951222E-3</v>
      </c>
      <c r="F561" s="41">
        <f t="shared" si="33"/>
        <v>112.39099227009552</v>
      </c>
      <c r="G561" s="42" t="str">
        <f t="shared" si="34"/>
        <v>2024-03</v>
      </c>
    </row>
    <row r="562" spans="1:7" x14ac:dyDescent="0.25">
      <c r="A562" s="31">
        <v>45378</v>
      </c>
      <c r="B562" s="32">
        <v>50942.767333984397</v>
      </c>
      <c r="C562" s="33">
        <f t="shared" si="35"/>
        <v>8.403683187673705E-3</v>
      </c>
      <c r="D562" s="32">
        <f>MAX($B$2:B562)</f>
        <v>50942.767333984397</v>
      </c>
      <c r="E562" s="34">
        <f t="shared" si="32"/>
        <v>0</v>
      </c>
      <c r="F562" s="35">
        <f t="shared" si="33"/>
        <v>113.33549056228169</v>
      </c>
      <c r="G562" s="36" t="str">
        <f t="shared" si="34"/>
        <v>2024-03</v>
      </c>
    </row>
    <row r="563" spans="1:7" x14ac:dyDescent="0.25">
      <c r="A563" s="37">
        <v>45379</v>
      </c>
      <c r="B563" s="38">
        <v>50933.035278320298</v>
      </c>
      <c r="C563" s="39">
        <f t="shared" si="35"/>
        <v>-1.9103900658345996E-4</v>
      </c>
      <c r="D563" s="38">
        <f>MAX($B$2:B563)</f>
        <v>50942.767333984397</v>
      </c>
      <c r="E563" s="40">
        <f t="shared" si="32"/>
        <v>-1.9103900658345996E-4</v>
      </c>
      <c r="F563" s="41">
        <f t="shared" si="33"/>
        <v>113.31383906275403</v>
      </c>
      <c r="G563" s="42" t="str">
        <f t="shared" si="34"/>
        <v>2024-03</v>
      </c>
    </row>
    <row r="564" spans="1:7" x14ac:dyDescent="0.25">
      <c r="A564" s="31">
        <v>45383</v>
      </c>
      <c r="B564" s="32">
        <v>50844.424438476599</v>
      </c>
      <c r="C564" s="33">
        <f t="shared" si="35"/>
        <v>-1.7397518007613577E-3</v>
      </c>
      <c r="D564" s="32">
        <f>MAX($B$2:B564)</f>
        <v>50942.767333984397</v>
      </c>
      <c r="E564" s="34">
        <f t="shared" si="32"/>
        <v>-1.9304584468891051E-3</v>
      </c>
      <c r="F564" s="35">
        <f t="shared" si="33"/>
        <v>113.11670110719341</v>
      </c>
      <c r="G564" s="36" t="str">
        <f t="shared" si="34"/>
        <v>2024-04</v>
      </c>
    </row>
    <row r="565" spans="1:7" x14ac:dyDescent="0.25">
      <c r="A565" s="37">
        <v>45384</v>
      </c>
      <c r="B565" s="38">
        <v>50521.151733398401</v>
      </c>
      <c r="C565" s="39">
        <f t="shared" si="35"/>
        <v>-6.3580758096567491E-3</v>
      </c>
      <c r="D565" s="38">
        <f>MAX($B$2:B565)</f>
        <v>50942.767333984397</v>
      </c>
      <c r="E565" s="40">
        <f t="shared" si="32"/>
        <v>-8.2762602553931863E-3</v>
      </c>
      <c r="F565" s="41">
        <f t="shared" si="33"/>
        <v>112.39749654621561</v>
      </c>
      <c r="G565" s="42" t="str">
        <f t="shared" si="34"/>
        <v>2024-04</v>
      </c>
    </row>
    <row r="566" spans="1:7" x14ac:dyDescent="0.25">
      <c r="A566" s="31">
        <v>45385</v>
      </c>
      <c r="B566" s="32">
        <v>50576.647949218801</v>
      </c>
      <c r="C566" s="33">
        <f t="shared" si="35"/>
        <v>1.0984748747069339E-3</v>
      </c>
      <c r="D566" s="32">
        <f>MAX($B$2:B566)</f>
        <v>50942.767333984397</v>
      </c>
      <c r="E566" s="34">
        <f t="shared" si="32"/>
        <v>-7.1868766446332444E-3</v>
      </c>
      <c r="F566" s="35">
        <f t="shared" si="33"/>
        <v>112.52096237215159</v>
      </c>
      <c r="G566" s="36" t="str">
        <f t="shared" si="34"/>
        <v>2024-04</v>
      </c>
    </row>
    <row r="567" spans="1:7" x14ac:dyDescent="0.25">
      <c r="A567" s="37">
        <v>45386</v>
      </c>
      <c r="B567" s="38">
        <v>49959.3017578125</v>
      </c>
      <c r="C567" s="39">
        <f t="shared" si="35"/>
        <v>-1.2206150791688408E-2</v>
      </c>
      <c r="D567" s="38">
        <f>MAX($B$2:B567)</f>
        <v>50942.767333984397</v>
      </c>
      <c r="E567" s="40">
        <f t="shared" si="32"/>
        <v>-1.9305303336275892E-2</v>
      </c>
      <c r="F567" s="41">
        <f t="shared" si="33"/>
        <v>111.14751453821121</v>
      </c>
      <c r="G567" s="42" t="str">
        <f t="shared" si="34"/>
        <v>2024-04</v>
      </c>
    </row>
    <row r="568" spans="1:7" x14ac:dyDescent="0.25">
      <c r="A568" s="31">
        <v>45387</v>
      </c>
      <c r="B568" s="32">
        <v>50481.2255859375</v>
      </c>
      <c r="C568" s="33">
        <f t="shared" si="35"/>
        <v>1.044698003697353E-2</v>
      </c>
      <c r="D568" s="32">
        <f>MAX($B$2:B568)</f>
        <v>50942.767333984397</v>
      </c>
      <c r="E568" s="34">
        <f t="shared" si="32"/>
        <v>-9.0600054178642253E-3</v>
      </c>
      <c r="F568" s="35">
        <f t="shared" si="33"/>
        <v>112.30867040375112</v>
      </c>
      <c r="G568" s="36" t="str">
        <f t="shared" si="34"/>
        <v>2024-04</v>
      </c>
    </row>
    <row r="569" spans="1:7" x14ac:dyDescent="0.25">
      <c r="A569" s="37">
        <v>45390</v>
      </c>
      <c r="B569" s="38">
        <v>50509.457397460901</v>
      </c>
      <c r="C569" s="39">
        <f t="shared" si="35"/>
        <v>5.5925368680553866E-4</v>
      </c>
      <c r="D569" s="38">
        <f>MAX($B$2:B569)</f>
        <v>50942.767333984397</v>
      </c>
      <c r="E569" s="40">
        <f t="shared" si="32"/>
        <v>-8.5058185724911084E-3</v>
      </c>
      <c r="F569" s="41">
        <f t="shared" si="33"/>
        <v>112.37147944173465</v>
      </c>
      <c r="G569" s="42" t="str">
        <f t="shared" si="34"/>
        <v>2024-04</v>
      </c>
    </row>
    <row r="570" spans="1:7" x14ac:dyDescent="0.25">
      <c r="A570" s="31">
        <v>45391</v>
      </c>
      <c r="B570" s="32">
        <v>50567.880249023401</v>
      </c>
      <c r="C570" s="33">
        <f t="shared" si="35"/>
        <v>1.1566715338628963E-3</v>
      </c>
      <c r="D570" s="32">
        <f>MAX($B$2:B570)</f>
        <v>50942.767333984397</v>
      </c>
      <c r="E570" s="34">
        <f t="shared" si="32"/>
        <v>-7.3589854768432161E-3</v>
      </c>
      <c r="F570" s="35">
        <f t="shared" si="33"/>
        <v>112.50145633322295</v>
      </c>
      <c r="G570" s="36" t="str">
        <f t="shared" si="34"/>
        <v>2024-04</v>
      </c>
    </row>
    <row r="571" spans="1:7" x14ac:dyDescent="0.25">
      <c r="A571" s="37">
        <v>45392</v>
      </c>
      <c r="B571" s="38">
        <v>50061.544799804702</v>
      </c>
      <c r="C571" s="39">
        <f t="shared" si="35"/>
        <v>-1.0012985450946976E-2</v>
      </c>
      <c r="D571" s="38">
        <f>MAX($B$2:B571)</f>
        <v>50942.767333984397</v>
      </c>
      <c r="E571" s="40">
        <f t="shared" si="32"/>
        <v>-1.7298285513276834E-2</v>
      </c>
      <c r="F571" s="41">
        <f t="shared" si="33"/>
        <v>111.37498088774804</v>
      </c>
      <c r="G571" s="42" t="str">
        <f t="shared" si="34"/>
        <v>2024-04</v>
      </c>
    </row>
    <row r="572" spans="1:7" x14ac:dyDescent="0.25">
      <c r="A572" s="31">
        <v>45393</v>
      </c>
      <c r="B572" s="32">
        <v>50439.346313476599</v>
      </c>
      <c r="C572" s="33">
        <f t="shared" si="35"/>
        <v>7.5467410201326413E-3</v>
      </c>
      <c r="D572" s="32">
        <f>MAX($B$2:B572)</f>
        <v>50942.767333984397</v>
      </c>
      <c r="E572" s="34">
        <f t="shared" si="32"/>
        <v>-9.8820901740052092E-3</v>
      </c>
      <c r="F572" s="35">
        <f t="shared" si="33"/>
        <v>112.21549902463011</v>
      </c>
      <c r="G572" s="36" t="str">
        <f t="shared" si="34"/>
        <v>2024-04</v>
      </c>
    </row>
    <row r="573" spans="1:7" x14ac:dyDescent="0.25">
      <c r="A573" s="37">
        <v>45394</v>
      </c>
      <c r="B573" s="38">
        <v>49743.133544921897</v>
      </c>
      <c r="C573" s="39">
        <f t="shared" si="35"/>
        <v>-1.3802969694091449E-2</v>
      </c>
      <c r="D573" s="38">
        <f>MAX($B$2:B573)</f>
        <v>50942.767333984397</v>
      </c>
      <c r="E573" s="40">
        <f t="shared" si="32"/>
        <v>-2.3548657676910612E-2</v>
      </c>
      <c r="F573" s="41">
        <f t="shared" si="33"/>
        <v>110.6665918923858</v>
      </c>
      <c r="G573" s="42" t="str">
        <f t="shared" si="34"/>
        <v>2024-04</v>
      </c>
    </row>
    <row r="574" spans="1:7" x14ac:dyDescent="0.25">
      <c r="A574" s="31">
        <v>45397</v>
      </c>
      <c r="B574" s="32">
        <v>49119.949340820298</v>
      </c>
      <c r="C574" s="33">
        <f t="shared" si="35"/>
        <v>-1.2528044771019764E-2</v>
      </c>
      <c r="D574" s="32">
        <f>MAX($B$2:B574)</f>
        <v>50942.767333984397</v>
      </c>
      <c r="E574" s="34">
        <f t="shared" si="32"/>
        <v>-3.5781683810256593E-2</v>
      </c>
      <c r="F574" s="35">
        <f t="shared" si="33"/>
        <v>109.28015587450179</v>
      </c>
      <c r="G574" s="36" t="str">
        <f t="shared" si="34"/>
        <v>2024-04</v>
      </c>
    </row>
    <row r="575" spans="1:7" x14ac:dyDescent="0.25">
      <c r="A575" s="37">
        <v>45398</v>
      </c>
      <c r="B575" s="38">
        <v>49030.361938476599</v>
      </c>
      <c r="C575" s="39">
        <f t="shared" si="35"/>
        <v>-1.8238496485836198E-3</v>
      </c>
      <c r="D575" s="38">
        <f>MAX($B$2:B575)</f>
        <v>50942.767333984397</v>
      </c>
      <c r="E575" s="40">
        <f t="shared" si="32"/>
        <v>-3.7540273047397155E-2</v>
      </c>
      <c r="F575" s="41">
        <f t="shared" si="33"/>
        <v>109.08084530061292</v>
      </c>
      <c r="G575" s="42" t="str">
        <f t="shared" si="34"/>
        <v>2024-04</v>
      </c>
    </row>
    <row r="576" spans="1:7" x14ac:dyDescent="0.25">
      <c r="A576" s="31">
        <v>45399</v>
      </c>
      <c r="B576" s="32">
        <v>48740.182495117202</v>
      </c>
      <c r="C576" s="33">
        <f t="shared" si="35"/>
        <v>-5.9183622532404945E-3</v>
      </c>
      <c r="D576" s="32">
        <f>MAX($B$2:B576)</f>
        <v>50942.767333984397</v>
      </c>
      <c r="E576" s="34">
        <f t="shared" si="32"/>
        <v>-4.3236458365657482E-2</v>
      </c>
      <c r="F576" s="35">
        <f t="shared" si="33"/>
        <v>108.43526534323422</v>
      </c>
      <c r="G576" s="36" t="str">
        <f t="shared" si="34"/>
        <v>2024-04</v>
      </c>
    </row>
    <row r="577" spans="1:7" x14ac:dyDescent="0.25">
      <c r="A577" s="37">
        <v>45400</v>
      </c>
      <c r="B577" s="38">
        <v>48639.892578125</v>
      </c>
      <c r="C577" s="39">
        <f t="shared" si="35"/>
        <v>-2.0576434444464775E-3</v>
      </c>
      <c r="D577" s="38">
        <f>MAX($B$2:B577)</f>
        <v>50942.767333984397</v>
      </c>
      <c r="E577" s="40">
        <f t="shared" si="32"/>
        <v>-4.5205136594986817E-2</v>
      </c>
      <c r="F577" s="41">
        <f t="shared" si="33"/>
        <v>108.2121442303539</v>
      </c>
      <c r="G577" s="42" t="str">
        <f t="shared" si="34"/>
        <v>2024-04</v>
      </c>
    </row>
    <row r="578" spans="1:7" x14ac:dyDescent="0.25">
      <c r="A578" s="31">
        <v>45401</v>
      </c>
      <c r="B578" s="32">
        <v>48215.350341796897</v>
      </c>
      <c r="C578" s="33">
        <f t="shared" si="35"/>
        <v>-8.7282724904502729E-3</v>
      </c>
      <c r="D578" s="32">
        <f>MAX($B$2:B578)</f>
        <v>50942.767333984397</v>
      </c>
      <c r="E578" s="34">
        <f t="shared" ref="E578:E641" si="36">B578/D578-1</f>
        <v>-5.3538846335267953E-2</v>
      </c>
      <c r="F578" s="35">
        <f t="shared" ref="F578:F641" si="37">B578/$B$2*100</f>
        <v>107.26763914873547</v>
      </c>
      <c r="G578" s="36" t="str">
        <f t="shared" ref="G578:G641" si="38">TEXT(A578,"YYYY-MM")</f>
        <v>2024-04</v>
      </c>
    </row>
    <row r="579" spans="1:7" x14ac:dyDescent="0.25">
      <c r="A579" s="37">
        <v>45404</v>
      </c>
      <c r="B579" s="38">
        <v>48659.368896484397</v>
      </c>
      <c r="C579" s="39">
        <f t="shared" ref="C579:C642" si="39">B579/B578-1</f>
        <v>9.2090703798659579E-3</v>
      </c>
      <c r="D579" s="38">
        <f>MAX($B$2:B579)</f>
        <v>50942.767333984397</v>
      </c>
      <c r="E579" s="40">
        <f t="shared" si="36"/>
        <v>-4.4822818959360355E-2</v>
      </c>
      <c r="F579" s="41">
        <f t="shared" si="37"/>
        <v>108.25547438713825</v>
      </c>
      <c r="G579" s="42" t="str">
        <f t="shared" si="38"/>
        <v>2024-04</v>
      </c>
    </row>
    <row r="580" spans="1:7" x14ac:dyDescent="0.25">
      <c r="A580" s="31">
        <v>45405</v>
      </c>
      <c r="B580" s="32">
        <v>49236.795043945298</v>
      </c>
      <c r="C580" s="33">
        <f t="shared" si="39"/>
        <v>1.1866700299572042E-2</v>
      </c>
      <c r="D580" s="32">
        <f>MAX($B$2:B580)</f>
        <v>50942.767333984397</v>
      </c>
      <c r="E580" s="34">
        <f t="shared" si="36"/>
        <v>-3.3488017618960919E-2</v>
      </c>
      <c r="F580" s="35">
        <f t="shared" si="37"/>
        <v>109.54010965747842</v>
      </c>
      <c r="G580" s="36" t="str">
        <f t="shared" si="38"/>
        <v>2024-04</v>
      </c>
    </row>
    <row r="581" spans="1:7" x14ac:dyDescent="0.25">
      <c r="A581" s="37">
        <v>45406</v>
      </c>
      <c r="B581" s="38">
        <v>49213.421630859397</v>
      </c>
      <c r="C581" s="39">
        <f t="shared" si="39"/>
        <v>-4.7471434858914474E-4</v>
      </c>
      <c r="D581" s="38">
        <f>MAX($B$2:B581)</f>
        <v>50942.767333984397</v>
      </c>
      <c r="E581" s="40">
        <f t="shared" si="36"/>
        <v>-3.3946834725080532E-2</v>
      </c>
      <c r="F581" s="41">
        <f t="shared" si="37"/>
        <v>109.48810939567799</v>
      </c>
      <c r="G581" s="42" t="str">
        <f t="shared" si="38"/>
        <v>2024-04</v>
      </c>
    </row>
    <row r="582" spans="1:7" x14ac:dyDescent="0.25">
      <c r="A582" s="31">
        <v>45407</v>
      </c>
      <c r="B582" s="32">
        <v>49026.46484375</v>
      </c>
      <c r="C582" s="33">
        <f t="shared" si="39"/>
        <v>-3.7988983678420851E-3</v>
      </c>
      <c r="D582" s="32">
        <f>MAX($B$2:B582)</f>
        <v>50942.767333984397</v>
      </c>
      <c r="E582" s="34">
        <f t="shared" si="36"/>
        <v>-3.7616772517892083E-2</v>
      </c>
      <c r="F582" s="35">
        <f t="shared" si="37"/>
        <v>109.07217519559663</v>
      </c>
      <c r="G582" s="36" t="str">
        <f t="shared" si="38"/>
        <v>2024-04</v>
      </c>
    </row>
    <row r="583" spans="1:7" x14ac:dyDescent="0.25">
      <c r="A583" s="37">
        <v>45408</v>
      </c>
      <c r="B583" s="38">
        <v>49490.9423828125</v>
      </c>
      <c r="C583" s="39">
        <f t="shared" si="39"/>
        <v>9.4740165447950719E-3</v>
      </c>
      <c r="D583" s="38">
        <f>MAX($B$2:B583)</f>
        <v>50942.767333984397</v>
      </c>
      <c r="E583" s="40">
        <f t="shared" si="36"/>
        <v>-2.8499137898293392E-2</v>
      </c>
      <c r="F583" s="41">
        <f t="shared" si="37"/>
        <v>110.10552678797649</v>
      </c>
      <c r="G583" s="42" t="str">
        <f t="shared" si="38"/>
        <v>2024-04</v>
      </c>
    </row>
    <row r="584" spans="1:7" x14ac:dyDescent="0.25">
      <c r="A584" s="31">
        <v>45411</v>
      </c>
      <c r="B584" s="32">
        <v>49666.207885742202</v>
      </c>
      <c r="C584" s="33">
        <f t="shared" si="39"/>
        <v>3.5413652375826388E-3</v>
      </c>
      <c r="D584" s="32">
        <f>MAX($B$2:B584)</f>
        <v>50942.767333984397</v>
      </c>
      <c r="E584" s="34">
        <f t="shared" si="36"/>
        <v>-2.5058698516964739E-2</v>
      </c>
      <c r="F584" s="35">
        <f t="shared" si="37"/>
        <v>110.49545067300916</v>
      </c>
      <c r="G584" s="36" t="str">
        <f t="shared" si="38"/>
        <v>2024-04</v>
      </c>
    </row>
    <row r="585" spans="1:7" x14ac:dyDescent="0.25">
      <c r="A585" s="37">
        <v>45412</v>
      </c>
      <c r="B585" s="38">
        <v>48879.434204101599</v>
      </c>
      <c r="C585" s="39">
        <f t="shared" si="39"/>
        <v>-1.5841227166982219E-2</v>
      </c>
      <c r="D585" s="38">
        <f>MAX($B$2:B585)</f>
        <v>50942.767333984397</v>
      </c>
      <c r="E585" s="40">
        <f t="shared" si="36"/>
        <v>-4.0502965148230707E-2</v>
      </c>
      <c r="F585" s="41">
        <f t="shared" si="37"/>
        <v>108.74506713797996</v>
      </c>
      <c r="G585" s="42" t="str">
        <f t="shared" si="38"/>
        <v>2024-04</v>
      </c>
    </row>
    <row r="586" spans="1:7" x14ac:dyDescent="0.25">
      <c r="A586" s="31">
        <v>45413</v>
      </c>
      <c r="B586" s="32">
        <v>48720.718383789099</v>
      </c>
      <c r="C586" s="33">
        <f t="shared" si="39"/>
        <v>-3.2470879194256286E-3</v>
      </c>
      <c r="D586" s="32">
        <f>MAX($B$2:B586)</f>
        <v>50942.767333984397</v>
      </c>
      <c r="E586" s="34">
        <f t="shared" si="36"/>
        <v>-4.3618536378822625E-2</v>
      </c>
      <c r="F586" s="35">
        <f t="shared" si="37"/>
        <v>108.39196234417909</v>
      </c>
      <c r="G586" s="36" t="str">
        <f t="shared" si="38"/>
        <v>2024-05</v>
      </c>
    </row>
    <row r="587" spans="1:7" x14ac:dyDescent="0.25">
      <c r="A587" s="37">
        <v>45414</v>
      </c>
      <c r="B587" s="38">
        <v>49176.422119140603</v>
      </c>
      <c r="C587" s="39">
        <f t="shared" si="39"/>
        <v>9.3533870285280596E-3</v>
      </c>
      <c r="D587" s="38">
        <f>MAX($B$2:B587)</f>
        <v>50942.767333984397</v>
      </c>
      <c r="E587" s="40">
        <f t="shared" si="36"/>
        <v>-3.4673130402663621E-2</v>
      </c>
      <c r="F587" s="41">
        <f t="shared" si="37"/>
        <v>109.40579431876584</v>
      </c>
      <c r="G587" s="42" t="str">
        <f t="shared" si="38"/>
        <v>2024-05</v>
      </c>
    </row>
    <row r="588" spans="1:7" x14ac:dyDescent="0.25">
      <c r="A588" s="31">
        <v>45415</v>
      </c>
      <c r="B588" s="32">
        <v>49785.980224609397</v>
      </c>
      <c r="C588" s="33">
        <f t="shared" si="39"/>
        <v>1.2395332543551074E-2</v>
      </c>
      <c r="D588" s="32">
        <f>MAX($B$2:B588)</f>
        <v>50942.767333984397</v>
      </c>
      <c r="E588" s="34">
        <f t="shared" si="36"/>
        <v>-2.2707582840779339E-2</v>
      </c>
      <c r="F588" s="35">
        <f t="shared" si="37"/>
        <v>110.76191552153831</v>
      </c>
      <c r="G588" s="36" t="str">
        <f t="shared" si="38"/>
        <v>2024-05</v>
      </c>
    </row>
    <row r="589" spans="1:7" x14ac:dyDescent="0.25">
      <c r="A589" s="37">
        <v>45418</v>
      </c>
      <c r="B589" s="38">
        <v>50300.109863281301</v>
      </c>
      <c r="C589" s="39">
        <f t="shared" si="39"/>
        <v>1.0326795542689116E-2</v>
      </c>
      <c r="D589" s="38">
        <f>MAX($B$2:B589)</f>
        <v>50942.767333984397</v>
      </c>
      <c r="E589" s="40">
        <f t="shared" si="36"/>
        <v>-1.2615283863355642E-2</v>
      </c>
      <c r="F589" s="41">
        <f t="shared" si="37"/>
        <v>111.90573117704584</v>
      </c>
      <c r="G589" s="42" t="str">
        <f t="shared" si="38"/>
        <v>2024-05</v>
      </c>
    </row>
    <row r="590" spans="1:7" x14ac:dyDescent="0.25">
      <c r="A590" s="31">
        <v>45419</v>
      </c>
      <c r="B590" s="32">
        <v>50355.606079101599</v>
      </c>
      <c r="C590" s="33">
        <f t="shared" si="39"/>
        <v>1.1033020796802351E-3</v>
      </c>
      <c r="D590" s="32">
        <f>MAX($B$2:B590)</f>
        <v>50942.767333984397</v>
      </c>
      <c r="E590" s="34">
        <f t="shared" si="36"/>
        <v>-1.1525900252597698E-2</v>
      </c>
      <c r="F590" s="35">
        <f t="shared" si="37"/>
        <v>112.02919700298159</v>
      </c>
      <c r="G590" s="36" t="str">
        <f t="shared" si="38"/>
        <v>2024-05</v>
      </c>
    </row>
    <row r="591" spans="1:7" x14ac:dyDescent="0.25">
      <c r="A591" s="37">
        <v>45420</v>
      </c>
      <c r="B591" s="38">
        <v>50360.482788085901</v>
      </c>
      <c r="C591" s="39">
        <f t="shared" si="39"/>
        <v>9.6845403402490149E-5</v>
      </c>
      <c r="D591" s="38">
        <f>MAX($B$2:B591)</f>
        <v>50942.767333984397</v>
      </c>
      <c r="E591" s="40">
        <f t="shared" si="36"/>
        <v>-1.1430171079654827E-2</v>
      </c>
      <c r="F591" s="41">
        <f t="shared" si="37"/>
        <v>112.04004651575821</v>
      </c>
      <c r="G591" s="42" t="str">
        <f t="shared" si="38"/>
        <v>2024-05</v>
      </c>
    </row>
    <row r="592" spans="1:7" x14ac:dyDescent="0.25">
      <c r="A592" s="31">
        <v>45421</v>
      </c>
      <c r="B592" s="32">
        <v>50650.646972656301</v>
      </c>
      <c r="C592" s="33">
        <f t="shared" si="39"/>
        <v>5.761743504155703E-3</v>
      </c>
      <c r="D592" s="32">
        <f>MAX($B$2:B592)</f>
        <v>50942.767333984397</v>
      </c>
      <c r="E592" s="34">
        <f t="shared" si="36"/>
        <v>-5.7342852894687324E-3</v>
      </c>
      <c r="F592" s="35">
        <f t="shared" si="37"/>
        <v>112.68559252597568</v>
      </c>
      <c r="G592" s="36" t="str">
        <f t="shared" si="38"/>
        <v>2024-05</v>
      </c>
    </row>
    <row r="593" spans="1:7" x14ac:dyDescent="0.25">
      <c r="A593" s="37">
        <v>45422</v>
      </c>
      <c r="B593" s="38">
        <v>50715.884399414099</v>
      </c>
      <c r="C593" s="39">
        <f t="shared" si="39"/>
        <v>1.2879880249707654E-3</v>
      </c>
      <c r="D593" s="38">
        <f>MAX($B$2:B593)</f>
        <v>50942.767333984397</v>
      </c>
      <c r="E593" s="40">
        <f t="shared" si="36"/>
        <v>-4.4536829552827006E-3</v>
      </c>
      <c r="F593" s="41">
        <f t="shared" si="37"/>
        <v>112.83073021973587</v>
      </c>
      <c r="G593" s="42" t="str">
        <f t="shared" si="38"/>
        <v>2024-05</v>
      </c>
    </row>
    <row r="594" spans="1:7" x14ac:dyDescent="0.25">
      <c r="A594" s="31">
        <v>45425</v>
      </c>
      <c r="B594" s="32">
        <v>50722.702026367202</v>
      </c>
      <c r="C594" s="33">
        <f t="shared" si="39"/>
        <v>1.3442784314698919E-4</v>
      </c>
      <c r="D594" s="32">
        <f>MAX($B$2:B594)</f>
        <v>50942.767333984397</v>
      </c>
      <c r="E594" s="34">
        <f t="shared" si="36"/>
        <v>-4.319853811129426E-3</v>
      </c>
      <c r="F594" s="35">
        <f t="shared" si="37"/>
        <v>112.84589781143998</v>
      </c>
      <c r="G594" s="36" t="str">
        <f t="shared" si="38"/>
        <v>2024-05</v>
      </c>
    </row>
    <row r="595" spans="1:7" x14ac:dyDescent="0.25">
      <c r="A595" s="37">
        <v>45426</v>
      </c>
      <c r="B595" s="38">
        <v>50955.435180664099</v>
      </c>
      <c r="C595" s="39">
        <f t="shared" si="39"/>
        <v>4.5883429904012285E-3</v>
      </c>
      <c r="D595" s="38">
        <f>MAX($B$2:B595)</f>
        <v>50955.435180664099</v>
      </c>
      <c r="E595" s="40">
        <f t="shared" si="36"/>
        <v>0</v>
      </c>
      <c r="F595" s="41">
        <f t="shared" si="37"/>
        <v>113.36367349565866</v>
      </c>
      <c r="G595" s="42" t="str">
        <f t="shared" si="38"/>
        <v>2024-05</v>
      </c>
    </row>
    <row r="596" spans="1:7" x14ac:dyDescent="0.25">
      <c r="A596" s="31">
        <v>45427</v>
      </c>
      <c r="B596" s="32">
        <v>51586.413574218786</v>
      </c>
      <c r="C596" s="33">
        <f t="shared" si="39"/>
        <v>1.2382945829380709E-2</v>
      </c>
      <c r="D596" s="32">
        <f>MAX($B$2:B596)</f>
        <v>51586.413574218786</v>
      </c>
      <c r="E596" s="34">
        <f t="shared" si="36"/>
        <v>0</v>
      </c>
      <c r="F596" s="35">
        <f t="shared" si="37"/>
        <v>114.767449723575</v>
      </c>
      <c r="G596" s="36" t="str">
        <f t="shared" si="38"/>
        <v>2024-05</v>
      </c>
    </row>
    <row r="597" spans="1:7" x14ac:dyDescent="0.25">
      <c r="A597" s="37">
        <v>45428</v>
      </c>
      <c r="B597" s="38">
        <v>51480.267333984397</v>
      </c>
      <c r="C597" s="39">
        <f t="shared" si="39"/>
        <v>-2.057639461244487E-3</v>
      </c>
      <c r="D597" s="38">
        <f>MAX($B$2:B597)</f>
        <v>51586.413574218786</v>
      </c>
      <c r="E597" s="40">
        <f t="shared" si="36"/>
        <v>-2.057639461244487E-3</v>
      </c>
      <c r="F597" s="41">
        <f t="shared" si="37"/>
        <v>114.53129969015738</v>
      </c>
      <c r="G597" s="42" t="str">
        <f t="shared" si="38"/>
        <v>2024-05</v>
      </c>
    </row>
    <row r="598" spans="1:7" x14ac:dyDescent="0.25">
      <c r="A598" s="31">
        <v>45429</v>
      </c>
      <c r="B598" s="32">
        <v>51554.278564453103</v>
      </c>
      <c r="C598" s="33">
        <f t="shared" si="39"/>
        <v>1.4376621237910392E-3</v>
      </c>
      <c r="D598" s="32">
        <f>MAX($B$2:B598)</f>
        <v>51586.413574218786</v>
      </c>
      <c r="E598" s="34">
        <f t="shared" si="36"/>
        <v>-6.2293552777126227E-4</v>
      </c>
      <c r="F598" s="35">
        <f t="shared" si="37"/>
        <v>114.6959570017105</v>
      </c>
      <c r="G598" s="36" t="str">
        <f t="shared" si="38"/>
        <v>2024-05</v>
      </c>
    </row>
    <row r="599" spans="1:7" x14ac:dyDescent="0.25">
      <c r="A599" s="37">
        <v>45432</v>
      </c>
      <c r="B599" s="38">
        <v>51613.677978515603</v>
      </c>
      <c r="C599" s="39">
        <f t="shared" si="39"/>
        <v>1.1521723456615618E-3</v>
      </c>
      <c r="D599" s="38">
        <f>MAX($B$2:B599)</f>
        <v>51613.677978515603</v>
      </c>
      <c r="E599" s="40">
        <f t="shared" si="36"/>
        <v>0</v>
      </c>
      <c r="F599" s="41">
        <f t="shared" si="37"/>
        <v>114.82810651152707</v>
      </c>
      <c r="G599" s="42" t="str">
        <f t="shared" si="38"/>
        <v>2024-05</v>
      </c>
    </row>
    <row r="600" spans="1:7" x14ac:dyDescent="0.25">
      <c r="A600" s="31">
        <v>45433</v>
      </c>
      <c r="B600" s="32">
        <v>51740.264892578103</v>
      </c>
      <c r="C600" s="33">
        <f t="shared" si="39"/>
        <v>2.4525846446206145E-3</v>
      </c>
      <c r="D600" s="32">
        <f>MAX($B$2:B600)</f>
        <v>51740.264892578103</v>
      </c>
      <c r="E600" s="34">
        <f t="shared" si="36"/>
        <v>0</v>
      </c>
      <c r="F600" s="35">
        <f t="shared" si="37"/>
        <v>115.1097321623281</v>
      </c>
      <c r="G600" s="36" t="str">
        <f t="shared" si="38"/>
        <v>2024-05</v>
      </c>
    </row>
    <row r="601" spans="1:7" x14ac:dyDescent="0.25">
      <c r="A601" s="37">
        <v>45434</v>
      </c>
      <c r="B601" s="38">
        <v>51591.278076171897</v>
      </c>
      <c r="C601" s="39">
        <f t="shared" si="39"/>
        <v>-2.8795139861678143E-3</v>
      </c>
      <c r="D601" s="38">
        <f>MAX($B$2:B601)</f>
        <v>51740.264892578103</v>
      </c>
      <c r="E601" s="40">
        <f t="shared" si="36"/>
        <v>-2.8795139861678143E-3</v>
      </c>
      <c r="F601" s="41">
        <f t="shared" si="37"/>
        <v>114.77827207862263</v>
      </c>
      <c r="G601" s="42" t="str">
        <f t="shared" si="38"/>
        <v>2024-05</v>
      </c>
    </row>
    <row r="602" spans="1:7" x14ac:dyDescent="0.25">
      <c r="A602" s="31">
        <v>45435</v>
      </c>
      <c r="B602" s="32">
        <v>51214.453125</v>
      </c>
      <c r="C602" s="33">
        <f t="shared" si="39"/>
        <v>-7.3040437303284467E-3</v>
      </c>
      <c r="D602" s="32">
        <f>MAX($B$2:B602)</f>
        <v>51740.264892578103</v>
      </c>
      <c r="E602" s="34">
        <f t="shared" si="36"/>
        <v>-1.0162525620419194E-2</v>
      </c>
      <c r="F602" s="35">
        <f t="shared" si="37"/>
        <v>113.93992656006884</v>
      </c>
      <c r="G602" s="36" t="str">
        <f t="shared" si="38"/>
        <v>2024-05</v>
      </c>
    </row>
    <row r="603" spans="1:7" x14ac:dyDescent="0.25">
      <c r="A603" s="37">
        <v>45436</v>
      </c>
      <c r="B603" s="38">
        <v>51553.302001953103</v>
      </c>
      <c r="C603" s="39">
        <f t="shared" si="39"/>
        <v>6.6162744357742831E-3</v>
      </c>
      <c r="D603" s="38">
        <f>MAX($B$2:B603)</f>
        <v>51740.264892578103</v>
      </c>
      <c r="E603" s="40">
        <f t="shared" si="36"/>
        <v>-3.6134892431101129E-3</v>
      </c>
      <c r="F603" s="41">
        <f t="shared" si="37"/>
        <v>114.69378438338222</v>
      </c>
      <c r="G603" s="42" t="str">
        <f t="shared" si="38"/>
        <v>2024-05</v>
      </c>
    </row>
    <row r="604" spans="1:7" x14ac:dyDescent="0.25">
      <c r="A604" s="31">
        <v>45440</v>
      </c>
      <c r="B604" s="32">
        <v>51589.3310546875</v>
      </c>
      <c r="C604" s="33">
        <f t="shared" si="39"/>
        <v>6.9886993335610548E-4</v>
      </c>
      <c r="D604" s="32">
        <f>MAX($B$2:B604)</f>
        <v>51740.264892578103</v>
      </c>
      <c r="E604" s="34">
        <f t="shared" si="36"/>
        <v>-2.9171446687404901E-3</v>
      </c>
      <c r="F604" s="35">
        <f t="shared" si="37"/>
        <v>114.7739404208306</v>
      </c>
      <c r="G604" s="36" t="str">
        <f t="shared" si="38"/>
        <v>2024-05</v>
      </c>
    </row>
    <row r="605" spans="1:7" x14ac:dyDescent="0.25">
      <c r="A605" s="37">
        <v>45441</v>
      </c>
      <c r="B605" s="38">
        <v>51228.076171875</v>
      </c>
      <c r="C605" s="39">
        <f t="shared" si="39"/>
        <v>-7.0025114772189756E-3</v>
      </c>
      <c r="D605" s="38">
        <f>MAX($B$2:B605)</f>
        <v>51740.264892578103</v>
      </c>
      <c r="E605" s="40">
        <f t="shared" si="36"/>
        <v>-9.8992288069359446E-3</v>
      </c>
      <c r="F605" s="41">
        <f t="shared" si="37"/>
        <v>113.97023458574809</v>
      </c>
      <c r="G605" s="42" t="str">
        <f t="shared" si="38"/>
        <v>2024-05</v>
      </c>
    </row>
    <row r="606" spans="1:7" x14ac:dyDescent="0.25">
      <c r="A606" s="31">
        <v>45442</v>
      </c>
      <c r="B606" s="32">
        <v>50888.238525390603</v>
      </c>
      <c r="C606" s="33">
        <f t="shared" si="39"/>
        <v>-6.6338162952715996E-3</v>
      </c>
      <c r="D606" s="32">
        <f>MAX($B$2:B606)</f>
        <v>51740.264892578103</v>
      </c>
      <c r="E606" s="34">
        <f t="shared" si="36"/>
        <v>-1.6467375436837406E-2</v>
      </c>
      <c r="F606" s="35">
        <f t="shared" si="37"/>
        <v>113.21417698637724</v>
      </c>
      <c r="G606" s="36" t="str">
        <f t="shared" si="38"/>
        <v>2024-05</v>
      </c>
    </row>
    <row r="607" spans="1:7" x14ac:dyDescent="0.25">
      <c r="A607" s="37">
        <v>45443</v>
      </c>
      <c r="B607" s="38">
        <v>51351.745605468786</v>
      </c>
      <c r="C607" s="39">
        <f t="shared" si="39"/>
        <v>9.1083341359303738E-3</v>
      </c>
      <c r="D607" s="38">
        <f>MAX($B$2:B607)</f>
        <v>51740.264892578103</v>
      </c>
      <c r="E607" s="40">
        <f t="shared" si="36"/>
        <v>-7.5090316587275163E-3</v>
      </c>
      <c r="F607" s="41">
        <f t="shared" si="37"/>
        <v>114.24536953929352</v>
      </c>
      <c r="G607" s="42" t="str">
        <f t="shared" si="38"/>
        <v>2024-05</v>
      </c>
    </row>
    <row r="608" spans="1:7" x14ac:dyDescent="0.25">
      <c r="A608" s="31">
        <v>45446</v>
      </c>
      <c r="B608" s="32">
        <v>51393.609619140603</v>
      </c>
      <c r="C608" s="33">
        <f t="shared" si="39"/>
        <v>8.1524032295710036E-4</v>
      </c>
      <c r="D608" s="32">
        <f>MAX($B$2:B608)</f>
        <v>51740.264892578103</v>
      </c>
      <c r="E608" s="34">
        <f t="shared" si="36"/>
        <v>-6.6999130011649033E-3</v>
      </c>
      <c r="F608" s="35">
        <f t="shared" si="37"/>
        <v>114.3385069712531</v>
      </c>
      <c r="G608" s="36" t="str">
        <f t="shared" si="38"/>
        <v>2024-06</v>
      </c>
    </row>
    <row r="609" spans="1:7" x14ac:dyDescent="0.25">
      <c r="A609" s="37">
        <v>45447</v>
      </c>
      <c r="B609" s="38">
        <v>51451.055908203103</v>
      </c>
      <c r="C609" s="39">
        <f t="shared" si="39"/>
        <v>1.1177710514636008E-3</v>
      </c>
      <c r="D609" s="38">
        <f>MAX($B$2:B609)</f>
        <v>51740.264892578103</v>
      </c>
      <c r="E609" s="40">
        <f t="shared" si="36"/>
        <v>-5.5896309185012871E-3</v>
      </c>
      <c r="F609" s="41">
        <f t="shared" si="37"/>
        <v>114.46631124441313</v>
      </c>
      <c r="G609" s="42" t="str">
        <f t="shared" si="38"/>
        <v>2024-06</v>
      </c>
    </row>
    <row r="610" spans="1:7" x14ac:dyDescent="0.25">
      <c r="A610" s="31">
        <v>45448</v>
      </c>
      <c r="B610" s="32">
        <v>52062.561035156286</v>
      </c>
      <c r="C610" s="33">
        <f t="shared" si="39"/>
        <v>1.1885181288489033E-2</v>
      </c>
      <c r="D610" s="32">
        <f>MAX($B$2:B610)</f>
        <v>52062.561035156286</v>
      </c>
      <c r="E610" s="34">
        <f t="shared" si="36"/>
        <v>0</v>
      </c>
      <c r="F610" s="35">
        <f t="shared" si="37"/>
        <v>115.82676410497761</v>
      </c>
      <c r="G610" s="36" t="str">
        <f t="shared" si="38"/>
        <v>2024-06</v>
      </c>
    </row>
    <row r="611" spans="1:7" x14ac:dyDescent="0.25">
      <c r="A611" s="37">
        <v>45449</v>
      </c>
      <c r="B611" s="38">
        <v>52061.590576171897</v>
      </c>
      <c r="C611" s="39">
        <f t="shared" si="39"/>
        <v>-1.8640246754908496E-5</v>
      </c>
      <c r="D611" s="38">
        <f>MAX($B$2:B611)</f>
        <v>52062.561035156286</v>
      </c>
      <c r="E611" s="40">
        <f t="shared" si="36"/>
        <v>-1.8640246754908496E-5</v>
      </c>
      <c r="F611" s="41">
        <f t="shared" si="37"/>
        <v>115.82460506551386</v>
      </c>
      <c r="G611" s="42" t="str">
        <f t="shared" si="38"/>
        <v>2024-06</v>
      </c>
    </row>
    <row r="612" spans="1:7" x14ac:dyDescent="0.25">
      <c r="A612" s="31">
        <v>45450</v>
      </c>
      <c r="B612" s="32">
        <v>51998.297119140603</v>
      </c>
      <c r="C612" s="33">
        <f t="shared" si="39"/>
        <v>-1.2157418997540415E-3</v>
      </c>
      <c r="D612" s="32">
        <f>MAX($B$2:B612)</f>
        <v>52062.561035156286</v>
      </c>
      <c r="E612" s="34">
        <f t="shared" si="36"/>
        <v>-1.2343594847800121E-3</v>
      </c>
      <c r="F612" s="35">
        <f t="shared" si="37"/>
        <v>115.68379224011325</v>
      </c>
      <c r="G612" s="36" t="str">
        <f t="shared" si="38"/>
        <v>2024-06</v>
      </c>
    </row>
    <row r="613" spans="1:7" x14ac:dyDescent="0.25">
      <c r="A613" s="37">
        <v>45453</v>
      </c>
      <c r="B613" s="38">
        <v>52158.966064453103</v>
      </c>
      <c r="C613" s="39">
        <f t="shared" si="39"/>
        <v>3.0898885966279543E-3</v>
      </c>
      <c r="D613" s="38">
        <f>MAX($B$2:B613)</f>
        <v>52158.966064453103</v>
      </c>
      <c r="E613" s="40">
        <f t="shared" si="36"/>
        <v>0</v>
      </c>
      <c r="F613" s="41">
        <f t="shared" si="37"/>
        <v>116.04124227057065</v>
      </c>
      <c r="G613" s="42" t="str">
        <f t="shared" si="38"/>
        <v>2024-06</v>
      </c>
    </row>
    <row r="614" spans="1:7" x14ac:dyDescent="0.25">
      <c r="A614" s="31">
        <v>45454</v>
      </c>
      <c r="B614" s="32">
        <v>52284.582519531286</v>
      </c>
      <c r="C614" s="33">
        <f t="shared" si="39"/>
        <v>2.408338672261312E-3</v>
      </c>
      <c r="D614" s="32">
        <f>MAX($B$2:B614)</f>
        <v>52284.582519531286</v>
      </c>
      <c r="E614" s="34">
        <f t="shared" si="36"/>
        <v>0</v>
      </c>
      <c r="F614" s="35">
        <f t="shared" si="37"/>
        <v>116.32070888190809</v>
      </c>
      <c r="G614" s="36" t="str">
        <f t="shared" si="38"/>
        <v>2024-06</v>
      </c>
    </row>
    <row r="615" spans="1:7" x14ac:dyDescent="0.25">
      <c r="A615" s="37">
        <v>45455</v>
      </c>
      <c r="B615" s="38">
        <v>52713.977050781286</v>
      </c>
      <c r="C615" s="39">
        <f t="shared" si="39"/>
        <v>8.2126414816374727E-3</v>
      </c>
      <c r="D615" s="38">
        <f>MAX($B$2:B615)</f>
        <v>52713.977050781286</v>
      </c>
      <c r="E615" s="40">
        <f t="shared" si="36"/>
        <v>0</v>
      </c>
      <c r="F615" s="41">
        <f t="shared" si="37"/>
        <v>117.27600916084513</v>
      </c>
      <c r="G615" s="42" t="str">
        <f t="shared" si="38"/>
        <v>2024-06</v>
      </c>
    </row>
    <row r="616" spans="1:7" x14ac:dyDescent="0.25">
      <c r="A616" s="31">
        <v>45456</v>
      </c>
      <c r="B616" s="32">
        <v>52820.129394531286</v>
      </c>
      <c r="C616" s="33">
        <f t="shared" si="39"/>
        <v>2.0137418895131987E-3</v>
      </c>
      <c r="D616" s="32">
        <f>MAX($B$2:B616)</f>
        <v>52820.129394531286</v>
      </c>
      <c r="E616" s="34">
        <f t="shared" si="36"/>
        <v>0</v>
      </c>
      <c r="F616" s="35">
        <f t="shared" si="37"/>
        <v>117.51217277312726</v>
      </c>
      <c r="G616" s="36" t="str">
        <f t="shared" si="38"/>
        <v>2024-06</v>
      </c>
    </row>
    <row r="617" spans="1:7" x14ac:dyDescent="0.25">
      <c r="A617" s="37">
        <v>45457</v>
      </c>
      <c r="B617" s="38">
        <v>52852.276611328103</v>
      </c>
      <c r="C617" s="39">
        <f t="shared" si="39"/>
        <v>6.0861677480383847E-4</v>
      </c>
      <c r="D617" s="38">
        <f>MAX($B$2:B617)</f>
        <v>52852.276611328103</v>
      </c>
      <c r="E617" s="40">
        <f t="shared" si="36"/>
        <v>0</v>
      </c>
      <c r="F617" s="41">
        <f t="shared" si="37"/>
        <v>117.58369265272064</v>
      </c>
      <c r="G617" s="42" t="str">
        <f t="shared" si="38"/>
        <v>2024-06</v>
      </c>
    </row>
    <row r="618" spans="1:7" x14ac:dyDescent="0.25">
      <c r="A618" s="31">
        <v>45460</v>
      </c>
      <c r="B618" s="32">
        <v>53272.918701171897</v>
      </c>
      <c r="C618" s="33">
        <f t="shared" si="39"/>
        <v>7.9588263139005466E-3</v>
      </c>
      <c r="D618" s="32">
        <f>MAX($B$2:B618)</f>
        <v>53272.918701171897</v>
      </c>
      <c r="E618" s="34">
        <f t="shared" si="36"/>
        <v>0</v>
      </c>
      <c r="F618" s="35">
        <f t="shared" si="37"/>
        <v>118.5195208398907</v>
      </c>
      <c r="G618" s="36" t="str">
        <f t="shared" si="38"/>
        <v>2024-06</v>
      </c>
    </row>
    <row r="619" spans="1:7" x14ac:dyDescent="0.25">
      <c r="A619" s="37">
        <v>45461</v>
      </c>
      <c r="B619" s="38">
        <v>53408.258056640603</v>
      </c>
      <c r="C619" s="39">
        <f t="shared" si="39"/>
        <v>2.5404907177675184E-3</v>
      </c>
      <c r="D619" s="38">
        <f>MAX($B$2:B619)</f>
        <v>53408.258056640603</v>
      </c>
      <c r="E619" s="40">
        <f t="shared" si="36"/>
        <v>0</v>
      </c>
      <c r="F619" s="41">
        <f t="shared" si="37"/>
        <v>118.82061858245869</v>
      </c>
      <c r="G619" s="42" t="str">
        <f t="shared" si="38"/>
        <v>2024-06</v>
      </c>
    </row>
    <row r="620" spans="1:7" x14ac:dyDescent="0.25">
      <c r="A620" s="31">
        <v>45463</v>
      </c>
      <c r="B620" s="32">
        <v>53263.177490234397</v>
      </c>
      <c r="C620" s="33">
        <f t="shared" si="39"/>
        <v>-2.7164444541954991E-3</v>
      </c>
      <c r="D620" s="32">
        <f>MAX($B$2:B620)</f>
        <v>53408.258056640603</v>
      </c>
      <c r="E620" s="34">
        <f t="shared" si="36"/>
        <v>-2.7164444541954991E-3</v>
      </c>
      <c r="F620" s="35">
        <f t="shared" si="37"/>
        <v>118.49784897206629</v>
      </c>
      <c r="G620" s="36" t="str">
        <f t="shared" si="38"/>
        <v>2024-06</v>
      </c>
    </row>
    <row r="621" spans="1:7" x14ac:dyDescent="0.25">
      <c r="A621" s="37">
        <v>45464</v>
      </c>
      <c r="B621" s="38">
        <v>53191.760253906286</v>
      </c>
      <c r="C621" s="39">
        <f t="shared" si="39"/>
        <v>-1.3408369476493043E-3</v>
      </c>
      <c r="D621" s="38">
        <f>MAX($B$2:B621)</f>
        <v>53408.258056640603</v>
      </c>
      <c r="E621" s="40">
        <f t="shared" si="36"/>
        <v>-4.0536390927544685E-3</v>
      </c>
      <c r="F621" s="41">
        <f t="shared" si="37"/>
        <v>118.33896267794756</v>
      </c>
      <c r="G621" s="42" t="str">
        <f t="shared" si="38"/>
        <v>2024-06</v>
      </c>
    </row>
    <row r="622" spans="1:7" x14ac:dyDescent="0.25">
      <c r="A622" s="31">
        <v>45467</v>
      </c>
      <c r="B622" s="32">
        <v>53018.865966796897</v>
      </c>
      <c r="C622" s="33">
        <f t="shared" si="39"/>
        <v>-3.2503960441259139E-3</v>
      </c>
      <c r="D622" s="32">
        <f>MAX($B$2:B622)</f>
        <v>53408.258056640603</v>
      </c>
      <c r="E622" s="34">
        <f t="shared" si="36"/>
        <v>-7.2908592044089726E-3</v>
      </c>
      <c r="F622" s="35">
        <f t="shared" si="37"/>
        <v>117.95431418179321</v>
      </c>
      <c r="G622" s="36" t="str">
        <f t="shared" si="38"/>
        <v>2024-06</v>
      </c>
    </row>
    <row r="623" spans="1:7" x14ac:dyDescent="0.25">
      <c r="A623" s="37">
        <v>45468</v>
      </c>
      <c r="B623" s="38">
        <v>53223.034667968786</v>
      </c>
      <c r="C623" s="39">
        <f t="shared" si="39"/>
        <v>3.8508688831584426E-3</v>
      </c>
      <c r="D623" s="38">
        <f>MAX($B$2:B623)</f>
        <v>53408.258056640603</v>
      </c>
      <c r="E623" s="40">
        <f t="shared" si="36"/>
        <v>-3.4680664640921455E-3</v>
      </c>
      <c r="F623" s="41">
        <f t="shared" si="37"/>
        <v>118.40854077991018</v>
      </c>
      <c r="G623" s="42" t="str">
        <f t="shared" si="38"/>
        <v>2024-06</v>
      </c>
    </row>
    <row r="624" spans="1:7" x14ac:dyDescent="0.25">
      <c r="A624" s="31">
        <v>45469</v>
      </c>
      <c r="B624" s="32">
        <v>53289.459228515603</v>
      </c>
      <c r="C624" s="33">
        <f t="shared" si="39"/>
        <v>1.2480415850242288E-3</v>
      </c>
      <c r="D624" s="32">
        <f>MAX($B$2:B624)</f>
        <v>53408.258056640603</v>
      </c>
      <c r="E624" s="34">
        <f t="shared" si="36"/>
        <v>-2.2243531702347275E-3</v>
      </c>
      <c r="F624" s="35">
        <f t="shared" si="37"/>
        <v>118.55631956282555</v>
      </c>
      <c r="G624" s="36" t="str">
        <f t="shared" si="38"/>
        <v>2024-06</v>
      </c>
    </row>
    <row r="625" spans="1:7" x14ac:dyDescent="0.25">
      <c r="A625" s="37">
        <v>45470</v>
      </c>
      <c r="B625" s="38">
        <v>53373.468017578103</v>
      </c>
      <c r="C625" s="39">
        <f t="shared" si="39"/>
        <v>1.5764616544944321E-3</v>
      </c>
      <c r="D625" s="38">
        <f>MAX($B$2:B625)</f>
        <v>53408.258056640603</v>
      </c>
      <c r="E625" s="40">
        <f t="shared" si="36"/>
        <v>-6.5139812321912682E-4</v>
      </c>
      <c r="F625" s="41">
        <f t="shared" si="37"/>
        <v>118.74321905451436</v>
      </c>
      <c r="G625" s="42" t="str">
        <f t="shared" si="38"/>
        <v>2024-06</v>
      </c>
    </row>
    <row r="626" spans="1:7" x14ac:dyDescent="0.25">
      <c r="A626" s="31">
        <v>45471</v>
      </c>
      <c r="B626" s="32">
        <v>53163.433837890603</v>
      </c>
      <c r="C626" s="33">
        <f t="shared" si="39"/>
        <v>-3.9351795468551831E-3</v>
      </c>
      <c r="D626" s="32">
        <f>MAX($B$2:B626)</f>
        <v>53408.258056640603</v>
      </c>
      <c r="E626" s="34">
        <f t="shared" si="36"/>
        <v>-4.5840143015029033E-3</v>
      </c>
      <c r="F626" s="35">
        <f t="shared" si="37"/>
        <v>118.27594316756327</v>
      </c>
      <c r="G626" s="36" t="str">
        <f t="shared" si="38"/>
        <v>2024-06</v>
      </c>
    </row>
    <row r="627" spans="1:7" x14ac:dyDescent="0.25">
      <c r="A627" s="37">
        <v>45474</v>
      </c>
      <c r="B627" s="38">
        <v>53272.857666015603</v>
      </c>
      <c r="C627" s="39">
        <f t="shared" si="39"/>
        <v>2.0582535819386738E-3</v>
      </c>
      <c r="D627" s="38">
        <f>MAX($B$2:B627)</f>
        <v>53408.258056640603</v>
      </c>
      <c r="E627" s="40">
        <f t="shared" si="36"/>
        <v>-2.5351957834199856E-3</v>
      </c>
      <c r="F627" s="41">
        <f t="shared" si="37"/>
        <v>118.51938505124508</v>
      </c>
      <c r="G627" s="42" t="str">
        <f t="shared" si="38"/>
        <v>2024-07</v>
      </c>
    </row>
    <row r="628" spans="1:7" x14ac:dyDescent="0.25">
      <c r="A628" s="31">
        <v>45475</v>
      </c>
      <c r="B628" s="32">
        <v>53631.359863281286</v>
      </c>
      <c r="C628" s="33">
        <f t="shared" si="39"/>
        <v>6.7295469582886458E-3</v>
      </c>
      <c r="D628" s="32">
        <f>MAX($B$2:B628)</f>
        <v>53631.359863281286</v>
      </c>
      <c r="E628" s="34">
        <f t="shared" si="36"/>
        <v>0</v>
      </c>
      <c r="F628" s="35">
        <f t="shared" si="37"/>
        <v>119.31696681841495</v>
      </c>
      <c r="G628" s="36" t="str">
        <f t="shared" si="38"/>
        <v>2024-07</v>
      </c>
    </row>
    <row r="629" spans="1:7" x14ac:dyDescent="0.25">
      <c r="A629" s="37">
        <v>45476</v>
      </c>
      <c r="B629" s="38">
        <v>53870.709228515603</v>
      </c>
      <c r="C629" s="39">
        <f t="shared" si="39"/>
        <v>4.4628621359681375E-3</v>
      </c>
      <c r="D629" s="38">
        <f>MAX($B$2:B629)</f>
        <v>53870.709228515603</v>
      </c>
      <c r="E629" s="40">
        <f t="shared" si="36"/>
        <v>0</v>
      </c>
      <c r="F629" s="41">
        <f t="shared" si="37"/>
        <v>119.84946199180742</v>
      </c>
      <c r="G629" s="42" t="str">
        <f t="shared" si="38"/>
        <v>2024-07</v>
      </c>
    </row>
    <row r="630" spans="1:7" x14ac:dyDescent="0.25">
      <c r="A630" s="31">
        <v>45478</v>
      </c>
      <c r="B630" s="32">
        <v>54181.341552734397</v>
      </c>
      <c r="C630" s="33">
        <f t="shared" si="39"/>
        <v>5.7662564437590547E-3</v>
      </c>
      <c r="D630" s="32">
        <f>MAX($B$2:B630)</f>
        <v>54181.341552734397</v>
      </c>
      <c r="E630" s="34">
        <f t="shared" si="36"/>
        <v>0</v>
      </c>
      <c r="F630" s="35">
        <f t="shared" si="37"/>
        <v>120.54054472429871</v>
      </c>
      <c r="G630" s="36" t="str">
        <f t="shared" si="38"/>
        <v>2024-07</v>
      </c>
    </row>
    <row r="631" spans="1:7" x14ac:dyDescent="0.25">
      <c r="A631" s="37">
        <v>45481</v>
      </c>
      <c r="B631" s="38">
        <v>54243.8720703125</v>
      </c>
      <c r="C631" s="39">
        <f t="shared" si="39"/>
        <v>1.1540968862360224E-3</v>
      </c>
      <c r="D631" s="38">
        <f>MAX($B$2:B631)</f>
        <v>54243.8720703125</v>
      </c>
      <c r="E631" s="40">
        <f t="shared" si="36"/>
        <v>0</v>
      </c>
      <c r="F631" s="41">
        <f t="shared" si="37"/>
        <v>120.67966019163023</v>
      </c>
      <c r="G631" s="42" t="str">
        <f t="shared" si="38"/>
        <v>2024-07</v>
      </c>
    </row>
    <row r="632" spans="1:7" x14ac:dyDescent="0.25">
      <c r="A632" s="31">
        <v>45482</v>
      </c>
      <c r="B632" s="32">
        <v>54296.612548828103</v>
      </c>
      <c r="C632" s="33">
        <f t="shared" si="39"/>
        <v>9.7228454575004619E-4</v>
      </c>
      <c r="D632" s="32">
        <f>MAX($B$2:B632)</f>
        <v>54296.612548828103</v>
      </c>
      <c r="E632" s="34">
        <f t="shared" si="36"/>
        <v>0</v>
      </c>
      <c r="F632" s="35">
        <f t="shared" si="37"/>
        <v>120.79699516022092</v>
      </c>
      <c r="G632" s="36" t="str">
        <f t="shared" si="38"/>
        <v>2024-07</v>
      </c>
    </row>
    <row r="633" spans="1:7" x14ac:dyDescent="0.25">
      <c r="A633" s="37">
        <v>45483</v>
      </c>
      <c r="B633" s="38">
        <v>54833.898925781286</v>
      </c>
      <c r="C633" s="39">
        <f t="shared" si="39"/>
        <v>9.8953940537267471E-3</v>
      </c>
      <c r="D633" s="38">
        <f>MAX($B$2:B633)</f>
        <v>54833.898925781286</v>
      </c>
      <c r="E633" s="40">
        <f t="shared" si="36"/>
        <v>0</v>
      </c>
      <c r="F633" s="41">
        <f t="shared" si="37"/>
        <v>121.99232902783743</v>
      </c>
      <c r="G633" s="42" t="str">
        <f t="shared" si="38"/>
        <v>2024-07</v>
      </c>
    </row>
    <row r="634" spans="1:7" x14ac:dyDescent="0.25">
      <c r="A634" s="31">
        <v>45484</v>
      </c>
      <c r="B634" s="32">
        <v>54361.071777343786</v>
      </c>
      <c r="C634" s="33">
        <f t="shared" si="39"/>
        <v>-8.6228985664047464E-3</v>
      </c>
      <c r="D634" s="32">
        <f>MAX($B$2:B634)</f>
        <v>54833.898925781286</v>
      </c>
      <c r="E634" s="34">
        <f t="shared" si="36"/>
        <v>-8.6228985664047464E-3</v>
      </c>
      <c r="F634" s="35">
        <f t="shared" si="37"/>
        <v>120.94040154875091</v>
      </c>
      <c r="G634" s="36" t="str">
        <f t="shared" si="38"/>
        <v>2024-07</v>
      </c>
    </row>
    <row r="635" spans="1:7" x14ac:dyDescent="0.25">
      <c r="A635" s="37">
        <v>45485</v>
      </c>
      <c r="B635" s="38">
        <v>54703.9794921875</v>
      </c>
      <c r="C635" s="39">
        <f t="shared" si="39"/>
        <v>6.3079645715635735E-3</v>
      </c>
      <c r="D635" s="38">
        <f>MAX($B$2:B635)</f>
        <v>54833.898925781286</v>
      </c>
      <c r="E635" s="40">
        <f t="shared" si="36"/>
        <v>-2.3693269335021139E-3</v>
      </c>
      <c r="F635" s="41">
        <f t="shared" si="37"/>
        <v>121.70328931699113</v>
      </c>
      <c r="G635" s="42" t="str">
        <f t="shared" si="38"/>
        <v>2024-07</v>
      </c>
    </row>
    <row r="636" spans="1:7" x14ac:dyDescent="0.25">
      <c r="A636" s="31">
        <v>45488</v>
      </c>
      <c r="B636" s="32">
        <v>54854.412841796897</v>
      </c>
      <c r="C636" s="33">
        <f t="shared" si="39"/>
        <v>2.7499525812537673E-3</v>
      </c>
      <c r="D636" s="32">
        <f>MAX($B$2:B636)</f>
        <v>54854.412841796897</v>
      </c>
      <c r="E636" s="34">
        <f t="shared" si="36"/>
        <v>0</v>
      </c>
      <c r="F636" s="35">
        <f t="shared" si="37"/>
        <v>122.03796759159546</v>
      </c>
      <c r="G636" s="36" t="str">
        <f t="shared" si="38"/>
        <v>2024-07</v>
      </c>
    </row>
    <row r="637" spans="1:7" x14ac:dyDescent="0.25">
      <c r="A637" s="37">
        <v>45489</v>
      </c>
      <c r="B637" s="38">
        <v>55179.7119140625</v>
      </c>
      <c r="C637" s="39">
        <f t="shared" si="39"/>
        <v>5.9302261279103874E-3</v>
      </c>
      <c r="D637" s="38">
        <f>MAX($B$2:B637)</f>
        <v>55179.7119140625</v>
      </c>
      <c r="E637" s="40">
        <f t="shared" si="36"/>
        <v>0</v>
      </c>
      <c r="F637" s="41">
        <f t="shared" si="37"/>
        <v>122.76168033560421</v>
      </c>
      <c r="G637" s="42" t="str">
        <f t="shared" si="38"/>
        <v>2024-07</v>
      </c>
    </row>
    <row r="638" spans="1:7" x14ac:dyDescent="0.25">
      <c r="A638" s="31">
        <v>45490</v>
      </c>
      <c r="B638" s="32">
        <v>54406.024169921897</v>
      </c>
      <c r="C638" s="33">
        <f t="shared" si="39"/>
        <v>-1.402123565533564E-2</v>
      </c>
      <c r="D638" s="32">
        <f>MAX($B$2:B638)</f>
        <v>55179.7119140625</v>
      </c>
      <c r="E638" s="34">
        <f t="shared" si="36"/>
        <v>-1.402123565533564E-2</v>
      </c>
      <c r="F638" s="35">
        <f t="shared" si="37"/>
        <v>121.04040988617373</v>
      </c>
      <c r="G638" s="36" t="str">
        <f t="shared" si="38"/>
        <v>2024-07</v>
      </c>
    </row>
    <row r="639" spans="1:7" x14ac:dyDescent="0.25">
      <c r="A639" s="37">
        <v>45491</v>
      </c>
      <c r="B639" s="38">
        <v>53987.921142578103</v>
      </c>
      <c r="C639" s="39">
        <f t="shared" si="39"/>
        <v>-7.6848664044621984E-3</v>
      </c>
      <c r="D639" s="38">
        <f>MAX($B$2:B639)</f>
        <v>55179.7119140625</v>
      </c>
      <c r="E639" s="40">
        <f t="shared" si="36"/>
        <v>-2.1598350736961147E-2</v>
      </c>
      <c r="F639" s="41">
        <f t="shared" si="37"/>
        <v>120.11023050665712</v>
      </c>
      <c r="G639" s="42" t="str">
        <f t="shared" si="38"/>
        <v>2024-07</v>
      </c>
    </row>
    <row r="640" spans="1:7" x14ac:dyDescent="0.25">
      <c r="A640" s="31">
        <v>45492</v>
      </c>
      <c r="B640" s="32">
        <v>53629.406738281286</v>
      </c>
      <c r="C640" s="33">
        <f t="shared" si="39"/>
        <v>-6.6406410306113495E-3</v>
      </c>
      <c r="D640" s="32">
        <f>MAX($B$2:B640)</f>
        <v>55179.7119140625</v>
      </c>
      <c r="E640" s="34">
        <f t="shared" si="36"/>
        <v>-2.8095564873475198E-2</v>
      </c>
      <c r="F640" s="35">
        <f t="shared" si="37"/>
        <v>119.31262158175842</v>
      </c>
      <c r="G640" s="36" t="str">
        <f t="shared" si="38"/>
        <v>2024-07</v>
      </c>
    </row>
    <row r="641" spans="1:7" x14ac:dyDescent="0.25">
      <c r="A641" s="37">
        <v>45495</v>
      </c>
      <c r="B641" s="38">
        <v>54182.330322265603</v>
      </c>
      <c r="C641" s="39">
        <f t="shared" si="39"/>
        <v>1.0310082054098668E-2</v>
      </c>
      <c r="D641" s="38">
        <f>MAX($B$2:B641)</f>
        <v>55179.7119140625</v>
      </c>
      <c r="E641" s="40">
        <f t="shared" si="36"/>
        <v>-1.807515039857821E-2</v>
      </c>
      <c r="F641" s="41">
        <f t="shared" si="37"/>
        <v>120.54274450035598</v>
      </c>
      <c r="G641" s="42" t="str">
        <f t="shared" si="38"/>
        <v>2024-07</v>
      </c>
    </row>
    <row r="642" spans="1:7" x14ac:dyDescent="0.25">
      <c r="A642" s="31">
        <v>45496</v>
      </c>
      <c r="B642" s="32">
        <v>54097.3388671875</v>
      </c>
      <c r="C642" s="33">
        <f t="shared" si="39"/>
        <v>-1.5686194110254847E-3</v>
      </c>
      <c r="D642" s="32">
        <f>MAX($B$2:B642)</f>
        <v>55179.7119140625</v>
      </c>
      <c r="E642" s="34">
        <f t="shared" ref="E642:E705" si="40">B642/D642-1</f>
        <v>-1.9615416777831296E-2</v>
      </c>
      <c r="F642" s="35">
        <f t="shared" ref="F642:F705" si="41">B642/$B$2*100</f>
        <v>120.35365881147445</v>
      </c>
      <c r="G642" s="36" t="str">
        <f t="shared" ref="G642:G705" si="42">TEXT(A642,"YYYY-MM")</f>
        <v>2024-07</v>
      </c>
    </row>
    <row r="643" spans="1:7" x14ac:dyDescent="0.25">
      <c r="A643" s="37">
        <v>45497</v>
      </c>
      <c r="B643" s="38">
        <v>52871.356201171897</v>
      </c>
      <c r="C643" s="39">
        <f t="shared" ref="C643:C706" si="43">B643/B642-1</f>
        <v>-2.2662531867334024E-2</v>
      </c>
      <c r="D643" s="38">
        <f>MAX($B$2:B643)</f>
        <v>55179.7119140625</v>
      </c>
      <c r="E643" s="40">
        <f t="shared" si="40"/>
        <v>-4.1833413637346717E-2</v>
      </c>
      <c r="F643" s="41">
        <f t="shared" si="41"/>
        <v>117.62614018330915</v>
      </c>
      <c r="G643" s="42" t="str">
        <f t="shared" si="42"/>
        <v>2024-07</v>
      </c>
    </row>
    <row r="644" spans="1:7" x14ac:dyDescent="0.25">
      <c r="A644" s="31">
        <v>45498</v>
      </c>
      <c r="B644" s="32">
        <v>52595.867919921897</v>
      </c>
      <c r="C644" s="33">
        <f t="shared" si="43"/>
        <v>-5.2105393363049979E-3</v>
      </c>
      <c r="D644" s="32">
        <f>MAX($B$2:B644)</f>
        <v>55179.7119140625</v>
      </c>
      <c r="E644" s="34">
        <f t="shared" si="40"/>
        <v>-4.6825978326322404E-2</v>
      </c>
      <c r="F644" s="35">
        <f t="shared" si="41"/>
        <v>117.01324455290629</v>
      </c>
      <c r="G644" s="36" t="str">
        <f t="shared" si="42"/>
        <v>2024-07</v>
      </c>
    </row>
    <row r="645" spans="1:7" x14ac:dyDescent="0.25">
      <c r="A645" s="37">
        <v>45499</v>
      </c>
      <c r="B645" s="38">
        <v>53184.942626953103</v>
      </c>
      <c r="C645" s="39">
        <f t="shared" si="43"/>
        <v>1.1200018752957508E-2</v>
      </c>
      <c r="D645" s="38">
        <f>MAX($B$2:B645)</f>
        <v>55179.7119140625</v>
      </c>
      <c r="E645" s="40">
        <f t="shared" si="40"/>
        <v>-3.6150411408745198E-2</v>
      </c>
      <c r="F645" s="41">
        <f t="shared" si="41"/>
        <v>118.32379508624327</v>
      </c>
      <c r="G645" s="42" t="str">
        <f t="shared" si="42"/>
        <v>2024-07</v>
      </c>
    </row>
    <row r="646" spans="1:7" x14ac:dyDescent="0.25">
      <c r="A646" s="31">
        <v>45502</v>
      </c>
      <c r="B646" s="32">
        <v>53216.198730468786</v>
      </c>
      <c r="C646" s="33">
        <f t="shared" si="43"/>
        <v>5.8768707780543217E-4</v>
      </c>
      <c r="D646" s="32">
        <f>MAX($B$2:B646)</f>
        <v>55179.7119140625</v>
      </c>
      <c r="E646" s="34">
        <f t="shared" si="40"/>
        <v>-3.5583969460582066E-2</v>
      </c>
      <c r="F646" s="35">
        <f t="shared" si="41"/>
        <v>118.39333245161234</v>
      </c>
      <c r="G646" s="36" t="str">
        <f t="shared" si="42"/>
        <v>2024-07</v>
      </c>
    </row>
    <row r="647" spans="1:7" x14ac:dyDescent="0.25">
      <c r="A647" s="37">
        <v>45503</v>
      </c>
      <c r="B647" s="38">
        <v>52946.563720703103</v>
      </c>
      <c r="C647" s="39">
        <f t="shared" si="43"/>
        <v>-5.0667844791271177E-3</v>
      </c>
      <c r="D647" s="38">
        <f>MAX($B$2:B647)</f>
        <v>55179.7119140625</v>
      </c>
      <c r="E647" s="40">
        <f t="shared" si="40"/>
        <v>-4.0470457635540469E-2</v>
      </c>
      <c r="F647" s="41">
        <f t="shared" si="41"/>
        <v>117.79345895231437</v>
      </c>
      <c r="G647" s="42" t="str">
        <f t="shared" si="42"/>
        <v>2024-07</v>
      </c>
    </row>
    <row r="648" spans="1:7" x14ac:dyDescent="0.25">
      <c r="A648" s="31">
        <v>45504</v>
      </c>
      <c r="B648" s="32">
        <v>53807.196044921897</v>
      </c>
      <c r="C648" s="33">
        <f t="shared" si="43"/>
        <v>1.6254734278105198E-2</v>
      </c>
      <c r="D648" s="32">
        <f>MAX($B$2:B648)</f>
        <v>55179.7119140625</v>
      </c>
      <c r="E648" s="34">
        <f t="shared" si="40"/>
        <v>-2.4873559892414354E-2</v>
      </c>
      <c r="F648" s="35">
        <f t="shared" si="41"/>
        <v>119.70816032728312</v>
      </c>
      <c r="G648" s="36" t="str">
        <f t="shared" si="42"/>
        <v>2024-07</v>
      </c>
    </row>
    <row r="649" spans="1:7" x14ac:dyDescent="0.25">
      <c r="A649" s="37">
        <v>45505</v>
      </c>
      <c r="B649" s="38">
        <v>53045.2392578125</v>
      </c>
      <c r="C649" s="39">
        <f t="shared" si="43"/>
        <v>-1.4160871465468405E-2</v>
      </c>
      <c r="D649" s="38">
        <f>MAX($B$2:B649)</f>
        <v>55179.7119140625</v>
      </c>
      <c r="E649" s="40">
        <f t="shared" si="40"/>
        <v>-3.8682200073357653E-2</v>
      </c>
      <c r="F649" s="41">
        <f t="shared" si="41"/>
        <v>118.0129884555208</v>
      </c>
      <c r="G649" s="42" t="str">
        <f t="shared" si="42"/>
        <v>2024-08</v>
      </c>
    </row>
    <row r="650" spans="1:7" x14ac:dyDescent="0.25">
      <c r="A650" s="31">
        <v>45506</v>
      </c>
      <c r="B650" s="32">
        <v>52057.6171875</v>
      </c>
      <c r="C650" s="33">
        <f t="shared" si="43"/>
        <v>-1.8618486486834729E-2</v>
      </c>
      <c r="D650" s="32">
        <f>MAX($B$2:B650)</f>
        <v>55179.7119140625</v>
      </c>
      <c r="E650" s="34">
        <f t="shared" si="40"/>
        <v>-5.6580482540845578E-2</v>
      </c>
      <c r="F650" s="35">
        <f t="shared" si="41"/>
        <v>115.81576522469071</v>
      </c>
      <c r="G650" s="36" t="str">
        <f t="shared" si="42"/>
        <v>2024-08</v>
      </c>
    </row>
    <row r="651" spans="1:7" x14ac:dyDescent="0.25">
      <c r="A651" s="37">
        <v>45509</v>
      </c>
      <c r="B651" s="38">
        <v>50541.510009765603</v>
      </c>
      <c r="C651" s="39">
        <f t="shared" si="43"/>
        <v>-2.9123637608569619E-2</v>
      </c>
      <c r="D651" s="38">
        <f>MAX($B$2:B651)</f>
        <v>55179.7119140625</v>
      </c>
      <c r="E651" s="40">
        <f t="shared" si="40"/>
        <v>-8.4056290680177614E-2</v>
      </c>
      <c r="F651" s="41">
        <f t="shared" si="41"/>
        <v>112.44278884892762</v>
      </c>
      <c r="G651" s="42" t="str">
        <f t="shared" si="42"/>
        <v>2024-08</v>
      </c>
    </row>
    <row r="652" spans="1:7" x14ac:dyDescent="0.25">
      <c r="A652" s="31">
        <v>45510</v>
      </c>
      <c r="B652" s="32">
        <v>51007.489013671897</v>
      </c>
      <c r="C652" s="33">
        <f t="shared" si="43"/>
        <v>9.219728571945307E-3</v>
      </c>
      <c r="D652" s="32">
        <f>MAX($B$2:B652)</f>
        <v>55179.7119140625</v>
      </c>
      <c r="E652" s="34">
        <f t="shared" si="40"/>
        <v>-7.5611538293068103E-2</v>
      </c>
      <c r="F652" s="35">
        <f t="shared" si="41"/>
        <v>113.4794808419873</v>
      </c>
      <c r="G652" s="36" t="str">
        <f t="shared" si="42"/>
        <v>2024-08</v>
      </c>
    </row>
    <row r="653" spans="1:7" x14ac:dyDescent="0.25">
      <c r="A653" s="37">
        <v>45511</v>
      </c>
      <c r="B653" s="38">
        <v>50666.546630859397</v>
      </c>
      <c r="C653" s="39">
        <f t="shared" si="43"/>
        <v>-6.6841632357380609E-3</v>
      </c>
      <c r="D653" s="38">
        <f>MAX($B$2:B653)</f>
        <v>55179.7119140625</v>
      </c>
      <c r="E653" s="40">
        <f t="shared" si="40"/>
        <v>-8.1790301664350085E-2</v>
      </c>
      <c r="F653" s="41">
        <f t="shared" si="41"/>
        <v>112.72096546813263</v>
      </c>
      <c r="G653" s="42" t="str">
        <f t="shared" si="42"/>
        <v>2024-08</v>
      </c>
    </row>
    <row r="654" spans="1:7" x14ac:dyDescent="0.25">
      <c r="A654" s="31">
        <v>45512</v>
      </c>
      <c r="B654" s="32">
        <v>51837.8173828125</v>
      </c>
      <c r="C654" s="33">
        <f t="shared" si="43"/>
        <v>2.3117240661508109E-2</v>
      </c>
      <c r="D654" s="32">
        <f>MAX($B$2:B654)</f>
        <v>55179.7119140625</v>
      </c>
      <c r="E654" s="34">
        <f t="shared" si="40"/>
        <v>-6.0563827090194033E-2</v>
      </c>
      <c r="F654" s="35">
        <f t="shared" si="41"/>
        <v>115.326763154457</v>
      </c>
      <c r="G654" s="36" t="str">
        <f t="shared" si="42"/>
        <v>2024-08</v>
      </c>
    </row>
    <row r="655" spans="1:7" x14ac:dyDescent="0.25">
      <c r="A655" s="37">
        <v>45513</v>
      </c>
      <c r="B655" s="38">
        <v>52066.412353515603</v>
      </c>
      <c r="C655" s="39">
        <f t="shared" si="43"/>
        <v>4.4098108725330043E-3</v>
      </c>
      <c r="D655" s="38">
        <f>MAX($B$2:B655)</f>
        <v>55179.7119140625</v>
      </c>
      <c r="E655" s="40">
        <f t="shared" si="40"/>
        <v>-5.64210912408456E-2</v>
      </c>
      <c r="F655" s="41">
        <f t="shared" si="41"/>
        <v>115.83533236850955</v>
      </c>
      <c r="G655" s="42" t="str">
        <f t="shared" si="42"/>
        <v>2024-08</v>
      </c>
    </row>
    <row r="656" spans="1:7" x14ac:dyDescent="0.25">
      <c r="A656" s="31">
        <v>45516</v>
      </c>
      <c r="B656" s="32">
        <v>52093.768310546897</v>
      </c>
      <c r="C656" s="33">
        <f t="shared" si="43"/>
        <v>5.2540507007781123E-4</v>
      </c>
      <c r="D656" s="32">
        <f>MAX($B$2:B656)</f>
        <v>55179.7119140625</v>
      </c>
      <c r="E656" s="34">
        <f t="shared" si="40"/>
        <v>-5.5925330098165138E-2</v>
      </c>
      <c r="F656" s="35">
        <f t="shared" si="41"/>
        <v>115.89619283943011</v>
      </c>
      <c r="G656" s="36" t="str">
        <f t="shared" si="42"/>
        <v>2024-08</v>
      </c>
    </row>
    <row r="657" spans="1:7" x14ac:dyDescent="0.25">
      <c r="A657" s="37">
        <v>45517</v>
      </c>
      <c r="B657" s="38">
        <v>52950.4638671875</v>
      </c>
      <c r="C657" s="39">
        <f t="shared" si="43"/>
        <v>1.6445259853992145E-2</v>
      </c>
      <c r="D657" s="38">
        <f>MAX($B$2:B657)</f>
        <v>55179.7119140625</v>
      </c>
      <c r="E657" s="40">
        <f t="shared" si="40"/>
        <v>-4.0399776830057688E-2</v>
      </c>
      <c r="F657" s="41">
        <f t="shared" si="41"/>
        <v>117.80213584676294</v>
      </c>
      <c r="G657" s="42" t="str">
        <f t="shared" si="42"/>
        <v>2024-08</v>
      </c>
    </row>
    <row r="658" spans="1:7" x14ac:dyDescent="0.25">
      <c r="A658" s="31">
        <v>45518</v>
      </c>
      <c r="B658" s="32">
        <v>53117.523193359397</v>
      </c>
      <c r="C658" s="33">
        <f t="shared" si="43"/>
        <v>3.1550115706431292E-3</v>
      </c>
      <c r="D658" s="32">
        <f>MAX($B$2:B658)</f>
        <v>55179.7119140625</v>
      </c>
      <c r="E658" s="34">
        <f t="shared" si="40"/>
        <v>-3.737222702276477E-2</v>
      </c>
      <c r="F658" s="35">
        <f t="shared" si="41"/>
        <v>118.17380294840594</v>
      </c>
      <c r="G658" s="36" t="str">
        <f t="shared" si="42"/>
        <v>2024-08</v>
      </c>
    </row>
    <row r="659" spans="1:7" x14ac:dyDescent="0.25">
      <c r="A659" s="37">
        <v>45519</v>
      </c>
      <c r="B659" s="38">
        <v>54027.978515625</v>
      </c>
      <c r="C659" s="39">
        <f t="shared" si="43"/>
        <v>1.7140394874048281E-2</v>
      </c>
      <c r="D659" s="38">
        <f>MAX($B$2:B659)</f>
        <v>55179.7119140625</v>
      </c>
      <c r="E659" s="40">
        <f t="shared" si="40"/>
        <v>-2.0872406877209149E-2</v>
      </c>
      <c r="F659" s="41">
        <f t="shared" si="41"/>
        <v>120.1993485947096</v>
      </c>
      <c r="G659" s="42" t="str">
        <f t="shared" si="42"/>
        <v>2024-08</v>
      </c>
    </row>
    <row r="660" spans="1:7" x14ac:dyDescent="0.25">
      <c r="A660" s="31">
        <v>45520</v>
      </c>
      <c r="B660" s="32">
        <v>54149.108886718786</v>
      </c>
      <c r="C660" s="33">
        <f t="shared" si="43"/>
        <v>2.2419933971573602E-3</v>
      </c>
      <c r="D660" s="32">
        <f>MAX($B$2:B660)</f>
        <v>55179.7119140625</v>
      </c>
      <c r="E660" s="34">
        <f t="shared" si="40"/>
        <v>-1.8677209278453399E-2</v>
      </c>
      <c r="F660" s="35">
        <f t="shared" si="41"/>
        <v>120.46883474060152</v>
      </c>
      <c r="G660" s="36" t="str">
        <f t="shared" si="42"/>
        <v>2024-08</v>
      </c>
    </row>
    <row r="661" spans="1:7" x14ac:dyDescent="0.25">
      <c r="A661" s="37">
        <v>45523</v>
      </c>
      <c r="B661" s="38">
        <v>54666.839599609397</v>
      </c>
      <c r="C661" s="39">
        <f t="shared" si="43"/>
        <v>9.5612046723374533E-3</v>
      </c>
      <c r="D661" s="38">
        <f>MAX($B$2:B661)</f>
        <v>55179.7119140625</v>
      </c>
      <c r="E661" s="40">
        <f t="shared" si="40"/>
        <v>-9.2945812267352101E-3</v>
      </c>
      <c r="F661" s="41">
        <f t="shared" si="41"/>
        <v>121.62066192619443</v>
      </c>
      <c r="G661" s="42" t="str">
        <f t="shared" si="42"/>
        <v>2024-08</v>
      </c>
    </row>
    <row r="662" spans="1:7" x14ac:dyDescent="0.25">
      <c r="A662" s="31">
        <v>45524</v>
      </c>
      <c r="B662" s="32">
        <v>54577.947998046897</v>
      </c>
      <c r="C662" s="33">
        <f t="shared" si="43"/>
        <v>-1.6260607383481451E-3</v>
      </c>
      <c r="D662" s="32">
        <f>MAX($B$2:B662)</f>
        <v>55179.7119140625</v>
      </c>
      <c r="E662" s="34">
        <f t="shared" si="40"/>
        <v>-1.0905528411471188E-2</v>
      </c>
      <c r="F662" s="35">
        <f t="shared" si="41"/>
        <v>121.42289934286434</v>
      </c>
      <c r="G662" s="36" t="str">
        <f t="shared" si="42"/>
        <v>2024-08</v>
      </c>
    </row>
    <row r="663" spans="1:7" x14ac:dyDescent="0.25">
      <c r="A663" s="37">
        <v>45525</v>
      </c>
      <c r="B663" s="38">
        <v>54765.515136718786</v>
      </c>
      <c r="C663" s="39">
        <f t="shared" si="43"/>
        <v>3.436683597532797E-3</v>
      </c>
      <c r="D663" s="38">
        <f>MAX($B$2:B663)</f>
        <v>55179.7119140625</v>
      </c>
      <c r="E663" s="40">
        <f t="shared" si="40"/>
        <v>-7.5063236645523945E-3</v>
      </c>
      <c r="F663" s="41">
        <f t="shared" si="41"/>
        <v>121.84019142940086</v>
      </c>
      <c r="G663" s="42" t="str">
        <f t="shared" si="42"/>
        <v>2024-08</v>
      </c>
    </row>
    <row r="664" spans="1:7" x14ac:dyDescent="0.25">
      <c r="A664" s="31">
        <v>45526</v>
      </c>
      <c r="B664" s="32">
        <v>54335.687255859397</v>
      </c>
      <c r="C664" s="33">
        <f t="shared" si="43"/>
        <v>-7.8485134264938416E-3</v>
      </c>
      <c r="D664" s="32">
        <f>MAX($B$2:B664)</f>
        <v>55179.7119140625</v>
      </c>
      <c r="E664" s="34">
        <f t="shared" si="40"/>
        <v>-1.5295923608981465E-2</v>
      </c>
      <c r="F664" s="35">
        <f t="shared" si="41"/>
        <v>120.88392705108062</v>
      </c>
      <c r="G664" s="36" t="str">
        <f t="shared" si="42"/>
        <v>2024-08</v>
      </c>
    </row>
    <row r="665" spans="1:7" x14ac:dyDescent="0.25">
      <c r="A665" s="37">
        <v>45527</v>
      </c>
      <c r="B665" s="38">
        <v>54913.024902343786</v>
      </c>
      <c r="C665" s="39">
        <f t="shared" si="43"/>
        <v>1.0625385922989894E-2</v>
      </c>
      <c r="D665" s="38">
        <f>MAX($B$2:B665)</f>
        <v>55179.7119140625</v>
      </c>
      <c r="E665" s="40">
        <f t="shared" si="40"/>
        <v>-4.8330627773855994E-3</v>
      </c>
      <c r="F665" s="41">
        <f t="shared" si="41"/>
        <v>122.16836542788489</v>
      </c>
      <c r="G665" s="42" t="str">
        <f t="shared" si="42"/>
        <v>2024-08</v>
      </c>
    </row>
    <row r="666" spans="1:7" x14ac:dyDescent="0.25">
      <c r="A666" s="31">
        <v>45530</v>
      </c>
      <c r="B666" s="32">
        <v>54782.122802734397</v>
      </c>
      <c r="C666" s="33">
        <f t="shared" si="43"/>
        <v>-2.3838078459925693E-3</v>
      </c>
      <c r="D666" s="32">
        <f>MAX($B$2:B666)</f>
        <v>55179.7119140625</v>
      </c>
      <c r="E666" s="34">
        <f t="shared" si="40"/>
        <v>-7.2053495304091886E-3</v>
      </c>
      <c r="F666" s="35">
        <f t="shared" si="41"/>
        <v>121.87713951984583</v>
      </c>
      <c r="G666" s="36" t="str">
        <f t="shared" si="42"/>
        <v>2024-08</v>
      </c>
    </row>
    <row r="667" spans="1:7" x14ac:dyDescent="0.25">
      <c r="A667" s="37">
        <v>45531</v>
      </c>
      <c r="B667" s="38">
        <v>54857.336425781286</v>
      </c>
      <c r="C667" s="39">
        <f t="shared" si="43"/>
        <v>1.3729592647901967E-3</v>
      </c>
      <c r="D667" s="38">
        <f>MAX($B$2:B667)</f>
        <v>55179.7119140625</v>
      </c>
      <c r="E667" s="40">
        <f t="shared" si="40"/>
        <v>-5.84228291701272E-3</v>
      </c>
      <c r="F667" s="41">
        <f t="shared" si="41"/>
        <v>122.04447186771571</v>
      </c>
      <c r="G667" s="42" t="str">
        <f t="shared" si="42"/>
        <v>2024-08</v>
      </c>
    </row>
    <row r="668" spans="1:7" x14ac:dyDescent="0.25">
      <c r="A668" s="31">
        <v>45532</v>
      </c>
      <c r="B668" s="32">
        <v>54538.885498046897</v>
      </c>
      <c r="C668" s="33">
        <f t="shared" si="43"/>
        <v>-5.8050745530678904E-3</v>
      </c>
      <c r="D668" s="32">
        <f>MAX($B$2:B668)</f>
        <v>55179.7119140625</v>
      </c>
      <c r="E668" s="34">
        <f t="shared" si="40"/>
        <v>-1.1613442582187328E-2</v>
      </c>
      <c r="F668" s="35">
        <f t="shared" si="41"/>
        <v>121.33599460973383</v>
      </c>
      <c r="G668" s="36" t="str">
        <f t="shared" si="42"/>
        <v>2024-08</v>
      </c>
    </row>
    <row r="669" spans="1:7" x14ac:dyDescent="0.25">
      <c r="A669" s="37">
        <v>45533</v>
      </c>
      <c r="B669" s="38">
        <v>54543.756103515603</v>
      </c>
      <c r="C669" s="39">
        <f t="shared" si="43"/>
        <v>8.9305188843313843E-5</v>
      </c>
      <c r="D669" s="38">
        <f>MAX($B$2:B669)</f>
        <v>55179.7119140625</v>
      </c>
      <c r="E669" s="40">
        <f t="shared" si="40"/>
        <v>-1.1525174534026905E-2</v>
      </c>
      <c r="F669" s="41">
        <f t="shared" si="41"/>
        <v>121.34683054364595</v>
      </c>
      <c r="G669" s="42" t="str">
        <f t="shared" si="42"/>
        <v>2024-08</v>
      </c>
    </row>
    <row r="670" spans="1:7" x14ac:dyDescent="0.25">
      <c r="A670" s="31">
        <v>45534</v>
      </c>
      <c r="B670" s="32">
        <v>55064.440917968786</v>
      </c>
      <c r="C670" s="33">
        <f t="shared" si="43"/>
        <v>9.5461855150753561E-3</v>
      </c>
      <c r="D670" s="32">
        <f>MAX($B$2:B670)</f>
        <v>55179.7119140625</v>
      </c>
      <c r="E670" s="34">
        <f t="shared" si="40"/>
        <v>-2.0890104731470238E-3</v>
      </c>
      <c r="F670" s="35">
        <f t="shared" si="41"/>
        <v>122.50522989968201</v>
      </c>
      <c r="G670" s="36" t="str">
        <f t="shared" si="42"/>
        <v>2024-08</v>
      </c>
    </row>
    <row r="671" spans="1:7" x14ac:dyDescent="0.25">
      <c r="A671" s="37">
        <v>45538</v>
      </c>
      <c r="B671" s="38">
        <v>53931.268310546897</v>
      </c>
      <c r="C671" s="39">
        <f t="shared" si="43"/>
        <v>-2.0579026837119985E-2</v>
      </c>
      <c r="D671" s="38">
        <f>MAX($B$2:B671)</f>
        <v>55179.7119140625</v>
      </c>
      <c r="E671" s="40">
        <f t="shared" si="40"/>
        <v>-2.2625047507677132E-2</v>
      </c>
      <c r="F671" s="41">
        <f t="shared" si="41"/>
        <v>119.9841914858889</v>
      </c>
      <c r="G671" s="42" t="str">
        <f t="shared" si="42"/>
        <v>2024-09</v>
      </c>
    </row>
    <row r="672" spans="1:7" x14ac:dyDescent="0.25">
      <c r="A672" s="31">
        <v>45539</v>
      </c>
      <c r="B672" s="32">
        <v>53820.8740234375</v>
      </c>
      <c r="C672" s="33">
        <f t="shared" si="43"/>
        <v>-2.0469440190749033E-3</v>
      </c>
      <c r="D672" s="32">
        <f>MAX($B$2:B672)</f>
        <v>55179.7119140625</v>
      </c>
      <c r="E672" s="34">
        <f t="shared" si="40"/>
        <v>-2.4625679321074956E-2</v>
      </c>
      <c r="F672" s="35">
        <f t="shared" si="41"/>
        <v>119.73859056274333</v>
      </c>
      <c r="G672" s="36" t="str">
        <f t="shared" si="42"/>
        <v>2024-09</v>
      </c>
    </row>
    <row r="673" spans="1:7" x14ac:dyDescent="0.25">
      <c r="A673" s="37">
        <v>45540</v>
      </c>
      <c r="B673" s="38">
        <v>53689.971923828103</v>
      </c>
      <c r="C673" s="39">
        <f t="shared" si="43"/>
        <v>-2.4321808589060634E-3</v>
      </c>
      <c r="D673" s="38">
        <f>MAX($B$2:B673)</f>
        <v>55179.7119140625</v>
      </c>
      <c r="E673" s="40">
        <f t="shared" si="40"/>
        <v>-2.6997966074098656E-2</v>
      </c>
      <c r="F673" s="41">
        <f t="shared" si="41"/>
        <v>119.44736465470423</v>
      </c>
      <c r="G673" s="42" t="str">
        <f t="shared" si="42"/>
        <v>2024-09</v>
      </c>
    </row>
    <row r="674" spans="1:7" x14ac:dyDescent="0.25">
      <c r="A674" s="31">
        <v>45541</v>
      </c>
      <c r="B674" s="32">
        <v>52786.364746093786</v>
      </c>
      <c r="C674" s="33">
        <f t="shared" si="43"/>
        <v>-1.6830092200761371E-2</v>
      </c>
      <c r="D674" s="32">
        <f>MAX($B$2:B674)</f>
        <v>55179.7119140625</v>
      </c>
      <c r="E674" s="34">
        <f t="shared" si="40"/>
        <v>-4.3373680016599914E-2</v>
      </c>
      <c r="F674" s="35">
        <f t="shared" si="41"/>
        <v>117.43705449442758</v>
      </c>
      <c r="G674" s="36" t="str">
        <f t="shared" si="42"/>
        <v>2024-09</v>
      </c>
    </row>
    <row r="675" spans="1:7" x14ac:dyDescent="0.25">
      <c r="A675" s="37">
        <v>45544</v>
      </c>
      <c r="B675" s="38">
        <v>53377.3681640625</v>
      </c>
      <c r="C675" s="39">
        <f t="shared" si="43"/>
        <v>1.1196137881657187E-2</v>
      </c>
      <c r="D675" s="38">
        <f>MAX($B$2:B675)</f>
        <v>55179.7119140625</v>
      </c>
      <c r="E675" s="40">
        <f t="shared" si="40"/>
        <v>-3.2663159836843536E-2</v>
      </c>
      <c r="F675" s="41">
        <f t="shared" si="41"/>
        <v>118.7518959489629</v>
      </c>
      <c r="G675" s="42" t="str">
        <f t="shared" si="42"/>
        <v>2024-09</v>
      </c>
    </row>
    <row r="676" spans="1:7" x14ac:dyDescent="0.25">
      <c r="A676" s="31">
        <v>45545</v>
      </c>
      <c r="B676" s="32">
        <v>53609.869384765603</v>
      </c>
      <c r="C676" s="33">
        <f t="shared" si="43"/>
        <v>4.3558015072695522E-3</v>
      </c>
      <c r="D676" s="32">
        <f>MAX($B$2:B676)</f>
        <v>55179.7119140625</v>
      </c>
      <c r="E676" s="34">
        <f t="shared" si="40"/>
        <v>-2.8449632570423433E-2</v>
      </c>
      <c r="F676" s="35">
        <f t="shared" si="41"/>
        <v>119.26915563632849</v>
      </c>
      <c r="G676" s="36" t="str">
        <f t="shared" si="42"/>
        <v>2024-09</v>
      </c>
    </row>
    <row r="677" spans="1:7" x14ac:dyDescent="0.25">
      <c r="A677" s="37">
        <v>45546</v>
      </c>
      <c r="B677" s="38">
        <v>54159.851074218786</v>
      </c>
      <c r="C677" s="39">
        <f t="shared" si="43"/>
        <v>1.0258963429026213E-2</v>
      </c>
      <c r="D677" s="38">
        <f>MAX($B$2:B677)</f>
        <v>55179.7119140625</v>
      </c>
      <c r="E677" s="40">
        <f t="shared" si="40"/>
        <v>-1.8482532881506475E-2</v>
      </c>
      <c r="F677" s="41">
        <f t="shared" si="41"/>
        <v>120.49273354221242</v>
      </c>
      <c r="G677" s="42" t="str">
        <f t="shared" si="42"/>
        <v>2024-09</v>
      </c>
    </row>
    <row r="678" spans="1:7" x14ac:dyDescent="0.25">
      <c r="A678" s="31">
        <v>45547</v>
      </c>
      <c r="B678" s="32">
        <v>54616.052246093786</v>
      </c>
      <c r="C678" s="33">
        <f t="shared" si="43"/>
        <v>8.423235345493163E-3</v>
      </c>
      <c r="D678" s="32">
        <f>MAX($B$2:B678)</f>
        <v>55179.7119140625</v>
      </c>
      <c r="E678" s="34">
        <f t="shared" si="40"/>
        <v>-1.0214980260255135E-2</v>
      </c>
      <c r="F678" s="35">
        <f t="shared" si="41"/>
        <v>121.50767219426027</v>
      </c>
      <c r="G678" s="36" t="str">
        <f t="shared" si="42"/>
        <v>2024-09</v>
      </c>
    </row>
    <row r="679" spans="1:7" x14ac:dyDescent="0.25">
      <c r="A679" s="37">
        <v>45548</v>
      </c>
      <c r="B679" s="38">
        <v>54901.2939453125</v>
      </c>
      <c r="C679" s="39">
        <f t="shared" si="43"/>
        <v>5.2226714946999042E-3</v>
      </c>
      <c r="D679" s="38">
        <f>MAX($B$2:B679)</f>
        <v>55179.7119140625</v>
      </c>
      <c r="E679" s="40">
        <f t="shared" si="40"/>
        <v>-5.0456582517793835E-3</v>
      </c>
      <c r="F679" s="41">
        <f t="shared" si="41"/>
        <v>122.14226685021656</v>
      </c>
      <c r="G679" s="42" t="str">
        <f t="shared" si="42"/>
        <v>2024-09</v>
      </c>
    </row>
    <row r="680" spans="1:7" x14ac:dyDescent="0.25">
      <c r="A680" s="31">
        <v>45551</v>
      </c>
      <c r="B680" s="32">
        <v>54982.373046875</v>
      </c>
      <c r="C680" s="33">
        <f t="shared" si="43"/>
        <v>1.476815858716618E-3</v>
      </c>
      <c r="D680" s="32">
        <f>MAX($B$2:B680)</f>
        <v>55179.7119140625</v>
      </c>
      <c r="E680" s="34">
        <f t="shared" si="40"/>
        <v>-3.5762939011866335E-3</v>
      </c>
      <c r="F680" s="35">
        <f t="shared" si="41"/>
        <v>122.32264848692056</v>
      </c>
      <c r="G680" s="36" t="str">
        <f t="shared" si="42"/>
        <v>2024-09</v>
      </c>
    </row>
    <row r="681" spans="1:7" x14ac:dyDescent="0.25">
      <c r="A681" s="37">
        <v>45552</v>
      </c>
      <c r="B681" s="38">
        <v>55004.846191406286</v>
      </c>
      <c r="C681" s="39">
        <f t="shared" si="43"/>
        <v>4.0873362290350101E-4</v>
      </c>
      <c r="D681" s="38">
        <f>MAX($B$2:B681)</f>
        <v>55179.7119140625</v>
      </c>
      <c r="E681" s="40">
        <f t="shared" si="40"/>
        <v>-3.1690220298459248E-3</v>
      </c>
      <c r="F681" s="41">
        <f t="shared" si="41"/>
        <v>122.37264586619978</v>
      </c>
      <c r="G681" s="42" t="str">
        <f t="shared" si="42"/>
        <v>2024-09</v>
      </c>
    </row>
    <row r="682" spans="1:7" x14ac:dyDescent="0.25">
      <c r="A682" s="31">
        <v>45553</v>
      </c>
      <c r="B682" s="32">
        <v>54841.717529296897</v>
      </c>
      <c r="C682" s="33">
        <f t="shared" si="43"/>
        <v>-2.965714357999194E-3</v>
      </c>
      <c r="D682" s="32">
        <f>MAX($B$2:B682)</f>
        <v>55179.7119140625</v>
      </c>
      <c r="E682" s="34">
        <f t="shared" si="40"/>
        <v>-6.1253379737102875E-3</v>
      </c>
      <c r="F682" s="35">
        <f t="shared" si="41"/>
        <v>122.00972355332804</v>
      </c>
      <c r="G682" s="36" t="str">
        <f t="shared" si="42"/>
        <v>2024-09</v>
      </c>
    </row>
    <row r="683" spans="1:7" x14ac:dyDescent="0.25">
      <c r="A683" s="37">
        <v>45554</v>
      </c>
      <c r="B683" s="38">
        <v>55777.5634765625</v>
      </c>
      <c r="C683" s="39">
        <f t="shared" si="43"/>
        <v>1.7064490125891174E-2</v>
      </c>
      <c r="D683" s="38">
        <f>MAX($B$2:B683)</f>
        <v>55777.5634765625</v>
      </c>
      <c r="E683" s="40">
        <f t="shared" si="40"/>
        <v>0</v>
      </c>
      <c r="F683" s="41">
        <f t="shared" si="41"/>
        <v>124.09175727616653</v>
      </c>
      <c r="G683" s="42" t="str">
        <f t="shared" si="42"/>
        <v>2024-09</v>
      </c>
    </row>
    <row r="684" spans="1:7" x14ac:dyDescent="0.25">
      <c r="A684" s="31">
        <v>45555</v>
      </c>
      <c r="B684" s="32">
        <v>55681.134033203103</v>
      </c>
      <c r="C684" s="33">
        <f t="shared" si="43"/>
        <v>-1.7288213638072536E-3</v>
      </c>
      <c r="D684" s="32">
        <f>MAX($B$2:B684)</f>
        <v>55777.5634765625</v>
      </c>
      <c r="E684" s="34">
        <f t="shared" si="40"/>
        <v>-1.7288213638072536E-3</v>
      </c>
      <c r="F684" s="35">
        <f t="shared" si="41"/>
        <v>123.87722479511511</v>
      </c>
      <c r="G684" s="36" t="str">
        <f t="shared" si="42"/>
        <v>2024-09</v>
      </c>
    </row>
    <row r="685" spans="1:7" x14ac:dyDescent="0.25">
      <c r="A685" s="37">
        <v>45558</v>
      </c>
      <c r="B685" s="38">
        <v>55820.269775390603</v>
      </c>
      <c r="C685" s="39">
        <f t="shared" si="43"/>
        <v>2.4987950515615864E-3</v>
      </c>
      <c r="D685" s="38">
        <f>MAX($B$2:B685)</f>
        <v>55820.269775390603</v>
      </c>
      <c r="E685" s="40">
        <f t="shared" si="40"/>
        <v>0</v>
      </c>
      <c r="F685" s="41">
        <f t="shared" si="41"/>
        <v>124.18676859143432</v>
      </c>
      <c r="G685" s="42" t="str">
        <f t="shared" si="42"/>
        <v>2024-09</v>
      </c>
    </row>
    <row r="686" spans="1:7" x14ac:dyDescent="0.25">
      <c r="A686" s="31">
        <v>45559</v>
      </c>
      <c r="B686" s="32">
        <v>55979.998779296897</v>
      </c>
      <c r="C686" s="33">
        <f t="shared" si="43"/>
        <v>2.8614874945787072E-3</v>
      </c>
      <c r="D686" s="32">
        <f>MAX($B$2:B686)</f>
        <v>55979.998779296897</v>
      </c>
      <c r="E686" s="34">
        <f t="shared" si="40"/>
        <v>0</v>
      </c>
      <c r="F686" s="35">
        <f t="shared" si="41"/>
        <v>124.54212747675086</v>
      </c>
      <c r="G686" s="36" t="str">
        <f t="shared" si="42"/>
        <v>2024-09</v>
      </c>
    </row>
    <row r="687" spans="1:7" x14ac:dyDescent="0.25">
      <c r="A687" s="37">
        <v>45560</v>
      </c>
      <c r="B687" s="38">
        <v>55856.524658203103</v>
      </c>
      <c r="C687" s="39">
        <f t="shared" si="43"/>
        <v>-2.2056828114733751E-3</v>
      </c>
      <c r="D687" s="38">
        <f>MAX($B$2:B687)</f>
        <v>55979.998779296897</v>
      </c>
      <c r="E687" s="40">
        <f t="shared" si="40"/>
        <v>-2.2056828114733751E-3</v>
      </c>
      <c r="F687" s="41">
        <f t="shared" si="41"/>
        <v>124.26742704687106</v>
      </c>
      <c r="G687" s="42" t="str">
        <f t="shared" si="42"/>
        <v>2024-09</v>
      </c>
    </row>
    <row r="688" spans="1:7" x14ac:dyDescent="0.25">
      <c r="A688" s="31">
        <v>45561</v>
      </c>
      <c r="B688" s="32">
        <v>56077.978515625</v>
      </c>
      <c r="C688" s="33">
        <f t="shared" si="43"/>
        <v>3.9646909430368638E-3</v>
      </c>
      <c r="D688" s="32">
        <f>MAX($B$2:B688)</f>
        <v>56077.978515625</v>
      </c>
      <c r="E688" s="34">
        <f t="shared" si="40"/>
        <v>0</v>
      </c>
      <c r="F688" s="35">
        <f t="shared" si="41"/>
        <v>124.76010898939829</v>
      </c>
      <c r="G688" s="36" t="str">
        <f t="shared" si="42"/>
        <v>2024-09</v>
      </c>
    </row>
    <row r="689" spans="1:7" x14ac:dyDescent="0.25">
      <c r="A689" s="37">
        <v>45562</v>
      </c>
      <c r="B689" s="38">
        <v>55996.649169921897</v>
      </c>
      <c r="C689" s="39">
        <f t="shared" si="43"/>
        <v>-1.4502902539620388E-3</v>
      </c>
      <c r="D689" s="38">
        <f>MAX($B$2:B689)</f>
        <v>56077.978515625</v>
      </c>
      <c r="E689" s="40">
        <f t="shared" si="40"/>
        <v>-1.4502902539620388E-3</v>
      </c>
      <c r="F689" s="41">
        <f t="shared" si="41"/>
        <v>124.57917061924772</v>
      </c>
      <c r="G689" s="42" t="str">
        <f t="shared" si="42"/>
        <v>2024-09</v>
      </c>
    </row>
    <row r="690" spans="1:7" x14ac:dyDescent="0.25">
      <c r="A690" s="31">
        <v>45565</v>
      </c>
      <c r="B690" s="32">
        <v>56221.038818359397</v>
      </c>
      <c r="C690" s="33">
        <f t="shared" si="43"/>
        <v>4.0071977835065553E-3</v>
      </c>
      <c r="D690" s="32">
        <f>MAX($B$2:B690)</f>
        <v>56221.038818359397</v>
      </c>
      <c r="E690" s="34">
        <f t="shared" si="40"/>
        <v>0</v>
      </c>
      <c r="F690" s="35">
        <f t="shared" si="41"/>
        <v>125.07838399562425</v>
      </c>
      <c r="G690" s="36" t="str">
        <f t="shared" si="42"/>
        <v>2024-09</v>
      </c>
    </row>
    <row r="691" spans="1:7" x14ac:dyDescent="0.25">
      <c r="A691" s="37">
        <v>45566</v>
      </c>
      <c r="B691" s="38">
        <v>55717.388916015603</v>
      </c>
      <c r="C691" s="39">
        <f t="shared" si="43"/>
        <v>-8.9583884063579866E-3</v>
      </c>
      <c r="D691" s="38">
        <f>MAX($B$2:B691)</f>
        <v>56221.038818359397</v>
      </c>
      <c r="E691" s="40">
        <f t="shared" si="40"/>
        <v>-8.9583884063579866E-3</v>
      </c>
      <c r="F691" s="41">
        <f t="shared" si="41"/>
        <v>123.95788325055186</v>
      </c>
      <c r="G691" s="42" t="str">
        <f t="shared" si="42"/>
        <v>2024-10</v>
      </c>
    </row>
    <row r="692" spans="1:7" x14ac:dyDescent="0.25">
      <c r="A692" s="31">
        <v>45567</v>
      </c>
      <c r="B692" s="32">
        <v>55740.911865234397</v>
      </c>
      <c r="C692" s="33">
        <f t="shared" si="43"/>
        <v>4.2218326587861732E-4</v>
      </c>
      <c r="D692" s="32">
        <f>MAX($B$2:B692)</f>
        <v>56221.038818359397</v>
      </c>
      <c r="E692" s="34">
        <f t="shared" si="40"/>
        <v>-8.5399872221537665E-3</v>
      </c>
      <c r="F692" s="35">
        <f t="shared" si="41"/>
        <v>124.01021619453398</v>
      </c>
      <c r="G692" s="36" t="str">
        <f t="shared" si="42"/>
        <v>2024-10</v>
      </c>
    </row>
    <row r="693" spans="1:7" x14ac:dyDescent="0.25">
      <c r="A693" s="37">
        <v>45568</v>
      </c>
      <c r="B693" s="38">
        <v>55639.007568359397</v>
      </c>
      <c r="C693" s="39">
        <f t="shared" si="43"/>
        <v>-1.8281777865668536E-3</v>
      </c>
      <c r="D693" s="38">
        <f>MAX($B$2:B693)</f>
        <v>56221.038818359397</v>
      </c>
      <c r="E693" s="40">
        <f t="shared" si="40"/>
        <v>-1.0352552393783521E-2</v>
      </c>
      <c r="F693" s="41">
        <f t="shared" si="41"/>
        <v>123.7835034719798</v>
      </c>
      <c r="G693" s="42" t="str">
        <f t="shared" si="42"/>
        <v>2024-10</v>
      </c>
    </row>
    <row r="694" spans="1:7" x14ac:dyDescent="0.25">
      <c r="A694" s="31">
        <v>45569</v>
      </c>
      <c r="B694" s="32">
        <v>56144.616699218786</v>
      </c>
      <c r="C694" s="33">
        <f t="shared" si="43"/>
        <v>9.0873139719140905E-3</v>
      </c>
      <c r="D694" s="32">
        <f>MAX($B$2:B694)</f>
        <v>56221.038818359397</v>
      </c>
      <c r="E694" s="34">
        <f t="shared" si="40"/>
        <v>-1.3593153158822924E-3</v>
      </c>
      <c r="F694" s="35">
        <f t="shared" si="41"/>
        <v>124.90836303257321</v>
      </c>
      <c r="G694" s="36" t="str">
        <f t="shared" si="42"/>
        <v>2024-10</v>
      </c>
    </row>
    <row r="695" spans="1:7" x14ac:dyDescent="0.25">
      <c r="A695" s="37">
        <v>45572</v>
      </c>
      <c r="B695" s="38">
        <v>55637.042236328103</v>
      </c>
      <c r="C695" s="39">
        <f t="shared" si="43"/>
        <v>-9.0404831795342089E-3</v>
      </c>
      <c r="D695" s="38">
        <f>MAX($B$2:B695)</f>
        <v>56221.038818359397</v>
      </c>
      <c r="E695" s="40">
        <f t="shared" si="40"/>
        <v>-1.038750962816759E-2</v>
      </c>
      <c r="F695" s="41">
        <f t="shared" si="41"/>
        <v>123.77913107759406</v>
      </c>
      <c r="G695" s="42" t="str">
        <f t="shared" si="42"/>
        <v>2024-10</v>
      </c>
    </row>
    <row r="696" spans="1:7" x14ac:dyDescent="0.25">
      <c r="A696" s="31">
        <v>45573</v>
      </c>
      <c r="B696" s="32">
        <v>56163.232421875</v>
      </c>
      <c r="C696" s="33">
        <f t="shared" si="43"/>
        <v>9.4575513793815347E-3</v>
      </c>
      <c r="D696" s="32">
        <f>MAX($B$2:B696)</f>
        <v>56221.038818359397</v>
      </c>
      <c r="E696" s="34">
        <f t="shared" si="40"/>
        <v>-1.0281986547981958E-3</v>
      </c>
      <c r="F696" s="35">
        <f t="shared" si="41"/>
        <v>124.94977856945562</v>
      </c>
      <c r="G696" s="36" t="str">
        <f t="shared" si="42"/>
        <v>2024-10</v>
      </c>
    </row>
    <row r="697" spans="1:7" x14ac:dyDescent="0.25">
      <c r="A697" s="37">
        <v>45574</v>
      </c>
      <c r="B697" s="38">
        <v>56552.24609375</v>
      </c>
      <c r="C697" s="39">
        <f t="shared" si="43"/>
        <v>6.9264829515667259E-3</v>
      </c>
      <c r="D697" s="38">
        <f>MAX($B$2:B697)</f>
        <v>56552.24609375</v>
      </c>
      <c r="E697" s="40">
        <f t="shared" si="40"/>
        <v>0</v>
      </c>
      <c r="F697" s="41">
        <f t="shared" si="41"/>
        <v>125.815241080519</v>
      </c>
      <c r="G697" s="42" t="str">
        <f t="shared" si="42"/>
        <v>2024-10</v>
      </c>
    </row>
    <row r="698" spans="1:7" x14ac:dyDescent="0.25">
      <c r="A698" s="31">
        <v>45575</v>
      </c>
      <c r="B698" s="32">
        <v>56453.277587890603</v>
      </c>
      <c r="C698" s="33">
        <f t="shared" si="43"/>
        <v>-1.7500366951885837E-3</v>
      </c>
      <c r="D698" s="32">
        <f>MAX($B$2:B698)</f>
        <v>56552.24609375</v>
      </c>
      <c r="E698" s="34">
        <f t="shared" si="40"/>
        <v>-1.7500366951885837E-3</v>
      </c>
      <c r="F698" s="35">
        <f t="shared" si="41"/>
        <v>125.59505979181409</v>
      </c>
      <c r="G698" s="36" t="str">
        <f t="shared" si="42"/>
        <v>2024-10</v>
      </c>
    </row>
    <row r="699" spans="1:7" x14ac:dyDescent="0.25">
      <c r="A699" s="37">
        <v>45576</v>
      </c>
      <c r="B699" s="38">
        <v>56791.320800781286</v>
      </c>
      <c r="C699" s="39">
        <f t="shared" si="43"/>
        <v>5.9880174780710949E-3</v>
      </c>
      <c r="D699" s="38">
        <f>MAX($B$2:B699)</f>
        <v>56791.320800781286</v>
      </c>
      <c r="E699" s="40">
        <f t="shared" si="40"/>
        <v>0</v>
      </c>
      <c r="F699" s="41">
        <f t="shared" si="41"/>
        <v>126.34712520500683</v>
      </c>
      <c r="G699" s="42" t="str">
        <f t="shared" si="42"/>
        <v>2024-10</v>
      </c>
    </row>
    <row r="700" spans="1:7" x14ac:dyDescent="0.25">
      <c r="A700" s="31">
        <v>45579</v>
      </c>
      <c r="B700" s="32">
        <v>57255.792236328103</v>
      </c>
      <c r="C700" s="33">
        <f t="shared" si="43"/>
        <v>8.1785637135671774E-3</v>
      </c>
      <c r="D700" s="32">
        <f>MAX($B$2:B700)</f>
        <v>57255.792236328103</v>
      </c>
      <c r="E700" s="34">
        <f t="shared" si="40"/>
        <v>0</v>
      </c>
      <c r="F700" s="35">
        <f t="shared" si="41"/>
        <v>127.38046321852204</v>
      </c>
      <c r="G700" s="36" t="str">
        <f t="shared" si="42"/>
        <v>2024-10</v>
      </c>
    </row>
    <row r="701" spans="1:7" x14ac:dyDescent="0.25">
      <c r="A701" s="37">
        <v>45580</v>
      </c>
      <c r="B701" s="38">
        <v>56810.931396484397</v>
      </c>
      <c r="C701" s="39">
        <f t="shared" si="43"/>
        <v>-7.769708923203833E-3</v>
      </c>
      <c r="D701" s="38">
        <f>MAX($B$2:B701)</f>
        <v>57255.792236328103</v>
      </c>
      <c r="E701" s="40">
        <f t="shared" si="40"/>
        <v>-7.769708923203833E-3</v>
      </c>
      <c r="F701" s="41">
        <f t="shared" si="41"/>
        <v>126.39075409681124</v>
      </c>
      <c r="G701" s="42" t="str">
        <f t="shared" si="42"/>
        <v>2024-10</v>
      </c>
    </row>
    <row r="702" spans="1:7" x14ac:dyDescent="0.25">
      <c r="A702" s="31">
        <v>45581</v>
      </c>
      <c r="B702" s="32">
        <v>57057.855224609397</v>
      </c>
      <c r="C702" s="33">
        <f t="shared" si="43"/>
        <v>4.3464140096862725E-3</v>
      </c>
      <c r="D702" s="32">
        <f>MAX($B$2:B702)</f>
        <v>57255.792236328103</v>
      </c>
      <c r="E702" s="34">
        <f t="shared" si="40"/>
        <v>-3.4570652852327077E-3</v>
      </c>
      <c r="F702" s="35">
        <f t="shared" si="41"/>
        <v>126.94010064111241</v>
      </c>
      <c r="G702" s="36" t="str">
        <f t="shared" si="42"/>
        <v>2024-10</v>
      </c>
    </row>
    <row r="703" spans="1:7" x14ac:dyDescent="0.25">
      <c r="A703" s="37">
        <v>45582</v>
      </c>
      <c r="B703" s="38">
        <v>57062.750244140603</v>
      </c>
      <c r="C703" s="39">
        <f t="shared" si="43"/>
        <v>8.5790457982293233E-5</v>
      </c>
      <c r="D703" s="38">
        <f>MAX($B$2:B703)</f>
        <v>57255.792236328103</v>
      </c>
      <c r="E703" s="40">
        <f t="shared" si="40"/>
        <v>-3.3715714104645134E-3</v>
      </c>
      <c r="F703" s="41">
        <f t="shared" si="41"/>
        <v>126.95099089048274</v>
      </c>
      <c r="G703" s="42" t="str">
        <f t="shared" si="42"/>
        <v>2024-10</v>
      </c>
    </row>
    <row r="704" spans="1:7" x14ac:dyDescent="0.25">
      <c r="A704" s="31">
        <v>45583</v>
      </c>
      <c r="B704" s="32">
        <v>57282.2509765625</v>
      </c>
      <c r="C704" s="33">
        <f t="shared" si="43"/>
        <v>3.8466553308904583E-3</v>
      </c>
      <c r="D704" s="32">
        <f>MAX($B$2:B704)</f>
        <v>57282.2509765625</v>
      </c>
      <c r="E704" s="34">
        <f t="shared" si="40"/>
        <v>0</v>
      </c>
      <c r="F704" s="35">
        <f t="shared" si="41"/>
        <v>127.43932759635344</v>
      </c>
      <c r="G704" s="36" t="str">
        <f t="shared" si="42"/>
        <v>2024-10</v>
      </c>
    </row>
    <row r="705" spans="1:7" x14ac:dyDescent="0.25">
      <c r="A705" s="37">
        <v>45586</v>
      </c>
      <c r="B705" s="38">
        <v>57188.171386718786</v>
      </c>
      <c r="C705" s="39">
        <f t="shared" si="43"/>
        <v>-1.6423863978775044E-3</v>
      </c>
      <c r="D705" s="38">
        <f>MAX($B$2:B705)</f>
        <v>57282.2509765625</v>
      </c>
      <c r="E705" s="40">
        <f t="shared" si="40"/>
        <v>-1.6423863978775044E-3</v>
      </c>
      <c r="F705" s="41">
        <f t="shared" si="41"/>
        <v>127.23002297815454</v>
      </c>
      <c r="G705" s="42" t="str">
        <f t="shared" si="42"/>
        <v>2024-10</v>
      </c>
    </row>
    <row r="706" spans="1:7" x14ac:dyDescent="0.25">
      <c r="A706" s="31">
        <v>45587</v>
      </c>
      <c r="B706" s="32">
        <v>57157.800292968786</v>
      </c>
      <c r="C706" s="33">
        <f t="shared" si="43"/>
        <v>-5.3107300012489311E-4</v>
      </c>
      <c r="D706" s="32">
        <f>MAX($B$2:B706)</f>
        <v>57282.2509765625</v>
      </c>
      <c r="E706" s="34">
        <f t="shared" ref="E706:E769" si="44">B706/D706-1</f>
        <v>-2.1725871709307176E-3</v>
      </c>
      <c r="F706" s="35">
        <f t="shared" ref="F706:F769" si="45">B706/$B$2*100</f>
        <v>127.16245454814556</v>
      </c>
      <c r="G706" s="36" t="str">
        <f t="shared" ref="G706:G769" si="46">TEXT(A706,"YYYY-MM")</f>
        <v>2024-10</v>
      </c>
    </row>
    <row r="707" spans="1:7" x14ac:dyDescent="0.25">
      <c r="A707" s="37">
        <v>45588</v>
      </c>
      <c r="B707" s="38">
        <v>56635.5224609375</v>
      </c>
      <c r="C707" s="39">
        <f t="shared" ref="C707:C770" si="47">B707/B706-1</f>
        <v>-9.1374725646244936E-3</v>
      </c>
      <c r="D707" s="38">
        <f>MAX($B$2:B707)</f>
        <v>57282.2509765625</v>
      </c>
      <c r="E707" s="40">
        <f t="shared" si="44"/>
        <v>-1.1290207779886541E-2</v>
      </c>
      <c r="F707" s="41">
        <f t="shared" si="45"/>
        <v>126.00051110846158</v>
      </c>
      <c r="G707" s="42" t="str">
        <f t="shared" si="46"/>
        <v>2024-10</v>
      </c>
    </row>
    <row r="708" spans="1:7" x14ac:dyDescent="0.25">
      <c r="A708" s="31">
        <v>45589</v>
      </c>
      <c r="B708" s="32">
        <v>56758.020019531286</v>
      </c>
      <c r="C708" s="33">
        <f t="shared" si="47"/>
        <v>2.1629103656326532E-3</v>
      </c>
      <c r="D708" s="32">
        <f>MAX($B$2:B708)</f>
        <v>57282.2509765625</v>
      </c>
      <c r="E708" s="34">
        <f t="shared" si="44"/>
        <v>-9.1517171216910498E-3</v>
      </c>
      <c r="F708" s="35">
        <f t="shared" si="45"/>
        <v>126.27303892001309</v>
      </c>
      <c r="G708" s="36" t="str">
        <f t="shared" si="46"/>
        <v>2024-10</v>
      </c>
    </row>
    <row r="709" spans="1:7" x14ac:dyDescent="0.25">
      <c r="A709" s="37">
        <v>45590</v>
      </c>
      <c r="B709" s="38">
        <v>56738.409423828103</v>
      </c>
      <c r="C709" s="39">
        <f t="shared" si="47"/>
        <v>-3.4551232929613818E-4</v>
      </c>
      <c r="D709" s="38">
        <f>MAX($B$2:B709)</f>
        <v>57282.2509765625</v>
      </c>
      <c r="E709" s="40">
        <f t="shared" si="44"/>
        <v>-9.4940674198874531E-3</v>
      </c>
      <c r="F709" s="41">
        <f t="shared" si="45"/>
        <v>126.22941002820853</v>
      </c>
      <c r="G709" s="42" t="str">
        <f t="shared" si="46"/>
        <v>2024-10</v>
      </c>
    </row>
    <row r="710" spans="1:7" x14ac:dyDescent="0.25">
      <c r="A710" s="31">
        <v>45593</v>
      </c>
      <c r="B710" s="32">
        <v>56913.818359375</v>
      </c>
      <c r="C710" s="33">
        <f t="shared" si="47"/>
        <v>3.0915377665350352E-3</v>
      </c>
      <c r="D710" s="32">
        <f>MAX($B$2:B710)</f>
        <v>57282.2509765625</v>
      </c>
      <c r="E710" s="34">
        <f t="shared" si="44"/>
        <v>-6.4318809213389505E-3</v>
      </c>
      <c r="F710" s="35">
        <f t="shared" si="45"/>
        <v>126.6196530165582</v>
      </c>
      <c r="G710" s="36" t="str">
        <f t="shared" si="46"/>
        <v>2024-10</v>
      </c>
    </row>
    <row r="711" spans="1:7" x14ac:dyDescent="0.25">
      <c r="A711" s="37">
        <v>45594</v>
      </c>
      <c r="B711" s="38">
        <v>57005.920410156286</v>
      </c>
      <c r="C711" s="39">
        <f t="shared" si="47"/>
        <v>1.6182722129047811E-3</v>
      </c>
      <c r="D711" s="38">
        <f>MAX($B$2:B711)</f>
        <v>57282.2509765625</v>
      </c>
      <c r="E711" s="40">
        <f t="shared" si="44"/>
        <v>-4.8240172426058381E-3</v>
      </c>
      <c r="F711" s="41">
        <f t="shared" si="45"/>
        <v>126.82455808264254</v>
      </c>
      <c r="G711" s="42" t="str">
        <f t="shared" si="46"/>
        <v>2024-10</v>
      </c>
    </row>
    <row r="712" spans="1:7" x14ac:dyDescent="0.25">
      <c r="A712" s="31">
        <v>45595</v>
      </c>
      <c r="B712" s="32">
        <v>56833.465576171897</v>
      </c>
      <c r="C712" s="33">
        <f t="shared" si="47"/>
        <v>-3.0252091843019357E-3</v>
      </c>
      <c r="D712" s="32">
        <f>MAX($B$2:B712)</f>
        <v>57282.2509765625</v>
      </c>
      <c r="E712" s="34">
        <f t="shared" si="44"/>
        <v>-7.8346327656402259E-3</v>
      </c>
      <c r="F712" s="35">
        <f t="shared" si="45"/>
        <v>126.44088726473591</v>
      </c>
      <c r="G712" s="36" t="str">
        <f t="shared" si="46"/>
        <v>2024-10</v>
      </c>
    </row>
    <row r="713" spans="1:7" x14ac:dyDescent="0.25">
      <c r="A713" s="37">
        <v>45596</v>
      </c>
      <c r="B713" s="38">
        <v>55719.348144531286</v>
      </c>
      <c r="C713" s="39">
        <f t="shared" si="47"/>
        <v>-1.9603193652644624E-2</v>
      </c>
      <c r="D713" s="38">
        <f>MAX($B$2:B713)</f>
        <v>57282.2509765625</v>
      </c>
      <c r="E713" s="40">
        <f t="shared" si="44"/>
        <v>-2.7284242594982633E-2</v>
      </c>
      <c r="F713" s="41">
        <f t="shared" si="45"/>
        <v>123.96224206607307</v>
      </c>
      <c r="G713" s="42" t="str">
        <f t="shared" si="46"/>
        <v>2024-10</v>
      </c>
    </row>
    <row r="714" spans="1:7" x14ac:dyDescent="0.25">
      <c r="A714" s="31">
        <v>45597</v>
      </c>
      <c r="B714" s="32">
        <v>55954.5166015625</v>
      </c>
      <c r="C714" s="33">
        <f t="shared" si="47"/>
        <v>4.2205888055475427E-3</v>
      </c>
      <c r="D714" s="32">
        <f>MAX($B$2:B714)</f>
        <v>57282.2509765625</v>
      </c>
      <c r="E714" s="34">
        <f t="shared" si="44"/>
        <v>-2.3178809358299413E-2</v>
      </c>
      <c r="F714" s="35">
        <f t="shared" si="45"/>
        <v>124.48543571724771</v>
      </c>
      <c r="G714" s="36" t="str">
        <f t="shared" si="46"/>
        <v>2024-11</v>
      </c>
    </row>
    <row r="715" spans="1:7" x14ac:dyDescent="0.25">
      <c r="A715" s="37">
        <v>45600</v>
      </c>
      <c r="B715" s="38">
        <v>55833.990478515603</v>
      </c>
      <c r="C715" s="39">
        <f t="shared" si="47"/>
        <v>-2.1540016850674082E-3</v>
      </c>
      <c r="D715" s="38">
        <f>MAX($B$2:B715)</f>
        <v>57282.2509765625</v>
      </c>
      <c r="E715" s="40">
        <f t="shared" si="44"/>
        <v>-2.5282883848951165E-2</v>
      </c>
      <c r="F715" s="41">
        <f t="shared" si="45"/>
        <v>124.21729387894641</v>
      </c>
      <c r="G715" s="42" t="str">
        <f t="shared" si="46"/>
        <v>2024-11</v>
      </c>
    </row>
    <row r="716" spans="1:7" x14ac:dyDescent="0.25">
      <c r="A716" s="31">
        <v>45601</v>
      </c>
      <c r="B716" s="32">
        <v>56509.130859375</v>
      </c>
      <c r="C716" s="33">
        <f t="shared" si="47"/>
        <v>1.2091924203755156E-2</v>
      </c>
      <c r="D716" s="32">
        <f>MAX($B$2:B716)</f>
        <v>57282.2509765625</v>
      </c>
      <c r="E716" s="34">
        <f t="shared" si="44"/>
        <v>-1.3496678360349845E-2</v>
      </c>
      <c r="F716" s="35">
        <f t="shared" si="45"/>
        <v>125.71931998132619</v>
      </c>
      <c r="G716" s="36" t="str">
        <f t="shared" si="46"/>
        <v>2024-11</v>
      </c>
    </row>
    <row r="717" spans="1:7" x14ac:dyDescent="0.25">
      <c r="A717" s="37">
        <v>45602</v>
      </c>
      <c r="B717" s="38">
        <v>57914.2578125</v>
      </c>
      <c r="C717" s="39">
        <f t="shared" si="47"/>
        <v>2.4865485130566078E-2</v>
      </c>
      <c r="D717" s="38">
        <f>MAX($B$2:B717)</f>
        <v>57914.2578125</v>
      </c>
      <c r="E717" s="40">
        <f t="shared" si="44"/>
        <v>0</v>
      </c>
      <c r="F717" s="41">
        <f t="shared" si="45"/>
        <v>128.84539186294674</v>
      </c>
      <c r="G717" s="42" t="str">
        <f t="shared" si="46"/>
        <v>2024-11</v>
      </c>
    </row>
    <row r="718" spans="1:7" x14ac:dyDescent="0.25">
      <c r="A718" s="31">
        <v>45603</v>
      </c>
      <c r="B718" s="32">
        <v>58362.066650390603</v>
      </c>
      <c r="C718" s="33">
        <f t="shared" si="47"/>
        <v>7.7322727563979843E-3</v>
      </c>
      <c r="D718" s="32">
        <f>MAX($B$2:B718)</f>
        <v>58362.066650390603</v>
      </c>
      <c r="E718" s="34">
        <f t="shared" si="44"/>
        <v>0</v>
      </c>
      <c r="F718" s="35">
        <f t="shared" si="45"/>
        <v>129.84165957623603</v>
      </c>
      <c r="G718" s="36" t="str">
        <f t="shared" si="46"/>
        <v>2024-11</v>
      </c>
    </row>
    <row r="719" spans="1:7" x14ac:dyDescent="0.25">
      <c r="A719" s="37">
        <v>45604</v>
      </c>
      <c r="B719" s="38">
        <v>58614.8681640625</v>
      </c>
      <c r="C719" s="39">
        <f t="shared" si="47"/>
        <v>4.3316066099281514E-3</v>
      </c>
      <c r="D719" s="38">
        <f>MAX($B$2:B719)</f>
        <v>58614.8681640625</v>
      </c>
      <c r="E719" s="40">
        <f t="shared" si="44"/>
        <v>0</v>
      </c>
      <c r="F719" s="41">
        <f t="shared" si="45"/>
        <v>130.40408256710049</v>
      </c>
      <c r="G719" s="42" t="str">
        <f t="shared" si="46"/>
        <v>2024-11</v>
      </c>
    </row>
    <row r="720" spans="1:7" x14ac:dyDescent="0.25">
      <c r="A720" s="31">
        <v>45607</v>
      </c>
      <c r="B720" s="32">
        <v>58670.721435546897</v>
      </c>
      <c r="C720" s="33">
        <f t="shared" si="47"/>
        <v>9.5288573076834915E-4</v>
      </c>
      <c r="D720" s="32">
        <f>MAX($B$2:B720)</f>
        <v>58670.721435546897</v>
      </c>
      <c r="E720" s="34">
        <f t="shared" si="44"/>
        <v>0</v>
      </c>
      <c r="F720" s="35">
        <f t="shared" si="45"/>
        <v>130.5283427566126</v>
      </c>
      <c r="G720" s="36" t="str">
        <f t="shared" si="46"/>
        <v>2024-11</v>
      </c>
    </row>
    <row r="721" spans="1:7" x14ac:dyDescent="0.25">
      <c r="A721" s="37">
        <v>45608</v>
      </c>
      <c r="B721" s="38">
        <v>58488.464355468786</v>
      </c>
      <c r="C721" s="39">
        <f t="shared" si="47"/>
        <v>-3.1064400712769169E-3</v>
      </c>
      <c r="D721" s="38">
        <f>MAX($B$2:B721)</f>
        <v>58670.721435546897</v>
      </c>
      <c r="E721" s="40">
        <f t="shared" si="44"/>
        <v>-3.1064400712769169E-3</v>
      </c>
      <c r="F721" s="41">
        <f t="shared" si="45"/>
        <v>130.12286428223609</v>
      </c>
      <c r="G721" s="42" t="str">
        <f t="shared" si="46"/>
        <v>2024-11</v>
      </c>
    </row>
    <row r="722" spans="1:7" x14ac:dyDescent="0.25">
      <c r="A722" s="31">
        <v>45609</v>
      </c>
      <c r="B722" s="32">
        <v>58516.8701171875</v>
      </c>
      <c r="C722" s="33">
        <f t="shared" si="47"/>
        <v>4.8566434478547471E-4</v>
      </c>
      <c r="D722" s="32">
        <f>MAX($B$2:B722)</f>
        <v>58670.721435546897</v>
      </c>
      <c r="E722" s="34">
        <f t="shared" si="44"/>
        <v>-2.6222844136731815E-3</v>
      </c>
      <c r="F722" s="35">
        <f t="shared" si="45"/>
        <v>130.18606031785936</v>
      </c>
      <c r="G722" s="36" t="str">
        <f t="shared" si="46"/>
        <v>2024-11</v>
      </c>
    </row>
    <row r="723" spans="1:7" x14ac:dyDescent="0.25">
      <c r="A723" s="37">
        <v>45610</v>
      </c>
      <c r="B723" s="38">
        <v>58140.612792968786</v>
      </c>
      <c r="C723" s="39">
        <f t="shared" si="47"/>
        <v>-6.4298948912545617E-3</v>
      </c>
      <c r="D723" s="38">
        <f>MAX($B$2:B723)</f>
        <v>58670.721435546897</v>
      </c>
      <c r="E723" s="40">
        <f t="shared" si="44"/>
        <v>-9.0353182917729535E-3</v>
      </c>
      <c r="F723" s="41">
        <f t="shared" si="45"/>
        <v>129.34897763370898</v>
      </c>
      <c r="G723" s="42" t="str">
        <f t="shared" si="46"/>
        <v>2024-11</v>
      </c>
    </row>
    <row r="724" spans="1:7" x14ac:dyDescent="0.25">
      <c r="A724" s="31">
        <v>45611</v>
      </c>
      <c r="B724" s="32">
        <v>57395.916748046897</v>
      </c>
      <c r="C724" s="33">
        <f t="shared" si="47"/>
        <v>-1.2808534501926538E-2</v>
      </c>
      <c r="D724" s="32">
        <f>MAX($B$2:B724)</f>
        <v>58670.721435546897</v>
      </c>
      <c r="E724" s="34">
        <f t="shared" si="44"/>
        <v>-2.1728123607623329E-2</v>
      </c>
      <c r="F724" s="35">
        <f t="shared" si="45"/>
        <v>127.69220679089869</v>
      </c>
      <c r="G724" s="36" t="str">
        <f t="shared" si="46"/>
        <v>2024-11</v>
      </c>
    </row>
    <row r="725" spans="1:7" x14ac:dyDescent="0.25">
      <c r="A725" s="37">
        <v>45614</v>
      </c>
      <c r="B725" s="38">
        <v>57631.085205078103</v>
      </c>
      <c r="C725" s="39">
        <f t="shared" si="47"/>
        <v>4.0973029155284557E-3</v>
      </c>
      <c r="D725" s="38">
        <f>MAX($B$2:B725)</f>
        <v>58670.721435546897</v>
      </c>
      <c r="E725" s="40">
        <f t="shared" si="44"/>
        <v>-1.771984739630128E-2</v>
      </c>
      <c r="F725" s="41">
        <f t="shared" si="45"/>
        <v>128.2154004420733</v>
      </c>
      <c r="G725" s="42" t="str">
        <f t="shared" si="46"/>
        <v>2024-11</v>
      </c>
    </row>
    <row r="726" spans="1:7" x14ac:dyDescent="0.25">
      <c r="A726" s="31">
        <v>45615</v>
      </c>
      <c r="B726" s="32">
        <v>57841.748046875</v>
      </c>
      <c r="C726" s="33">
        <f t="shared" si="47"/>
        <v>3.655368297287076E-3</v>
      </c>
      <c r="D726" s="32">
        <f>MAX($B$2:B726)</f>
        <v>58670.721435546897</v>
      </c>
      <c r="E726" s="34">
        <f t="shared" si="44"/>
        <v>-1.4129251667419296E-2</v>
      </c>
      <c r="F726" s="35">
        <f t="shared" si="45"/>
        <v>128.68407495207325</v>
      </c>
      <c r="G726" s="36" t="str">
        <f t="shared" si="46"/>
        <v>2024-11</v>
      </c>
    </row>
    <row r="727" spans="1:7" x14ac:dyDescent="0.25">
      <c r="A727" s="37">
        <v>45616</v>
      </c>
      <c r="B727" s="38">
        <v>57861.340332031286</v>
      </c>
      <c r="C727" s="39">
        <f t="shared" si="47"/>
        <v>3.3872221739228436E-4</v>
      </c>
      <c r="D727" s="38">
        <f>MAX($B$2:B727)</f>
        <v>58670.721435546897</v>
      </c>
      <c r="E727" s="40">
        <f t="shared" si="44"/>
        <v>-1.3795315341481929E-2</v>
      </c>
      <c r="F727" s="41">
        <f t="shared" si="45"/>
        <v>128.72766310728409</v>
      </c>
      <c r="G727" s="42" t="str">
        <f t="shared" si="46"/>
        <v>2024-11</v>
      </c>
    </row>
    <row r="728" spans="1:7" x14ac:dyDescent="0.25">
      <c r="A728" s="31">
        <v>45617</v>
      </c>
      <c r="B728" s="32">
        <v>58171.960449218786</v>
      </c>
      <c r="C728" s="33">
        <f t="shared" si="47"/>
        <v>5.3683532978157089E-3</v>
      </c>
      <c r="D728" s="32">
        <f>MAX($B$2:B728)</f>
        <v>58670.721435546897</v>
      </c>
      <c r="E728" s="34">
        <f t="shared" si="44"/>
        <v>-8.5010201702739874E-3</v>
      </c>
      <c r="F728" s="35">
        <f t="shared" si="45"/>
        <v>129.4187186820462</v>
      </c>
      <c r="G728" s="36" t="str">
        <f t="shared" si="46"/>
        <v>2024-11</v>
      </c>
    </row>
    <row r="729" spans="1:7" x14ac:dyDescent="0.25">
      <c r="A729" s="37">
        <v>45618</v>
      </c>
      <c r="B729" s="38">
        <v>58352.258300781286</v>
      </c>
      <c r="C729" s="39">
        <f t="shared" si="47"/>
        <v>3.0993944534478679E-3</v>
      </c>
      <c r="D729" s="38">
        <f>MAX($B$2:B729)</f>
        <v>58670.721435546897</v>
      </c>
      <c r="E729" s="40">
        <f t="shared" si="44"/>
        <v>-5.4279737315904297E-3</v>
      </c>
      <c r="F729" s="41">
        <f t="shared" si="45"/>
        <v>129.81983834090167</v>
      </c>
      <c r="G729" s="42" t="str">
        <f t="shared" si="46"/>
        <v>2024-11</v>
      </c>
    </row>
    <row r="730" spans="1:7" x14ac:dyDescent="0.25">
      <c r="A730" s="31">
        <v>45621</v>
      </c>
      <c r="B730" s="32">
        <v>58550.1953125</v>
      </c>
      <c r="C730" s="33">
        <f t="shared" si="47"/>
        <v>3.3921054211549784E-3</v>
      </c>
      <c r="D730" s="32">
        <f>MAX($B$2:B730)</f>
        <v>58670.721435546897</v>
      </c>
      <c r="E730" s="34">
        <f t="shared" si="44"/>
        <v>-2.054280569556366E-3</v>
      </c>
      <c r="F730" s="35">
        <f t="shared" si="45"/>
        <v>130.26020091831128</v>
      </c>
      <c r="G730" s="36" t="str">
        <f t="shared" si="46"/>
        <v>2024-11</v>
      </c>
    </row>
    <row r="731" spans="1:7" x14ac:dyDescent="0.25">
      <c r="A731" s="37">
        <v>45622</v>
      </c>
      <c r="B731" s="38">
        <v>58855.926513671897</v>
      </c>
      <c r="C731" s="39">
        <f t="shared" si="47"/>
        <v>5.2216939591767098E-3</v>
      </c>
      <c r="D731" s="38">
        <f>MAX($B$2:B731)</f>
        <v>58855.926513671897</v>
      </c>
      <c r="E731" s="40">
        <f t="shared" si="44"/>
        <v>0</v>
      </c>
      <c r="F731" s="41">
        <f t="shared" si="45"/>
        <v>130.94037982256759</v>
      </c>
      <c r="G731" s="42" t="str">
        <f t="shared" si="46"/>
        <v>2024-11</v>
      </c>
    </row>
    <row r="732" spans="1:7" x14ac:dyDescent="0.25">
      <c r="A732" s="31">
        <v>45623</v>
      </c>
      <c r="B732" s="32">
        <v>58677.575683593786</v>
      </c>
      <c r="C732" s="33">
        <f t="shared" si="47"/>
        <v>-3.0302951740412976E-3</v>
      </c>
      <c r="D732" s="32">
        <f>MAX($B$2:B732)</f>
        <v>58855.926513671897</v>
      </c>
      <c r="E732" s="34">
        <f t="shared" si="44"/>
        <v>-3.0302951740412976E-3</v>
      </c>
      <c r="F732" s="35">
        <f t="shared" si="45"/>
        <v>130.54359182150412</v>
      </c>
      <c r="G732" s="36" t="str">
        <f t="shared" si="46"/>
        <v>2024-11</v>
      </c>
    </row>
    <row r="733" spans="1:7" x14ac:dyDescent="0.25">
      <c r="A733" s="37">
        <v>45625</v>
      </c>
      <c r="B733" s="38">
        <v>59042.095947265603</v>
      </c>
      <c r="C733" s="39">
        <f t="shared" si="47"/>
        <v>6.2122584211286025E-3</v>
      </c>
      <c r="D733" s="38">
        <f>MAX($B$2:B733)</f>
        <v>59042.095947265603</v>
      </c>
      <c r="E733" s="40">
        <f t="shared" si="44"/>
        <v>0</v>
      </c>
      <c r="F733" s="41">
        <f t="shared" si="45"/>
        <v>131.35456234912164</v>
      </c>
      <c r="G733" s="42" t="str">
        <f t="shared" si="46"/>
        <v>2024-11</v>
      </c>
    </row>
    <row r="734" spans="1:7" x14ac:dyDescent="0.25">
      <c r="A734" s="31">
        <v>45628</v>
      </c>
      <c r="B734" s="32">
        <v>59147.912597656286</v>
      </c>
      <c r="C734" s="33">
        <f t="shared" si="47"/>
        <v>1.7922238140934965E-3</v>
      </c>
      <c r="D734" s="32">
        <f>MAX($B$2:B734)</f>
        <v>59147.912597656286</v>
      </c>
      <c r="E734" s="34">
        <f t="shared" si="44"/>
        <v>0</v>
      </c>
      <c r="F734" s="35">
        <f t="shared" si="45"/>
        <v>131.58997912385357</v>
      </c>
      <c r="G734" s="36" t="str">
        <f t="shared" si="46"/>
        <v>2024-12</v>
      </c>
    </row>
    <row r="735" spans="1:7" x14ac:dyDescent="0.25">
      <c r="A735" s="37">
        <v>45629</v>
      </c>
      <c r="B735" s="38">
        <v>59175.347900390603</v>
      </c>
      <c r="C735" s="39">
        <f t="shared" si="47"/>
        <v>4.6384228165319286E-4</v>
      </c>
      <c r="D735" s="38">
        <f>MAX($B$2:B735)</f>
        <v>59175.347900390603</v>
      </c>
      <c r="E735" s="40">
        <f t="shared" si="44"/>
        <v>0</v>
      </c>
      <c r="F735" s="41">
        <f t="shared" si="45"/>
        <v>131.65101612001305</v>
      </c>
      <c r="G735" s="42" t="str">
        <f t="shared" si="46"/>
        <v>2024-12</v>
      </c>
    </row>
    <row r="736" spans="1:7" x14ac:dyDescent="0.25">
      <c r="A736" s="31">
        <v>45630</v>
      </c>
      <c r="B736" s="32">
        <v>59542.803955078103</v>
      </c>
      <c r="C736" s="33">
        <f t="shared" si="47"/>
        <v>6.2096137619003233E-3</v>
      </c>
      <c r="D736" s="32">
        <f>MAX($B$2:B736)</f>
        <v>59542.803955078103</v>
      </c>
      <c r="E736" s="34">
        <f t="shared" si="44"/>
        <v>0</v>
      </c>
      <c r="F736" s="35">
        <f t="shared" si="45"/>
        <v>132.46851808148006</v>
      </c>
      <c r="G736" s="36" t="str">
        <f t="shared" si="46"/>
        <v>2024-12</v>
      </c>
    </row>
    <row r="737" spans="1:7" x14ac:dyDescent="0.25">
      <c r="A737" s="37">
        <v>45631</v>
      </c>
      <c r="B737" s="38">
        <v>59444.805908203103</v>
      </c>
      <c r="C737" s="39">
        <f t="shared" si="47"/>
        <v>-1.6458419887134257E-3</v>
      </c>
      <c r="D737" s="38">
        <f>MAX($B$2:B737)</f>
        <v>59542.803955078103</v>
      </c>
      <c r="E737" s="40">
        <f t="shared" si="44"/>
        <v>-1.6458419887134257E-3</v>
      </c>
      <c r="F737" s="41">
        <f t="shared" si="45"/>
        <v>132.25049583223893</v>
      </c>
      <c r="G737" s="42" t="str">
        <f t="shared" si="46"/>
        <v>2024-12</v>
      </c>
    </row>
    <row r="738" spans="1:7" x14ac:dyDescent="0.25">
      <c r="A738" s="31">
        <v>45632</v>
      </c>
      <c r="B738" s="32">
        <v>59557.501220703103</v>
      </c>
      <c r="C738" s="33">
        <f t="shared" si="47"/>
        <v>1.8957974675537503E-3</v>
      </c>
      <c r="D738" s="32">
        <f>MAX($B$2:B738)</f>
        <v>59557.501220703103</v>
      </c>
      <c r="E738" s="34">
        <f t="shared" si="44"/>
        <v>0</v>
      </c>
      <c r="F738" s="35">
        <f t="shared" si="45"/>
        <v>132.50121598732042</v>
      </c>
      <c r="G738" s="36" t="str">
        <f t="shared" si="46"/>
        <v>2024-12</v>
      </c>
    </row>
    <row r="739" spans="1:7" x14ac:dyDescent="0.25">
      <c r="A739" s="37">
        <v>45635</v>
      </c>
      <c r="B739" s="38">
        <v>59250.799560546897</v>
      </c>
      <c r="C739" s="39">
        <f t="shared" si="47"/>
        <v>-5.1496730700580917E-3</v>
      </c>
      <c r="D739" s="38">
        <f>MAX($B$2:B739)</f>
        <v>59557.501220703103</v>
      </c>
      <c r="E739" s="40">
        <f t="shared" si="44"/>
        <v>-5.1496730700580917E-3</v>
      </c>
      <c r="F739" s="41">
        <f t="shared" si="45"/>
        <v>131.81887804360056</v>
      </c>
      <c r="G739" s="42" t="str">
        <f t="shared" si="46"/>
        <v>2024-12</v>
      </c>
    </row>
    <row r="740" spans="1:7" x14ac:dyDescent="0.25">
      <c r="A740" s="31">
        <v>45636</v>
      </c>
      <c r="B740" s="32">
        <v>59066.589355468786</v>
      </c>
      <c r="C740" s="33">
        <f t="shared" si="47"/>
        <v>-3.1089910422199551E-3</v>
      </c>
      <c r="D740" s="32">
        <f>MAX($B$2:B740)</f>
        <v>59557.501220703103</v>
      </c>
      <c r="E740" s="34">
        <f t="shared" si="44"/>
        <v>-8.2426538248329129E-3</v>
      </c>
      <c r="F740" s="35">
        <f t="shared" si="45"/>
        <v>131.40905433256751</v>
      </c>
      <c r="G740" s="36" t="str">
        <f t="shared" si="46"/>
        <v>2024-12</v>
      </c>
    </row>
    <row r="741" spans="1:7" x14ac:dyDescent="0.25">
      <c r="A741" s="37">
        <v>45637</v>
      </c>
      <c r="B741" s="38">
        <v>59523.2177734375</v>
      </c>
      <c r="C741" s="39">
        <f t="shared" si="47"/>
        <v>7.7307395424623948E-3</v>
      </c>
      <c r="D741" s="38">
        <f>MAX($B$2:B741)</f>
        <v>59557.501220703103</v>
      </c>
      <c r="E741" s="40">
        <f t="shared" si="44"/>
        <v>-5.7563609222888168E-4</v>
      </c>
      <c r="F741" s="41">
        <f t="shared" si="45"/>
        <v>132.42494350513388</v>
      </c>
      <c r="G741" s="42" t="str">
        <f t="shared" si="46"/>
        <v>2024-12</v>
      </c>
    </row>
    <row r="742" spans="1:7" x14ac:dyDescent="0.25">
      <c r="A742" s="31">
        <v>45638</v>
      </c>
      <c r="B742" s="32">
        <v>59216.516113281286</v>
      </c>
      <c r="C742" s="33">
        <f t="shared" si="47"/>
        <v>-5.1526391151031081E-3</v>
      </c>
      <c r="D742" s="32">
        <f>MAX($B$2:B742)</f>
        <v>59557.501220703103</v>
      </c>
      <c r="E742" s="34">
        <f t="shared" si="44"/>
        <v>-5.7253091622870844E-3</v>
      </c>
      <c r="F742" s="35">
        <f t="shared" si="45"/>
        <v>131.74260556141402</v>
      </c>
      <c r="G742" s="36" t="str">
        <f t="shared" si="46"/>
        <v>2024-12</v>
      </c>
    </row>
    <row r="743" spans="1:7" x14ac:dyDescent="0.25">
      <c r="A743" s="37">
        <v>45639</v>
      </c>
      <c r="B743" s="38">
        <v>59204.748535156286</v>
      </c>
      <c r="C743" s="39">
        <f t="shared" si="47"/>
        <v>-1.9872121660258202E-4</v>
      </c>
      <c r="D743" s="38">
        <f>MAX($B$2:B743)</f>
        <v>59557.501220703103</v>
      </c>
      <c r="E743" s="40">
        <f t="shared" si="44"/>
        <v>-5.9228926384875535E-3</v>
      </c>
      <c r="F743" s="41">
        <f t="shared" si="45"/>
        <v>131.71642551055845</v>
      </c>
      <c r="G743" s="42" t="str">
        <f t="shared" si="46"/>
        <v>2024-12</v>
      </c>
    </row>
    <row r="744" spans="1:7" x14ac:dyDescent="0.25">
      <c r="A744" s="31">
        <v>45642</v>
      </c>
      <c r="B744" s="32">
        <v>59457.550048828103</v>
      </c>
      <c r="C744" s="33">
        <f t="shared" si="47"/>
        <v>4.2699533386532096E-3</v>
      </c>
      <c r="D744" s="32">
        <f>MAX($B$2:B744)</f>
        <v>59557.501220703103</v>
      </c>
      <c r="E744" s="34">
        <f t="shared" si="44"/>
        <v>-1.6782297750305153E-3</v>
      </c>
      <c r="F744" s="35">
        <f t="shared" si="45"/>
        <v>132.27884850142274</v>
      </c>
      <c r="G744" s="36" t="str">
        <f t="shared" si="46"/>
        <v>2024-12</v>
      </c>
    </row>
    <row r="745" spans="1:7" x14ac:dyDescent="0.25">
      <c r="A745" s="37">
        <v>45643</v>
      </c>
      <c r="B745" s="38">
        <v>59212.591552734397</v>
      </c>
      <c r="C745" s="39">
        <f t="shared" si="47"/>
        <v>-4.1198888264407652E-3</v>
      </c>
      <c r="D745" s="38">
        <f>MAX($B$2:B745)</f>
        <v>59557.501220703103</v>
      </c>
      <c r="E745" s="40">
        <f t="shared" si="44"/>
        <v>-5.7912044813728247E-3</v>
      </c>
      <c r="F745" s="41">
        <f t="shared" si="45"/>
        <v>131.73387435150727</v>
      </c>
      <c r="G745" s="42" t="str">
        <f t="shared" si="46"/>
        <v>2024-12</v>
      </c>
    </row>
    <row r="746" spans="1:7" x14ac:dyDescent="0.25">
      <c r="A746" s="31">
        <v>45644</v>
      </c>
      <c r="B746" s="32">
        <v>57447.839355468786</v>
      </c>
      <c r="C746" s="33">
        <f t="shared" si="47"/>
        <v>-2.9803664237427085E-2</v>
      </c>
      <c r="D746" s="32">
        <f>MAX($B$2:B746)</f>
        <v>59557.501220703103</v>
      </c>
      <c r="E746" s="34">
        <f t="shared" si="44"/>
        <v>-3.5422269604906909E-2</v>
      </c>
      <c r="F746" s="35">
        <f t="shared" si="45"/>
        <v>127.80772219163954</v>
      </c>
      <c r="G746" s="36" t="str">
        <f t="shared" si="46"/>
        <v>2024-12</v>
      </c>
    </row>
    <row r="747" spans="1:7" x14ac:dyDescent="0.25">
      <c r="A747" s="37">
        <v>45645</v>
      </c>
      <c r="B747" s="38">
        <v>57430.2001953125</v>
      </c>
      <c r="C747" s="39">
        <f t="shared" si="47"/>
        <v>-3.0704653741875365E-4</v>
      </c>
      <c r="D747" s="38">
        <f>MAX($B$2:B747)</f>
        <v>59557.501220703103</v>
      </c>
      <c r="E747" s="40">
        <f t="shared" si="44"/>
        <v>-3.5718439857095996E-2</v>
      </c>
      <c r="F747" s="41">
        <f t="shared" si="45"/>
        <v>127.76847927308521</v>
      </c>
      <c r="G747" s="42" t="str">
        <f t="shared" si="46"/>
        <v>2024-12</v>
      </c>
    </row>
    <row r="748" spans="1:7" x14ac:dyDescent="0.25">
      <c r="A748" s="31">
        <v>45646</v>
      </c>
      <c r="B748" s="32">
        <v>58119.9951171875</v>
      </c>
      <c r="C748" s="33">
        <f t="shared" si="47"/>
        <v>1.2011013709321894E-2</v>
      </c>
      <c r="D748" s="32">
        <f>MAX($B$2:B748)</f>
        <v>59557.501220703103</v>
      </c>
      <c r="E748" s="34">
        <f t="shared" si="44"/>
        <v>-2.4136440818573246E-2</v>
      </c>
      <c r="F748" s="35">
        <f t="shared" si="45"/>
        <v>129.30310822925347</v>
      </c>
      <c r="G748" s="36" t="str">
        <f t="shared" si="46"/>
        <v>2024-12</v>
      </c>
    </row>
    <row r="749" spans="1:7" x14ac:dyDescent="0.25">
      <c r="A749" s="37">
        <v>45649</v>
      </c>
      <c r="B749" s="38">
        <v>58468.035888671897</v>
      </c>
      <c r="C749" s="39">
        <f t="shared" si="47"/>
        <v>5.9883138459086993E-3</v>
      </c>
      <c r="D749" s="38">
        <f>MAX($B$2:B749)</f>
        <v>59557.501220703103</v>
      </c>
      <c r="E749" s="40">
        <f t="shared" si="44"/>
        <v>-1.8292663555409372E-2</v>
      </c>
      <c r="F749" s="41">
        <f t="shared" si="45"/>
        <v>130.07741582258171</v>
      </c>
      <c r="G749" s="42" t="str">
        <f t="shared" si="46"/>
        <v>2024-12</v>
      </c>
    </row>
    <row r="750" spans="1:7" x14ac:dyDescent="0.25">
      <c r="A750" s="31">
        <v>45650</v>
      </c>
      <c r="B750" s="32">
        <v>59117.913818359397</v>
      </c>
      <c r="C750" s="33">
        <f t="shared" si="47"/>
        <v>1.1115097673623398E-2</v>
      </c>
      <c r="D750" s="32">
        <f>MAX($B$2:B750)</f>
        <v>59557.501220703103</v>
      </c>
      <c r="E750" s="34">
        <f t="shared" si="44"/>
        <v>-7.3808906239152261E-3</v>
      </c>
      <c r="F750" s="35">
        <f t="shared" si="45"/>
        <v>131.52323900458222</v>
      </c>
      <c r="G750" s="36" t="str">
        <f t="shared" si="46"/>
        <v>2024-12</v>
      </c>
    </row>
    <row r="751" spans="1:7" x14ac:dyDescent="0.25">
      <c r="A751" s="37">
        <v>45652</v>
      </c>
      <c r="B751" s="38">
        <v>59121.844482421897</v>
      </c>
      <c r="C751" s="39">
        <f t="shared" si="47"/>
        <v>6.6488544818721351E-5</v>
      </c>
      <c r="D751" s="38">
        <f>MAX($B$2:B751)</f>
        <v>59557.501220703103</v>
      </c>
      <c r="E751" s="40">
        <f t="shared" si="44"/>
        <v>-7.3148928237735111E-3</v>
      </c>
      <c r="F751" s="41">
        <f t="shared" si="45"/>
        <v>131.5319837933535</v>
      </c>
      <c r="G751" s="42" t="str">
        <f t="shared" si="46"/>
        <v>2024-12</v>
      </c>
    </row>
    <row r="752" spans="1:7" x14ac:dyDescent="0.25">
      <c r="A752" s="31">
        <v>45653</v>
      </c>
      <c r="B752" s="32">
        <v>58499.499511718786</v>
      </c>
      <c r="C752" s="33">
        <f t="shared" si="47"/>
        <v>-1.0526480967422258E-2</v>
      </c>
      <c r="D752" s="32">
        <f>MAX($B$2:B752)</f>
        <v>59557.501220703103</v>
      </c>
      <c r="E752" s="34">
        <f t="shared" si="44"/>
        <v>-1.7764373711107617E-2</v>
      </c>
      <c r="F752" s="35">
        <f t="shared" si="45"/>
        <v>130.14741486934545</v>
      </c>
      <c r="G752" s="36" t="str">
        <f t="shared" si="46"/>
        <v>2024-12</v>
      </c>
    </row>
    <row r="753" spans="1:7" x14ac:dyDescent="0.25">
      <c r="A753" s="37">
        <v>45656</v>
      </c>
      <c r="B753" s="38">
        <v>57831.927490234397</v>
      </c>
      <c r="C753" s="39">
        <f t="shared" si="47"/>
        <v>-1.1411585176906658E-2</v>
      </c>
      <c r="D753" s="38">
        <f>MAX($B$2:B753)</f>
        <v>59557.501220703103</v>
      </c>
      <c r="E753" s="40">
        <f t="shared" si="44"/>
        <v>-2.8973239224295622E-2</v>
      </c>
      <c r="F753" s="41">
        <f t="shared" si="45"/>
        <v>128.66222655900972</v>
      </c>
      <c r="G753" s="42" t="str">
        <f t="shared" si="46"/>
        <v>2024-12</v>
      </c>
    </row>
    <row r="754" spans="1:7" x14ac:dyDescent="0.25">
      <c r="A754" s="31">
        <v>45657</v>
      </c>
      <c r="B754" s="32">
        <v>57621.527099609397</v>
      </c>
      <c r="C754" s="33">
        <f t="shared" si="47"/>
        <v>-3.63813553785719E-3</v>
      </c>
      <c r="D754" s="32">
        <f>MAX($B$2:B754)</f>
        <v>59557.501220703103</v>
      </c>
      <c r="E754" s="34">
        <f t="shared" si="44"/>
        <v>-3.2505966190883973E-2</v>
      </c>
      <c r="F754" s="35">
        <f t="shared" si="45"/>
        <v>128.19413594018553</v>
      </c>
      <c r="G754" s="36" t="str">
        <f t="shared" si="46"/>
        <v>2024-12</v>
      </c>
    </row>
    <row r="755" spans="1:7" x14ac:dyDescent="0.25">
      <c r="A755" s="37">
        <v>45659</v>
      </c>
      <c r="B755" s="38">
        <v>57479.9560546875</v>
      </c>
      <c r="C755" s="39">
        <f t="shared" si="47"/>
        <v>-2.456912408398404E-3</v>
      </c>
      <c r="D755" s="38">
        <f>MAX($B$2:B755)</f>
        <v>59557.501220703103</v>
      </c>
      <c r="E755" s="40">
        <f t="shared" si="44"/>
        <v>-3.48830142876011E-2</v>
      </c>
      <c r="F755" s="41">
        <f t="shared" si="45"/>
        <v>127.8791741769102</v>
      </c>
      <c r="G755" s="42" t="str">
        <f t="shared" si="46"/>
        <v>2025-01</v>
      </c>
    </row>
    <row r="756" spans="1:7" x14ac:dyDescent="0.25">
      <c r="A756" s="31">
        <v>45660</v>
      </c>
      <c r="B756" s="32">
        <v>58198.651123046897</v>
      </c>
      <c r="C756" s="33">
        <f t="shared" si="47"/>
        <v>1.2503403232869914E-2</v>
      </c>
      <c r="D756" s="32">
        <f>MAX($B$2:B756)</f>
        <v>59557.501220703103</v>
      </c>
      <c r="E756" s="34">
        <f t="shared" si="44"/>
        <v>-2.2815767448347013E-2</v>
      </c>
      <c r="F756" s="35">
        <f t="shared" si="45"/>
        <v>129.47809905673049</v>
      </c>
      <c r="G756" s="36" t="str">
        <f t="shared" si="46"/>
        <v>2025-01</v>
      </c>
    </row>
    <row r="757" spans="1:7" x14ac:dyDescent="0.25">
      <c r="A757" s="37">
        <v>45663</v>
      </c>
      <c r="B757" s="38">
        <v>58533.9111328125</v>
      </c>
      <c r="C757" s="39">
        <f t="shared" si="47"/>
        <v>5.760614778799189E-3</v>
      </c>
      <c r="D757" s="38">
        <f>MAX($B$2:B757)</f>
        <v>59557.501220703103</v>
      </c>
      <c r="E757" s="40">
        <f t="shared" si="44"/>
        <v>-1.7186585516700381E-2</v>
      </c>
      <c r="F757" s="41">
        <f t="shared" si="45"/>
        <v>130.22397250768753</v>
      </c>
      <c r="G757" s="42" t="str">
        <f t="shared" si="46"/>
        <v>2025-01</v>
      </c>
    </row>
    <row r="758" spans="1:7" x14ac:dyDescent="0.25">
      <c r="A758" s="31">
        <v>45664</v>
      </c>
      <c r="B758" s="32">
        <v>57872.235107421897</v>
      </c>
      <c r="C758" s="33">
        <f t="shared" si="47"/>
        <v>-1.1304148528350821E-2</v>
      </c>
      <c r="D758" s="32">
        <f>MAX($B$2:B758)</f>
        <v>59557.501220703103</v>
      </c>
      <c r="E758" s="34">
        <f t="shared" si="44"/>
        <v>-2.8296454329675313E-2</v>
      </c>
      <c r="F758" s="35">
        <f t="shared" si="45"/>
        <v>128.75190138050874</v>
      </c>
      <c r="G758" s="36" t="str">
        <f t="shared" si="46"/>
        <v>2025-01</v>
      </c>
    </row>
    <row r="759" spans="1:7" x14ac:dyDescent="0.25">
      <c r="A759" s="37">
        <v>45665</v>
      </c>
      <c r="B759" s="38">
        <v>57956.787109375</v>
      </c>
      <c r="C759" s="39">
        <f t="shared" si="47"/>
        <v>1.4610115160778037E-3</v>
      </c>
      <c r="D759" s="38">
        <f>MAX($B$2:B759)</f>
        <v>59557.501220703103</v>
      </c>
      <c r="E759" s="40">
        <f t="shared" si="44"/>
        <v>-2.6876784259237341E-2</v>
      </c>
      <c r="F759" s="41">
        <f t="shared" si="45"/>
        <v>128.94000939114258</v>
      </c>
      <c r="G759" s="42" t="str">
        <f t="shared" si="46"/>
        <v>2025-01</v>
      </c>
    </row>
    <row r="760" spans="1:7" x14ac:dyDescent="0.25">
      <c r="A760" s="31">
        <v>45667</v>
      </c>
      <c r="B760" s="32">
        <v>57071.936035156286</v>
      </c>
      <c r="C760" s="33">
        <f t="shared" si="47"/>
        <v>-1.5267427998533423E-2</v>
      </c>
      <c r="D760" s="32">
        <f>MAX($B$2:B760)</f>
        <v>59557.501220703103</v>
      </c>
      <c r="E760" s="34">
        <f t="shared" si="44"/>
        <v>-4.1733872889260781E-2</v>
      </c>
      <c r="F760" s="35">
        <f t="shared" si="45"/>
        <v>126.9714270816331</v>
      </c>
      <c r="G760" s="36" t="str">
        <f t="shared" si="46"/>
        <v>2025-01</v>
      </c>
    </row>
    <row r="761" spans="1:7" x14ac:dyDescent="0.25">
      <c r="A761" s="37">
        <v>45670</v>
      </c>
      <c r="B761" s="38">
        <v>57160.4248046875</v>
      </c>
      <c r="C761" s="39">
        <f t="shared" si="47"/>
        <v>1.5504777948429638E-3</v>
      </c>
      <c r="D761" s="38">
        <f>MAX($B$2:B761)</f>
        <v>59557.501220703103</v>
      </c>
      <c r="E761" s="40">
        <f t="shared" si="44"/>
        <v>-4.0248102537625341E-2</v>
      </c>
      <c r="F761" s="41">
        <f t="shared" si="45"/>
        <v>127.16829345990269</v>
      </c>
      <c r="G761" s="42" t="str">
        <f t="shared" si="46"/>
        <v>2025-01</v>
      </c>
    </row>
    <row r="762" spans="1:7" x14ac:dyDescent="0.25">
      <c r="A762" s="31">
        <v>45671</v>
      </c>
      <c r="B762" s="32">
        <v>57239.068603515603</v>
      </c>
      <c r="C762" s="33">
        <f t="shared" si="47"/>
        <v>1.3758434983088819E-3</v>
      </c>
      <c r="D762" s="32">
        <f>MAX($B$2:B762)</f>
        <v>59557.501220703103</v>
      </c>
      <c r="E762" s="34">
        <f t="shared" si="44"/>
        <v>-3.8927634129512056E-2</v>
      </c>
      <c r="F762" s="35">
        <f t="shared" si="45"/>
        <v>127.34325712965054</v>
      </c>
      <c r="G762" s="36" t="str">
        <f t="shared" si="46"/>
        <v>2025-01</v>
      </c>
    </row>
    <row r="763" spans="1:7" x14ac:dyDescent="0.25">
      <c r="A763" s="37">
        <v>45672</v>
      </c>
      <c r="B763" s="38">
        <v>58280.2490234375</v>
      </c>
      <c r="C763" s="39">
        <f t="shared" si="47"/>
        <v>1.8190030783588718E-2</v>
      </c>
      <c r="D763" s="38">
        <f>MAX($B$2:B763)</f>
        <v>59557.501220703103</v>
      </c>
      <c r="E763" s="40">
        <f t="shared" si="44"/>
        <v>-2.1445698209071495E-2</v>
      </c>
      <c r="F763" s="41">
        <f t="shared" si="45"/>
        <v>129.65963489692135</v>
      </c>
      <c r="G763" s="42" t="str">
        <f t="shared" si="46"/>
        <v>2025-01</v>
      </c>
    </row>
    <row r="764" spans="1:7" x14ac:dyDescent="0.25">
      <c r="A764" s="31">
        <v>45673</v>
      </c>
      <c r="B764" s="32">
        <v>58168.170166015603</v>
      </c>
      <c r="C764" s="33">
        <f t="shared" si="47"/>
        <v>-1.9231018964387392E-3</v>
      </c>
      <c r="D764" s="32">
        <f>MAX($B$2:B764)</f>
        <v>59557.501220703103</v>
      </c>
      <c r="E764" s="34">
        <f t="shared" si="44"/>
        <v>-2.3327557842613866E-2</v>
      </c>
      <c r="F764" s="35">
        <f t="shared" si="45"/>
        <v>129.41028620715952</v>
      </c>
      <c r="G764" s="36" t="str">
        <f t="shared" si="46"/>
        <v>2025-01</v>
      </c>
    </row>
    <row r="765" spans="1:7" x14ac:dyDescent="0.25">
      <c r="A765" s="37">
        <v>45674</v>
      </c>
      <c r="B765" s="38">
        <v>58752.178955078103</v>
      </c>
      <c r="C765" s="39">
        <f t="shared" si="47"/>
        <v>1.0040006199192764E-2</v>
      </c>
      <c r="D765" s="38">
        <f>MAX($B$2:B765)</f>
        <v>59557.501220703103</v>
      </c>
      <c r="E765" s="40">
        <f t="shared" si="44"/>
        <v>-1.3521760468772959E-2</v>
      </c>
      <c r="F765" s="41">
        <f t="shared" si="45"/>
        <v>130.7095662829187</v>
      </c>
      <c r="G765" s="42" t="str">
        <f t="shared" si="46"/>
        <v>2025-01</v>
      </c>
    </row>
    <row r="766" spans="1:7" x14ac:dyDescent="0.25">
      <c r="A766" s="31">
        <v>45678</v>
      </c>
      <c r="B766" s="32">
        <v>59289.959716796897</v>
      </c>
      <c r="C766" s="33">
        <f t="shared" si="47"/>
        <v>9.1533756072261774E-3</v>
      </c>
      <c r="D766" s="32">
        <f>MAX($B$2:B766)</f>
        <v>59557.501220703103</v>
      </c>
      <c r="E766" s="34">
        <f t="shared" si="44"/>
        <v>-4.4921546139884416E-3</v>
      </c>
      <c r="F766" s="35">
        <f t="shared" si="45"/>
        <v>131.90600003856389</v>
      </c>
      <c r="G766" s="36" t="str">
        <f t="shared" si="46"/>
        <v>2025-01</v>
      </c>
    </row>
    <row r="767" spans="1:7" x14ac:dyDescent="0.25">
      <c r="A767" s="37">
        <v>45679</v>
      </c>
      <c r="B767" s="38">
        <v>59623.260498046897</v>
      </c>
      <c r="C767" s="39">
        <f t="shared" si="47"/>
        <v>5.6215383319879741E-3</v>
      </c>
      <c r="D767" s="38">
        <f>MAX($B$2:B767)</f>
        <v>59623.260498046897</v>
      </c>
      <c r="E767" s="40">
        <f t="shared" si="44"/>
        <v>0</v>
      </c>
      <c r="F767" s="41">
        <f t="shared" si="45"/>
        <v>132.64751467399986</v>
      </c>
      <c r="G767" s="42" t="str">
        <f t="shared" si="46"/>
        <v>2025-01</v>
      </c>
    </row>
    <row r="768" spans="1:7" x14ac:dyDescent="0.25">
      <c r="A768" s="31">
        <v>45680</v>
      </c>
      <c r="B768" s="32">
        <v>59948.681640625</v>
      </c>
      <c r="C768" s="33">
        <f t="shared" si="47"/>
        <v>5.4579561711283198E-3</v>
      </c>
      <c r="D768" s="32">
        <f>MAX($B$2:B768)</f>
        <v>59948.681640625</v>
      </c>
      <c r="E768" s="34">
        <f t="shared" si="44"/>
        <v>0</v>
      </c>
      <c r="F768" s="35">
        <f t="shared" si="45"/>
        <v>133.37149899529965</v>
      </c>
      <c r="G768" s="36" t="str">
        <f t="shared" si="46"/>
        <v>2025-01</v>
      </c>
    </row>
    <row r="769" spans="1:7" x14ac:dyDescent="0.25">
      <c r="A769" s="37">
        <v>45681</v>
      </c>
      <c r="B769" s="38">
        <v>59773.681640625</v>
      </c>
      <c r="C769" s="39">
        <f t="shared" si="47"/>
        <v>-2.9191634446454895E-3</v>
      </c>
      <c r="D769" s="38">
        <f>MAX($B$2:B769)</f>
        <v>59948.681640625</v>
      </c>
      <c r="E769" s="40">
        <f t="shared" si="44"/>
        <v>-2.9191634446454895E-3</v>
      </c>
      <c r="F769" s="41">
        <f t="shared" si="45"/>
        <v>132.982165790875</v>
      </c>
      <c r="G769" s="42" t="str">
        <f t="shared" si="46"/>
        <v>2025-01</v>
      </c>
    </row>
    <row r="770" spans="1:7" x14ac:dyDescent="0.25">
      <c r="A770" s="31">
        <v>45684</v>
      </c>
      <c r="B770" s="32">
        <v>58928.155517578103</v>
      </c>
      <c r="C770" s="33">
        <f t="shared" si="47"/>
        <v>-1.4145458332823102E-2</v>
      </c>
      <c r="D770" s="32">
        <f>MAX($B$2:B770)</f>
        <v>59948.681640625</v>
      </c>
      <c r="E770" s="34">
        <f t="shared" ref="E770:E833" si="48">B770/D770-1</f>
        <v>-1.7023328872595611E-2</v>
      </c>
      <c r="F770" s="35">
        <f t="shared" ref="F770:F833" si="49">B770/$B$2*100</f>
        <v>131.10107210567162</v>
      </c>
      <c r="G770" s="36" t="str">
        <f t="shared" ref="G770:G833" si="50">TEXT(A770,"YYYY-MM")</f>
        <v>2025-01</v>
      </c>
    </row>
    <row r="771" spans="1:7" x14ac:dyDescent="0.25">
      <c r="A771" s="37">
        <v>45685</v>
      </c>
      <c r="B771" s="38">
        <v>59434.4970703125</v>
      </c>
      <c r="C771" s="39">
        <f t="shared" ref="C771:C834" si="51">B771/B770-1</f>
        <v>8.5925233580976812E-3</v>
      </c>
      <c r="D771" s="38">
        <f>MAX($B$2:B771)</f>
        <v>59948.681640625</v>
      </c>
      <c r="E771" s="40">
        <f t="shared" si="48"/>
        <v>-8.5770788654684349E-3</v>
      </c>
      <c r="F771" s="41">
        <f t="shared" si="49"/>
        <v>132.22756113001125</v>
      </c>
      <c r="G771" s="42" t="str">
        <f t="shared" si="50"/>
        <v>2025-01</v>
      </c>
    </row>
    <row r="772" spans="1:7" x14ac:dyDescent="0.25">
      <c r="A772" s="31">
        <v>45686</v>
      </c>
      <c r="B772" s="32">
        <v>59168.048095703103</v>
      </c>
      <c r="C772" s="33">
        <f t="shared" si="51"/>
        <v>-4.4830693914037489E-3</v>
      </c>
      <c r="D772" s="32">
        <f>MAX($B$2:B772)</f>
        <v>59948.681640625</v>
      </c>
      <c r="E772" s="34">
        <f t="shared" si="48"/>
        <v>-1.3021696617142808E-2</v>
      </c>
      <c r="F772" s="35">
        <f t="shared" si="49"/>
        <v>131.63477579800931</v>
      </c>
      <c r="G772" s="36" t="str">
        <f t="shared" si="50"/>
        <v>2025-01</v>
      </c>
    </row>
    <row r="773" spans="1:7" x14ac:dyDescent="0.25">
      <c r="A773" s="37">
        <v>45687</v>
      </c>
      <c r="B773" s="38">
        <v>59485.614013671897</v>
      </c>
      <c r="C773" s="39">
        <f t="shared" si="51"/>
        <v>5.3671859760378027E-3</v>
      </c>
      <c r="D773" s="38">
        <f>MAX($B$2:B773)</f>
        <v>59948.681640625</v>
      </c>
      <c r="E773" s="40">
        <f t="shared" si="48"/>
        <v>-7.7244005085725931E-3</v>
      </c>
      <c r="F773" s="41">
        <f t="shared" si="49"/>
        <v>132.34128412063126</v>
      </c>
      <c r="G773" s="42" t="str">
        <f t="shared" si="50"/>
        <v>2025-01</v>
      </c>
    </row>
    <row r="774" spans="1:7" x14ac:dyDescent="0.25">
      <c r="A774" s="31">
        <v>45688</v>
      </c>
      <c r="B774" s="32">
        <v>59169.030761718786</v>
      </c>
      <c r="C774" s="33">
        <f t="shared" si="51"/>
        <v>-5.3220136868781243E-3</v>
      </c>
      <c r="D774" s="32">
        <f>MAX($B$2:B774)</f>
        <v>59948.681640625</v>
      </c>
      <c r="E774" s="34">
        <f t="shared" si="48"/>
        <v>-1.300530483022122E-2</v>
      </c>
      <c r="F774" s="35">
        <f t="shared" si="49"/>
        <v>131.63696199520226</v>
      </c>
      <c r="G774" s="36" t="str">
        <f t="shared" si="50"/>
        <v>2025-01</v>
      </c>
    </row>
    <row r="775" spans="1:7" x14ac:dyDescent="0.25">
      <c r="A775" s="37">
        <v>45691</v>
      </c>
      <c r="B775" s="38">
        <v>58770.849609375</v>
      </c>
      <c r="C775" s="39">
        <f t="shared" si="51"/>
        <v>-6.7295534034910176E-3</v>
      </c>
      <c r="D775" s="38">
        <f>MAX($B$2:B775)</f>
        <v>59948.681640625</v>
      </c>
      <c r="E775" s="40">
        <f t="shared" si="48"/>
        <v>-1.9647338340328502E-2</v>
      </c>
      <c r="F775" s="41">
        <f t="shared" si="49"/>
        <v>130.75110402958222</v>
      </c>
      <c r="G775" s="42" t="str">
        <f t="shared" si="50"/>
        <v>2025-02</v>
      </c>
    </row>
    <row r="776" spans="1:7" x14ac:dyDescent="0.25">
      <c r="A776" s="31">
        <v>45692</v>
      </c>
      <c r="B776" s="32">
        <v>59165.106201171897</v>
      </c>
      <c r="C776" s="33">
        <f t="shared" si="51"/>
        <v>6.7083697856564761E-3</v>
      </c>
      <c r="D776" s="32">
        <f>MAX($B$2:B776)</f>
        <v>59948.681640625</v>
      </c>
      <c r="E776" s="34">
        <f t="shared" si="48"/>
        <v>-1.3070770165562795E-2</v>
      </c>
      <c r="F776" s="35">
        <f t="shared" si="49"/>
        <v>131.6282307852955</v>
      </c>
      <c r="G776" s="36" t="str">
        <f t="shared" si="50"/>
        <v>2025-02</v>
      </c>
    </row>
    <row r="777" spans="1:7" x14ac:dyDescent="0.25">
      <c r="A777" s="37">
        <v>45693</v>
      </c>
      <c r="B777" s="38">
        <v>59404.992675781286</v>
      </c>
      <c r="C777" s="39">
        <f t="shared" si="51"/>
        <v>4.054526223509658E-3</v>
      </c>
      <c r="D777" s="38">
        <f>MAX($B$2:B777)</f>
        <v>59948.681640625</v>
      </c>
      <c r="E777" s="40">
        <f t="shared" si="48"/>
        <v>-9.0692397224507726E-3</v>
      </c>
      <c r="F777" s="41">
        <f t="shared" si="49"/>
        <v>132.16192089876867</v>
      </c>
      <c r="G777" s="42" t="str">
        <f t="shared" si="50"/>
        <v>2025-02</v>
      </c>
    </row>
    <row r="778" spans="1:7" x14ac:dyDescent="0.25">
      <c r="A778" s="31">
        <v>45694</v>
      </c>
      <c r="B778" s="32">
        <v>59611.462402343786</v>
      </c>
      <c r="C778" s="33">
        <f t="shared" si="51"/>
        <v>3.4756291897781733E-3</v>
      </c>
      <c r="D778" s="32">
        <f>MAX($B$2:B778)</f>
        <v>59948.681640625</v>
      </c>
      <c r="E778" s="34">
        <f t="shared" si="48"/>
        <v>-5.6251318469811018E-3</v>
      </c>
      <c r="F778" s="35">
        <f t="shared" si="49"/>
        <v>132.62126672882161</v>
      </c>
      <c r="G778" s="36" t="str">
        <f t="shared" si="50"/>
        <v>2025-02</v>
      </c>
    </row>
    <row r="779" spans="1:7" x14ac:dyDescent="0.25">
      <c r="A779" s="37">
        <v>45695</v>
      </c>
      <c r="B779" s="38">
        <v>59065.808105468786</v>
      </c>
      <c r="C779" s="39">
        <f t="shared" si="51"/>
        <v>-9.153513013858694E-3</v>
      </c>
      <c r="D779" s="38">
        <f>MAX($B$2:B779)</f>
        <v>59948.681640625</v>
      </c>
      <c r="E779" s="40">
        <f t="shared" si="48"/>
        <v>-1.4727155143273829E-2</v>
      </c>
      <c r="F779" s="41">
        <f t="shared" si="49"/>
        <v>131.40731623790489</v>
      </c>
      <c r="G779" s="42" t="str">
        <f t="shared" si="50"/>
        <v>2025-02</v>
      </c>
    </row>
    <row r="780" spans="1:7" x14ac:dyDescent="0.25">
      <c r="A780" s="31">
        <v>45698</v>
      </c>
      <c r="B780" s="32">
        <v>59466.931152343786</v>
      </c>
      <c r="C780" s="33">
        <f t="shared" si="51"/>
        <v>6.7911209503601633E-3</v>
      </c>
      <c r="D780" s="32">
        <f>MAX($B$2:B780)</f>
        <v>59948.681640625</v>
      </c>
      <c r="E780" s="34">
        <f t="shared" si="48"/>
        <v>-8.0360480847463389E-3</v>
      </c>
      <c r="F780" s="35">
        <f t="shared" si="49"/>
        <v>132.29971921623874</v>
      </c>
      <c r="G780" s="36" t="str">
        <f t="shared" si="50"/>
        <v>2025-02</v>
      </c>
    </row>
    <row r="781" spans="1:7" x14ac:dyDescent="0.25">
      <c r="A781" s="37">
        <v>45699</v>
      </c>
      <c r="B781" s="38">
        <v>59512.164306640603</v>
      </c>
      <c r="C781" s="39">
        <f t="shared" si="51"/>
        <v>7.6064383044993633E-4</v>
      </c>
      <c r="D781" s="38">
        <f>MAX($B$2:B781)</f>
        <v>59948.681640625</v>
      </c>
      <c r="E781" s="40">
        <f t="shared" si="48"/>
        <v>-7.281516824693357E-3</v>
      </c>
      <c r="F781" s="41">
        <f t="shared" si="49"/>
        <v>132.4003521814308</v>
      </c>
      <c r="G781" s="42" t="str">
        <f t="shared" si="50"/>
        <v>2025-02</v>
      </c>
    </row>
    <row r="782" spans="1:7" x14ac:dyDescent="0.25">
      <c r="A782" s="31">
        <v>45700</v>
      </c>
      <c r="B782" s="32">
        <v>59320.446777343786</v>
      </c>
      <c r="C782" s="33">
        <f t="shared" si="51"/>
        <v>-3.2214847423289728E-3</v>
      </c>
      <c r="D782" s="32">
        <f>MAX($B$2:B782)</f>
        <v>59948.681640625</v>
      </c>
      <c r="E782" s="34">
        <f t="shared" si="48"/>
        <v>-1.0479544271670527E-2</v>
      </c>
      <c r="F782" s="35">
        <f t="shared" si="49"/>
        <v>131.97382646699936</v>
      </c>
      <c r="G782" s="36" t="str">
        <f t="shared" si="50"/>
        <v>2025-02</v>
      </c>
    </row>
    <row r="783" spans="1:7" x14ac:dyDescent="0.25">
      <c r="A783" s="37">
        <v>45701</v>
      </c>
      <c r="B783" s="38">
        <v>59946.716308593786</v>
      </c>
      <c r="C783" s="39">
        <f t="shared" si="51"/>
        <v>1.0557397411396385E-2</v>
      </c>
      <c r="D783" s="38">
        <f>MAX($B$2:B783)</f>
        <v>59948.681640625</v>
      </c>
      <c r="E783" s="40">
        <f t="shared" si="48"/>
        <v>-3.278357384062236E-5</v>
      </c>
      <c r="F783" s="41">
        <f t="shared" si="49"/>
        <v>133.36712660091413</v>
      </c>
      <c r="G783" s="42" t="str">
        <f t="shared" si="50"/>
        <v>2025-02</v>
      </c>
    </row>
    <row r="784" spans="1:7" x14ac:dyDescent="0.25">
      <c r="A784" s="31">
        <v>45702</v>
      </c>
      <c r="B784" s="32">
        <v>59943.768310546897</v>
      </c>
      <c r="C784" s="33">
        <f t="shared" si="51"/>
        <v>-4.9176972959030785E-5</v>
      </c>
      <c r="D784" s="32">
        <f>MAX($B$2:B784)</f>
        <v>59948.681640625</v>
      </c>
      <c r="E784" s="34">
        <f t="shared" si="48"/>
        <v>-8.1958934602721634E-5</v>
      </c>
      <c r="F784" s="35">
        <f t="shared" si="49"/>
        <v>133.36056800933565</v>
      </c>
      <c r="G784" s="36" t="str">
        <f t="shared" si="50"/>
        <v>2025-02</v>
      </c>
    </row>
    <row r="785" spans="1:7" x14ac:dyDescent="0.25">
      <c r="A785" s="37">
        <v>45706</v>
      </c>
      <c r="B785" s="38">
        <v>60119.763183593786</v>
      </c>
      <c r="C785" s="39">
        <f t="shared" si="51"/>
        <v>2.9359994876385631E-3</v>
      </c>
      <c r="D785" s="38">
        <f>MAX($B$2:B785)</f>
        <v>60119.763183593786</v>
      </c>
      <c r="E785" s="40">
        <f t="shared" si="48"/>
        <v>0</v>
      </c>
      <c r="F785" s="41">
        <f t="shared" si="49"/>
        <v>133.75211456868223</v>
      </c>
      <c r="G785" s="42" t="str">
        <f t="shared" si="50"/>
        <v>2025-02</v>
      </c>
    </row>
    <row r="786" spans="1:7" x14ac:dyDescent="0.25">
      <c r="A786" s="31">
        <v>45707</v>
      </c>
      <c r="B786" s="32">
        <v>60261.340332031286</v>
      </c>
      <c r="C786" s="33">
        <f t="shared" si="51"/>
        <v>2.3549185981512899E-3</v>
      </c>
      <c r="D786" s="32">
        <f>MAX($B$2:B786)</f>
        <v>60261.340332031286</v>
      </c>
      <c r="E786" s="34">
        <f t="shared" si="48"/>
        <v>0</v>
      </c>
      <c r="F786" s="35">
        <f t="shared" si="49"/>
        <v>134.06708991082209</v>
      </c>
      <c r="G786" s="36" t="str">
        <f t="shared" si="50"/>
        <v>2025-02</v>
      </c>
    </row>
    <row r="787" spans="1:7" x14ac:dyDescent="0.25">
      <c r="A787" s="37">
        <v>45708</v>
      </c>
      <c r="B787" s="38">
        <v>60010.626220703103</v>
      </c>
      <c r="C787" s="39">
        <f t="shared" si="51"/>
        <v>-4.1604469788887322E-3</v>
      </c>
      <c r="D787" s="38">
        <f>MAX($B$2:B787)</f>
        <v>60261.340332031286</v>
      </c>
      <c r="E787" s="40">
        <f t="shared" si="48"/>
        <v>-4.1604469788887322E-3</v>
      </c>
      <c r="F787" s="41">
        <f t="shared" si="49"/>
        <v>133.50931089163421</v>
      </c>
      <c r="G787" s="42" t="str">
        <f t="shared" si="50"/>
        <v>2025-02</v>
      </c>
    </row>
    <row r="788" spans="1:7" x14ac:dyDescent="0.25">
      <c r="A788" s="31">
        <v>45709</v>
      </c>
      <c r="B788" s="32">
        <v>58984.197998046897</v>
      </c>
      <c r="C788" s="33">
        <f t="shared" si="51"/>
        <v>-1.7104107843855409E-2</v>
      </c>
      <c r="D788" s="32">
        <f>MAX($B$2:B788)</f>
        <v>60261.340332031286</v>
      </c>
      <c r="E788" s="34">
        <f t="shared" si="48"/>
        <v>-2.1193394088938611E-2</v>
      </c>
      <c r="F788" s="35">
        <f t="shared" si="49"/>
        <v>131.22575323998487</v>
      </c>
      <c r="G788" s="36" t="str">
        <f t="shared" si="50"/>
        <v>2025-02</v>
      </c>
    </row>
    <row r="789" spans="1:7" x14ac:dyDescent="0.25">
      <c r="A789" s="37">
        <v>45712</v>
      </c>
      <c r="B789" s="38">
        <v>58715.789794921897</v>
      </c>
      <c r="C789" s="39">
        <f t="shared" si="51"/>
        <v>-4.5505103440397487E-3</v>
      </c>
      <c r="D789" s="38">
        <f>MAX($B$2:B789)</f>
        <v>60261.340332031286</v>
      </c>
      <c r="E789" s="40">
        <f t="shared" si="48"/>
        <v>-2.5647463673951321E-2</v>
      </c>
      <c r="F789" s="41">
        <f t="shared" si="49"/>
        <v>130.62860909246191</v>
      </c>
      <c r="G789" s="42" t="str">
        <f t="shared" si="50"/>
        <v>2025-02</v>
      </c>
    </row>
    <row r="790" spans="1:7" x14ac:dyDescent="0.25">
      <c r="A790" s="31">
        <v>45713</v>
      </c>
      <c r="B790" s="32">
        <v>58423.797607421897</v>
      </c>
      <c r="C790" s="33">
        <f t="shared" si="51"/>
        <v>-4.9729755576796153E-3</v>
      </c>
      <c r="D790" s="32">
        <f>MAX($B$2:B790)</f>
        <v>60261.340332031286</v>
      </c>
      <c r="E790" s="34">
        <f t="shared" si="48"/>
        <v>-3.0492895021663857E-2</v>
      </c>
      <c r="F790" s="35">
        <f t="shared" si="49"/>
        <v>129.97899621231142</v>
      </c>
      <c r="G790" s="36" t="str">
        <f t="shared" si="50"/>
        <v>2025-02</v>
      </c>
    </row>
    <row r="791" spans="1:7" x14ac:dyDescent="0.25">
      <c r="A791" s="37">
        <v>45714</v>
      </c>
      <c r="B791" s="38">
        <v>58453.283691406286</v>
      </c>
      <c r="C791" s="39">
        <f t="shared" si="51"/>
        <v>5.0469303934197463E-4</v>
      </c>
      <c r="D791" s="38">
        <f>MAX($B$2:B791)</f>
        <v>60261.340332031286</v>
      </c>
      <c r="E791" s="40">
        <f t="shared" si="48"/>
        <v>-3.0003591534188745E-2</v>
      </c>
      <c r="F791" s="41">
        <f t="shared" si="49"/>
        <v>130.04459570696042</v>
      </c>
      <c r="G791" s="42" t="str">
        <f t="shared" si="50"/>
        <v>2025-02</v>
      </c>
    </row>
    <row r="792" spans="1:7" x14ac:dyDescent="0.25">
      <c r="A792" s="31">
        <v>45715</v>
      </c>
      <c r="B792" s="32">
        <v>57520.257568359397</v>
      </c>
      <c r="C792" s="33">
        <f t="shared" si="51"/>
        <v>-1.5961911190013445E-2</v>
      </c>
      <c r="D792" s="32">
        <f>MAX($B$2:B792)</f>
        <v>60261.340332031286</v>
      </c>
      <c r="E792" s="34">
        <f t="shared" si="48"/>
        <v>-4.5486588060752009E-2</v>
      </c>
      <c r="F792" s="35">
        <f t="shared" si="49"/>
        <v>127.96883541954472</v>
      </c>
      <c r="G792" s="36" t="str">
        <f t="shared" si="50"/>
        <v>2025-02</v>
      </c>
    </row>
    <row r="793" spans="1:7" x14ac:dyDescent="0.25">
      <c r="A793" s="37">
        <v>45716</v>
      </c>
      <c r="B793" s="38">
        <v>58417.901611328103</v>
      </c>
      <c r="C793" s="39">
        <f t="shared" si="51"/>
        <v>1.5605702771791519E-2</v>
      </c>
      <c r="D793" s="38">
        <f>MAX($B$2:B793)</f>
        <v>60261.340332031286</v>
      </c>
      <c r="E793" s="40">
        <f t="shared" si="48"/>
        <v>-3.0590735462339591E-2</v>
      </c>
      <c r="F793" s="41">
        <f t="shared" si="49"/>
        <v>129.96587902915445</v>
      </c>
      <c r="G793" s="42" t="str">
        <f t="shared" si="50"/>
        <v>2025-02</v>
      </c>
    </row>
    <row r="794" spans="1:7" x14ac:dyDescent="0.25">
      <c r="A794" s="31">
        <v>45719</v>
      </c>
      <c r="B794" s="32">
        <v>57394.4091796875</v>
      </c>
      <c r="C794" s="33">
        <f t="shared" si="51"/>
        <v>-1.7520184796266824E-2</v>
      </c>
      <c r="D794" s="32">
        <f>MAX($B$2:B794)</f>
        <v>60261.340332031286</v>
      </c>
      <c r="E794" s="34">
        <f t="shared" si="48"/>
        <v>-4.7574964920252483E-2</v>
      </c>
      <c r="F794" s="35">
        <f t="shared" si="49"/>
        <v>127.68885281135441</v>
      </c>
      <c r="G794" s="36" t="str">
        <f t="shared" si="50"/>
        <v>2025-03</v>
      </c>
    </row>
    <row r="795" spans="1:7" x14ac:dyDescent="0.25">
      <c r="A795" s="37">
        <v>45720</v>
      </c>
      <c r="B795" s="38">
        <v>56715.045166015603</v>
      </c>
      <c r="C795" s="39">
        <f t="shared" si="51"/>
        <v>-1.1836762907428411E-2</v>
      </c>
      <c r="D795" s="38">
        <f>MAX($B$2:B795)</f>
        <v>60261.340332031286</v>
      </c>
      <c r="E795" s="40">
        <f t="shared" si="48"/>
        <v>-5.8848594247590702E-2</v>
      </c>
      <c r="F795" s="41">
        <f t="shared" si="49"/>
        <v>126.17743013470486</v>
      </c>
      <c r="G795" s="42" t="str">
        <f t="shared" si="50"/>
        <v>2025-03</v>
      </c>
    </row>
    <row r="796" spans="1:7" x14ac:dyDescent="0.25">
      <c r="A796" s="31">
        <v>45721</v>
      </c>
      <c r="B796" s="32">
        <v>57324.609375</v>
      </c>
      <c r="C796" s="33">
        <f t="shared" si="51"/>
        <v>1.0747839611166432E-2</v>
      </c>
      <c r="D796" s="32">
        <f>MAX($B$2:B796)</f>
        <v>60261.340332031286</v>
      </c>
      <c r="E796" s="34">
        <f t="shared" si="48"/>
        <v>-4.8733249888739949E-2</v>
      </c>
      <c r="F796" s="35">
        <f t="shared" si="49"/>
        <v>127.53356491634182</v>
      </c>
      <c r="G796" s="36" t="str">
        <f t="shared" si="50"/>
        <v>2025-03</v>
      </c>
    </row>
    <row r="797" spans="1:7" x14ac:dyDescent="0.25">
      <c r="A797" s="37">
        <v>45722</v>
      </c>
      <c r="B797" s="38">
        <v>56307.03125</v>
      </c>
      <c r="C797" s="39">
        <f t="shared" si="51"/>
        <v>-1.775115672124894E-2</v>
      </c>
      <c r="D797" s="38">
        <f>MAX($B$2:B797)</f>
        <v>60261.340332031286</v>
      </c>
      <c r="E797" s="40">
        <f t="shared" si="48"/>
        <v>-6.5619335053678118E-2</v>
      </c>
      <c r="F797" s="41">
        <f t="shared" si="49"/>
        <v>125.26969661829229</v>
      </c>
      <c r="G797" s="42" t="str">
        <f t="shared" si="50"/>
        <v>2025-03</v>
      </c>
    </row>
    <row r="798" spans="1:7" x14ac:dyDescent="0.25">
      <c r="A798" s="31">
        <v>45723</v>
      </c>
      <c r="B798" s="32">
        <v>56622.625732421897</v>
      </c>
      <c r="C798" s="33">
        <f t="shared" si="51"/>
        <v>5.6048858449075922E-3</v>
      </c>
      <c r="D798" s="32">
        <f>MAX($B$2:B798)</f>
        <v>60261.340332031286</v>
      </c>
      <c r="E798" s="34">
        <f t="shared" si="48"/>
        <v>-6.0382238090965101E-2</v>
      </c>
      <c r="F798" s="35">
        <f t="shared" si="49"/>
        <v>125.97181896766401</v>
      </c>
      <c r="G798" s="36" t="str">
        <f t="shared" si="50"/>
        <v>2025-03</v>
      </c>
    </row>
    <row r="799" spans="1:7" x14ac:dyDescent="0.25">
      <c r="A799" s="37">
        <v>45726</v>
      </c>
      <c r="B799" s="38">
        <v>55114.453125</v>
      </c>
      <c r="C799" s="39">
        <f t="shared" si="51"/>
        <v>-2.663551165127831E-2</v>
      </c>
      <c r="D799" s="38">
        <f>MAX($B$2:B799)</f>
        <v>60261.340332031286</v>
      </c>
      <c r="E799" s="40">
        <f t="shared" si="48"/>
        <v>-8.5409437936041277E-2</v>
      </c>
      <c r="F799" s="41">
        <f t="shared" si="49"/>
        <v>122.61649511581807</v>
      </c>
      <c r="G799" s="42" t="str">
        <f t="shared" si="50"/>
        <v>2025-03</v>
      </c>
    </row>
    <row r="800" spans="1:7" x14ac:dyDescent="0.25">
      <c r="A800" s="31">
        <v>45727</v>
      </c>
      <c r="B800" s="32">
        <v>54656.280517578103</v>
      </c>
      <c r="C800" s="33">
        <f t="shared" si="51"/>
        <v>-8.3131117419010803E-3</v>
      </c>
      <c r="D800" s="32">
        <f>MAX($B$2:B800)</f>
        <v>60261.340332031286</v>
      </c>
      <c r="E800" s="34">
        <f t="shared" si="48"/>
        <v>-9.3012531476567073E-2</v>
      </c>
      <c r="F800" s="35">
        <f t="shared" si="49"/>
        <v>121.59717049051999</v>
      </c>
      <c r="G800" s="36" t="str">
        <f t="shared" si="50"/>
        <v>2025-03</v>
      </c>
    </row>
    <row r="801" spans="1:7" x14ac:dyDescent="0.25">
      <c r="A801" s="37">
        <v>45728</v>
      </c>
      <c r="B801" s="38">
        <v>54946.325683593786</v>
      </c>
      <c r="C801" s="39">
        <f t="shared" si="51"/>
        <v>5.3067124815124878E-3</v>
      </c>
      <c r="D801" s="38">
        <f>MAX($B$2:B801)</f>
        <v>60261.340332031286</v>
      </c>
      <c r="E801" s="40">
        <f t="shared" si="48"/>
        <v>-8.8199409756778313E-2</v>
      </c>
      <c r="F801" s="41">
        <f t="shared" si="49"/>
        <v>122.24245171287866</v>
      </c>
      <c r="G801" s="42" t="str">
        <f t="shared" si="50"/>
        <v>2025-03</v>
      </c>
    </row>
    <row r="802" spans="1:7" x14ac:dyDescent="0.25">
      <c r="A802" s="31">
        <v>45729</v>
      </c>
      <c r="B802" s="32">
        <v>54213.861083984397</v>
      </c>
      <c r="C802" s="33">
        <f t="shared" si="51"/>
        <v>-1.3330547411436688E-2</v>
      </c>
      <c r="D802" s="32">
        <f>MAX($B$2:B802)</f>
        <v>60261.340332031286</v>
      </c>
      <c r="E802" s="34">
        <f t="shared" si="48"/>
        <v>-0.10035421075479156</v>
      </c>
      <c r="F802" s="35">
        <f t="shared" si="49"/>
        <v>120.61289291462987</v>
      </c>
      <c r="G802" s="36" t="str">
        <f t="shared" si="50"/>
        <v>2025-03</v>
      </c>
    </row>
    <row r="803" spans="1:7" x14ac:dyDescent="0.25">
      <c r="A803" s="37">
        <v>45730</v>
      </c>
      <c r="B803" s="38">
        <v>55333.697509765603</v>
      </c>
      <c r="C803" s="39">
        <f t="shared" si="51"/>
        <v>2.0655906135267355E-2</v>
      </c>
      <c r="D803" s="38">
        <f>MAX($B$2:B803)</f>
        <v>60261.340332031286</v>
      </c>
      <c r="E803" s="40">
        <f t="shared" si="48"/>
        <v>-8.1771211777154074E-2</v>
      </c>
      <c r="F803" s="41">
        <f t="shared" si="49"/>
        <v>123.10426150937752</v>
      </c>
      <c r="G803" s="42" t="str">
        <f t="shared" si="50"/>
        <v>2025-03</v>
      </c>
    </row>
    <row r="804" spans="1:7" x14ac:dyDescent="0.25">
      <c r="A804" s="31">
        <v>45733</v>
      </c>
      <c r="B804" s="32">
        <v>55760.388183593786</v>
      </c>
      <c r="C804" s="33">
        <f t="shared" si="51"/>
        <v>7.7112264864078739E-3</v>
      </c>
      <c r="D804" s="32">
        <f>MAX($B$2:B804)</f>
        <v>60261.340332031286</v>
      </c>
      <c r="E804" s="34">
        <f t="shared" si="48"/>
        <v>-7.46905416248278E-2</v>
      </c>
      <c r="F804" s="35">
        <f t="shared" si="49"/>
        <v>124.05354635131829</v>
      </c>
      <c r="G804" s="36" t="str">
        <f t="shared" si="50"/>
        <v>2025-03</v>
      </c>
    </row>
    <row r="805" spans="1:7" x14ac:dyDescent="0.25">
      <c r="A805" s="37">
        <v>45734</v>
      </c>
      <c r="B805" s="38">
        <v>55157.708740234397</v>
      </c>
      <c r="C805" s="39">
        <f t="shared" si="51"/>
        <v>-1.0808379622018416E-2</v>
      </c>
      <c r="D805" s="38">
        <f>MAX($B$2:B805)</f>
        <v>60261.340332031286</v>
      </c>
      <c r="E805" s="40">
        <f t="shared" si="48"/>
        <v>-8.4691637518790941E-2</v>
      </c>
      <c r="F805" s="41">
        <f t="shared" si="49"/>
        <v>122.71272852889558</v>
      </c>
      <c r="G805" s="42" t="str">
        <f t="shared" si="50"/>
        <v>2025-03</v>
      </c>
    </row>
    <row r="806" spans="1:7" x14ac:dyDescent="0.25">
      <c r="A806" s="31">
        <v>45735</v>
      </c>
      <c r="B806" s="32">
        <v>55758.4228515625</v>
      </c>
      <c r="C806" s="33">
        <f t="shared" si="51"/>
        <v>1.089084599502077E-2</v>
      </c>
      <c r="D806" s="32">
        <f>MAX($B$2:B806)</f>
        <v>60261.340332031286</v>
      </c>
      <c r="E806" s="34">
        <f t="shared" si="48"/>
        <v>-7.4723155105053451E-2</v>
      </c>
      <c r="F806" s="35">
        <f t="shared" si="49"/>
        <v>124.04917395693258</v>
      </c>
      <c r="G806" s="36" t="str">
        <f t="shared" si="50"/>
        <v>2025-03</v>
      </c>
    </row>
    <row r="807" spans="1:7" x14ac:dyDescent="0.25">
      <c r="A807" s="37">
        <v>45736</v>
      </c>
      <c r="B807" s="38">
        <v>55597.186279296897</v>
      </c>
      <c r="C807" s="39">
        <f t="shared" si="51"/>
        <v>-2.8916989401733817E-3</v>
      </c>
      <c r="D807" s="38">
        <f>MAX($B$2:B807)</f>
        <v>60261.340332031286</v>
      </c>
      <c r="E807" s="40">
        <f t="shared" si="48"/>
        <v>-7.7398777176803102E-2</v>
      </c>
      <c r="F807" s="41">
        <f t="shared" si="49"/>
        <v>123.69046109207193</v>
      </c>
      <c r="G807" s="42" t="str">
        <f t="shared" si="50"/>
        <v>2025-03</v>
      </c>
    </row>
    <row r="808" spans="1:7" x14ac:dyDescent="0.25">
      <c r="A808" s="31">
        <v>45737</v>
      </c>
      <c r="B808" s="32">
        <v>55615.52734375</v>
      </c>
      <c r="C808" s="33">
        <f t="shared" si="51"/>
        <v>3.2989195462107546E-4</v>
      </c>
      <c r="D808" s="32">
        <f>MAX($B$2:B808)</f>
        <v>60261.340332031286</v>
      </c>
      <c r="E808" s="34">
        <f t="shared" si="48"/>
        <v>-7.7094418456070346E-2</v>
      </c>
      <c r="F808" s="35">
        <f t="shared" si="49"/>
        <v>123.73126558004957</v>
      </c>
      <c r="G808" s="36" t="str">
        <f t="shared" si="50"/>
        <v>2025-03</v>
      </c>
    </row>
    <row r="809" spans="1:7" x14ac:dyDescent="0.25">
      <c r="A809" s="37">
        <v>45740</v>
      </c>
      <c r="B809" s="38">
        <v>56611.5234375</v>
      </c>
      <c r="C809" s="39">
        <f t="shared" si="51"/>
        <v>1.7908597496413492E-2</v>
      </c>
      <c r="D809" s="38">
        <f>MAX($B$2:B809)</f>
        <v>60261.340332031286</v>
      </c>
      <c r="E809" s="40">
        <f t="shared" si="48"/>
        <v>-6.0566473869006598E-2</v>
      </c>
      <c r="F809" s="41">
        <f t="shared" si="49"/>
        <v>125.94711901304454</v>
      </c>
      <c r="G809" s="42" t="str">
        <f t="shared" si="50"/>
        <v>2025-03</v>
      </c>
    </row>
    <row r="810" spans="1:7" x14ac:dyDescent="0.25">
      <c r="A810" s="31">
        <v>45741</v>
      </c>
      <c r="B810" s="32">
        <v>56747.595214843786</v>
      </c>
      <c r="C810" s="33">
        <f t="shared" si="51"/>
        <v>2.4036056456600008E-3</v>
      </c>
      <c r="D810" s="32">
        <f>MAX($B$2:B810)</f>
        <v>60261.340332031286</v>
      </c>
      <c r="E810" s="34">
        <f t="shared" si="48"/>
        <v>-5.8308446141875914E-2</v>
      </c>
      <c r="F810" s="35">
        <f t="shared" si="49"/>
        <v>126.24984621935889</v>
      </c>
      <c r="G810" s="36" t="str">
        <f t="shared" si="50"/>
        <v>2025-03</v>
      </c>
    </row>
    <row r="811" spans="1:7" x14ac:dyDescent="0.25">
      <c r="A811" s="37">
        <v>45742</v>
      </c>
      <c r="B811" s="38">
        <v>56070.135498046897</v>
      </c>
      <c r="C811" s="39">
        <f t="shared" si="51"/>
        <v>-1.1938122033754217E-2</v>
      </c>
      <c r="D811" s="38">
        <f>MAX($B$2:B811)</f>
        <v>60261.340332031286</v>
      </c>
      <c r="E811" s="40">
        <f t="shared" si="48"/>
        <v>-6.9550474829989772E-2</v>
      </c>
      <c r="F811" s="41">
        <f t="shared" si="49"/>
        <v>124.74266014844947</v>
      </c>
      <c r="G811" s="42" t="str">
        <f t="shared" si="50"/>
        <v>2025-03</v>
      </c>
    </row>
    <row r="812" spans="1:7" x14ac:dyDescent="0.25">
      <c r="A812" s="31">
        <v>45743</v>
      </c>
      <c r="B812" s="32">
        <v>55921.234130859397</v>
      </c>
      <c r="C812" s="33">
        <f t="shared" si="51"/>
        <v>-2.6556270261320902E-3</v>
      </c>
      <c r="D812" s="32">
        <f>MAX($B$2:B812)</f>
        <v>60261.340332031286</v>
      </c>
      <c r="E812" s="34">
        <f t="shared" si="48"/>
        <v>-7.2021401735482993E-2</v>
      </c>
      <c r="F812" s="35">
        <f t="shared" si="49"/>
        <v>124.41139016884766</v>
      </c>
      <c r="G812" s="36" t="str">
        <f t="shared" si="50"/>
        <v>2025-03</v>
      </c>
    </row>
    <row r="813" spans="1:7" x14ac:dyDescent="0.25">
      <c r="A813" s="37">
        <v>45744</v>
      </c>
      <c r="B813" s="38">
        <v>54795.068359375</v>
      </c>
      <c r="C813" s="39">
        <f t="shared" si="51"/>
        <v>-2.013842843398439E-2</v>
      </c>
      <c r="D813" s="38">
        <f>MAX($B$2:B813)</f>
        <v>60261.340332031286</v>
      </c>
      <c r="E813" s="40">
        <f t="shared" si="48"/>
        <v>-9.0709432324902139E-2</v>
      </c>
      <c r="F813" s="41">
        <f t="shared" si="49"/>
        <v>121.90594029155982</v>
      </c>
      <c r="G813" s="42" t="str">
        <f t="shared" si="50"/>
        <v>2025-03</v>
      </c>
    </row>
    <row r="814" spans="1:7" x14ac:dyDescent="0.25">
      <c r="A814" s="31">
        <v>45747</v>
      </c>
      <c r="B814" s="32">
        <v>55162.896728515603</v>
      </c>
      <c r="C814" s="33">
        <f t="shared" si="51"/>
        <v>6.7128006251984118E-3</v>
      </c>
      <c r="D814" s="32">
        <f>MAX($B$2:B814)</f>
        <v>60261.340332031286</v>
      </c>
      <c r="E814" s="34">
        <f t="shared" si="48"/>
        <v>-8.460554603372572E-2</v>
      </c>
      <c r="F814" s="35">
        <f t="shared" si="49"/>
        <v>122.72427056376441</v>
      </c>
      <c r="G814" s="36" t="str">
        <f t="shared" si="50"/>
        <v>2025-03</v>
      </c>
    </row>
    <row r="815" spans="1:7" x14ac:dyDescent="0.25">
      <c r="A815" s="37">
        <v>45748</v>
      </c>
      <c r="B815" s="38">
        <v>55318.701171875</v>
      </c>
      <c r="C815" s="39">
        <f t="shared" si="51"/>
        <v>2.824442743211808E-3</v>
      </c>
      <c r="D815" s="38">
        <f>MAX($B$2:B815)</f>
        <v>60261.340332031286</v>
      </c>
      <c r="E815" s="40">
        <f t="shared" si="48"/>
        <v>-8.2020066811044345E-2</v>
      </c>
      <c r="F815" s="41">
        <f t="shared" si="49"/>
        <v>123.07089823917418</v>
      </c>
      <c r="G815" s="42" t="str">
        <f t="shared" si="50"/>
        <v>2025-04</v>
      </c>
    </row>
    <row r="816" spans="1:7" x14ac:dyDescent="0.25">
      <c r="A816" s="31">
        <v>45749</v>
      </c>
      <c r="B816" s="32">
        <v>55668.780517578103</v>
      </c>
      <c r="C816" s="33">
        <f t="shared" si="51"/>
        <v>6.3284086265043005E-3</v>
      </c>
      <c r="D816" s="32">
        <f>MAX($B$2:B816)</f>
        <v>60261.340332031286</v>
      </c>
      <c r="E816" s="34">
        <f t="shared" si="48"/>
        <v>-7.6210714682893532E-2</v>
      </c>
      <c r="F816" s="35">
        <f t="shared" si="49"/>
        <v>123.8497411732626</v>
      </c>
      <c r="G816" s="36" t="str">
        <f t="shared" si="50"/>
        <v>2025-04</v>
      </c>
    </row>
    <row r="817" spans="1:7" x14ac:dyDescent="0.25">
      <c r="A817" s="37">
        <v>45750</v>
      </c>
      <c r="B817" s="38">
        <v>52925.378417968786</v>
      </c>
      <c r="C817" s="39">
        <f t="shared" si="51"/>
        <v>-4.9280801089994331E-2</v>
      </c>
      <c r="D817" s="38">
        <f>MAX($B$2:B817)</f>
        <v>60261.340332031286</v>
      </c>
      <c r="E817" s="40">
        <f t="shared" si="48"/>
        <v>-0.12173579070167384</v>
      </c>
      <c r="F817" s="41">
        <f t="shared" si="49"/>
        <v>117.74632671345574</v>
      </c>
      <c r="G817" s="42" t="str">
        <f t="shared" si="50"/>
        <v>2025-04</v>
      </c>
    </row>
    <row r="818" spans="1:7" x14ac:dyDescent="0.25">
      <c r="A818" s="31">
        <v>45751</v>
      </c>
      <c r="B818" s="32">
        <v>49826.968383789099</v>
      </c>
      <c r="C818" s="33">
        <f t="shared" si="51"/>
        <v>-5.8542992545287942E-2</v>
      </c>
      <c r="D818" s="32">
        <f>MAX($B$2:B818)</f>
        <v>60261.340332031286</v>
      </c>
      <c r="E818" s="34">
        <f t="shared" si="48"/>
        <v>-0.17315200575941891</v>
      </c>
      <c r="F818" s="35">
        <f t="shared" si="49"/>
        <v>110.85310438643489</v>
      </c>
      <c r="G818" s="36" t="str">
        <f t="shared" si="50"/>
        <v>2025-04</v>
      </c>
    </row>
    <row r="819" spans="1:7" x14ac:dyDescent="0.25">
      <c r="A819" s="37">
        <v>45754</v>
      </c>
      <c r="B819" s="38">
        <v>49738.220214843801</v>
      </c>
      <c r="C819" s="39">
        <f t="shared" si="51"/>
        <v>-1.7811272052861149E-3</v>
      </c>
      <c r="D819" s="38">
        <f>MAX($B$2:B819)</f>
        <v>60261.340332031286</v>
      </c>
      <c r="E819" s="40">
        <f t="shared" si="48"/>
        <v>-0.17462472721659716</v>
      </c>
      <c r="F819" s="41">
        <f t="shared" si="49"/>
        <v>110.65566090642179</v>
      </c>
      <c r="G819" s="42" t="str">
        <f t="shared" si="50"/>
        <v>2025-04</v>
      </c>
    </row>
    <row r="820" spans="1:7" x14ac:dyDescent="0.25">
      <c r="A820" s="31">
        <v>45755</v>
      </c>
      <c r="B820" s="32">
        <v>48959.176635742202</v>
      </c>
      <c r="C820" s="33">
        <f t="shared" si="51"/>
        <v>-1.5662876068675669E-2</v>
      </c>
      <c r="D820" s="32">
        <f>MAX($B$2:B820)</f>
        <v>60261.340332031286</v>
      </c>
      <c r="E820" s="34">
        <f t="shared" si="48"/>
        <v>-0.18755247782435291</v>
      </c>
      <c r="F820" s="35">
        <f t="shared" si="49"/>
        <v>108.9224750033471</v>
      </c>
      <c r="G820" s="36" t="str">
        <f t="shared" si="50"/>
        <v>2025-04</v>
      </c>
    </row>
    <row r="821" spans="1:7" x14ac:dyDescent="0.25">
      <c r="A821" s="37">
        <v>45756</v>
      </c>
      <c r="B821" s="38">
        <v>54100.842285156286</v>
      </c>
      <c r="C821" s="39">
        <f t="shared" si="51"/>
        <v>0.10501944686832121</v>
      </c>
      <c r="D821" s="38">
        <f>MAX($B$2:B821)</f>
        <v>60261.340332031286</v>
      </c>
      <c r="E821" s="40">
        <f t="shared" si="48"/>
        <v>-0.10222968843592828</v>
      </c>
      <c r="F821" s="41">
        <f t="shared" si="49"/>
        <v>120.36145307972717</v>
      </c>
      <c r="G821" s="42" t="str">
        <f t="shared" si="50"/>
        <v>2025-04</v>
      </c>
    </row>
    <row r="822" spans="1:7" x14ac:dyDescent="0.25">
      <c r="A822" s="31">
        <v>45757</v>
      </c>
      <c r="B822" s="32">
        <v>51730.187988281286</v>
      </c>
      <c r="C822" s="33">
        <f t="shared" si="51"/>
        <v>-4.3819175390647058E-2</v>
      </c>
      <c r="D822" s="32">
        <f>MAX($B$2:B822)</f>
        <v>60261.340332031286</v>
      </c>
      <c r="E822" s="34">
        <f t="shared" si="48"/>
        <v>-0.14156924317887032</v>
      </c>
      <c r="F822" s="35">
        <f t="shared" si="49"/>
        <v>115.08731345695347</v>
      </c>
      <c r="G822" s="36" t="str">
        <f t="shared" si="50"/>
        <v>2025-04</v>
      </c>
    </row>
    <row r="823" spans="1:7" x14ac:dyDescent="0.25">
      <c r="A823" s="37">
        <v>45758</v>
      </c>
      <c r="B823" s="38">
        <v>52653.1982421875</v>
      </c>
      <c r="C823" s="39">
        <f t="shared" si="51"/>
        <v>1.7842777878853022E-2</v>
      </c>
      <c r="D823" s="38">
        <f>MAX($B$2:B823)</f>
        <v>60261.340332031286</v>
      </c>
      <c r="E823" s="40">
        <f t="shared" si="48"/>
        <v>-0.12625245386053519</v>
      </c>
      <c r="F823" s="41">
        <f t="shared" si="49"/>
        <v>117.14079082763982</v>
      </c>
      <c r="G823" s="42" t="str">
        <f t="shared" si="50"/>
        <v>2025-04</v>
      </c>
    </row>
    <row r="824" spans="1:7" x14ac:dyDescent="0.25">
      <c r="A824" s="31">
        <v>45761</v>
      </c>
      <c r="B824" s="32">
        <v>53164.013671875</v>
      </c>
      <c r="C824" s="33">
        <f t="shared" si="51"/>
        <v>9.7015081085467525E-3</v>
      </c>
      <c r="D824" s="32">
        <f>MAX($B$2:B824)</f>
        <v>60261.340332031286</v>
      </c>
      <c r="E824" s="34">
        <f t="shared" si="48"/>
        <v>-0.11777578495684038</v>
      </c>
      <c r="F824" s="35">
        <f t="shared" si="49"/>
        <v>118.27723315969574</v>
      </c>
      <c r="G824" s="36" t="str">
        <f t="shared" si="50"/>
        <v>2025-04</v>
      </c>
    </row>
    <row r="825" spans="1:7" x14ac:dyDescent="0.25">
      <c r="A825" s="37">
        <v>45762</v>
      </c>
      <c r="B825" s="38">
        <v>53015.1123046875</v>
      </c>
      <c r="C825" s="39">
        <f t="shared" si="51"/>
        <v>-2.8007924327630995E-3</v>
      </c>
      <c r="D825" s="38">
        <f>MAX($B$2:B825)</f>
        <v>60261.340332031286</v>
      </c>
      <c r="E825" s="40">
        <f t="shared" si="48"/>
        <v>-0.1202467118623336</v>
      </c>
      <c r="F825" s="41">
        <f t="shared" si="49"/>
        <v>117.9459631800939</v>
      </c>
      <c r="G825" s="42" t="str">
        <f t="shared" si="50"/>
        <v>2025-04</v>
      </c>
    </row>
    <row r="826" spans="1:7" x14ac:dyDescent="0.25">
      <c r="A826" s="31">
        <v>45763</v>
      </c>
      <c r="B826" s="32">
        <v>51836.688232421897</v>
      </c>
      <c r="C826" s="33">
        <f t="shared" si="51"/>
        <v>-2.2228078391930639E-2</v>
      </c>
      <c r="D826" s="32">
        <f>MAX($B$2:B826)</f>
        <v>60261.340332031286</v>
      </c>
      <c r="E826" s="34">
        <f t="shared" si="48"/>
        <v>-0.13980193691661635</v>
      </c>
      <c r="F826" s="35">
        <f t="shared" si="49"/>
        <v>115.32425106451501</v>
      </c>
      <c r="G826" s="36" t="str">
        <f t="shared" si="50"/>
        <v>2025-04</v>
      </c>
    </row>
    <row r="827" spans="1:7" x14ac:dyDescent="0.25">
      <c r="A827" s="37">
        <v>45764</v>
      </c>
      <c r="B827" s="38">
        <v>51910.64453125</v>
      </c>
      <c r="C827" s="39">
        <f t="shared" si="51"/>
        <v>1.4267172797866046E-3</v>
      </c>
      <c r="D827" s="38">
        <f>MAX($B$2:B827)</f>
        <v>60261.340332031286</v>
      </c>
      <c r="E827" s="40">
        <f t="shared" si="48"/>
        <v>-0.1385746774759764</v>
      </c>
      <c r="F827" s="41">
        <f t="shared" si="49"/>
        <v>115.4887861662872</v>
      </c>
      <c r="G827" s="42" t="str">
        <f t="shared" si="50"/>
        <v>2025-04</v>
      </c>
    </row>
    <row r="828" spans="1:7" x14ac:dyDescent="0.25">
      <c r="A828" s="31">
        <v>45768</v>
      </c>
      <c r="B828" s="32">
        <v>50675.036621093801</v>
      </c>
      <c r="C828" s="33">
        <f t="shared" si="51"/>
        <v>-2.3802592345243734E-2</v>
      </c>
      <c r="D828" s="32">
        <f>MAX($B$2:B828)</f>
        <v>60261.340332031286</v>
      </c>
      <c r="E828" s="34">
        <f t="shared" si="48"/>
        <v>-0.15907883326388583</v>
      </c>
      <c r="F828" s="35">
        <f t="shared" si="49"/>
        <v>112.73985366872404</v>
      </c>
      <c r="G828" s="36" t="str">
        <f t="shared" si="50"/>
        <v>2025-04</v>
      </c>
    </row>
    <row r="829" spans="1:7" x14ac:dyDescent="0.25">
      <c r="A829" s="37">
        <v>45769</v>
      </c>
      <c r="B829" s="38">
        <v>51993.487548828103</v>
      </c>
      <c r="C829" s="39">
        <f t="shared" si="51"/>
        <v>2.6017759742190005E-2</v>
      </c>
      <c r="D829" s="38">
        <f>MAX($B$2:B829)</f>
        <v>60261.340332031286</v>
      </c>
      <c r="E829" s="40">
        <f t="shared" si="48"/>
        <v>-0.13719994838562344</v>
      </c>
      <c r="F829" s="41">
        <f t="shared" si="49"/>
        <v>115.67309209484655</v>
      </c>
      <c r="G829" s="42" t="str">
        <f t="shared" si="50"/>
        <v>2025-04</v>
      </c>
    </row>
    <row r="830" spans="1:7" x14ac:dyDescent="0.25">
      <c r="A830" s="31">
        <v>45770</v>
      </c>
      <c r="B830" s="32">
        <v>52799.151611328103</v>
      </c>
      <c r="C830" s="33">
        <f t="shared" si="51"/>
        <v>1.5495480308824972E-2</v>
      </c>
      <c r="D830" s="32">
        <f>MAX($B$2:B830)</f>
        <v>60261.340332031286</v>
      </c>
      <c r="E830" s="34">
        <f t="shared" si="48"/>
        <v>-0.12383044717537983</v>
      </c>
      <c r="F830" s="35">
        <f t="shared" si="49"/>
        <v>117.46550221566314</v>
      </c>
      <c r="G830" s="36" t="str">
        <f t="shared" si="50"/>
        <v>2025-04</v>
      </c>
    </row>
    <row r="831" spans="1:7" x14ac:dyDescent="0.25">
      <c r="A831" s="37">
        <v>45771</v>
      </c>
      <c r="B831" s="38">
        <v>53910.5224609375</v>
      </c>
      <c r="C831" s="39">
        <f t="shared" si="51"/>
        <v>2.1049028548613125E-2</v>
      </c>
      <c r="D831" s="38">
        <f>MAX($B$2:B831)</f>
        <v>60261.340332031286</v>
      </c>
      <c r="E831" s="40">
        <f t="shared" si="48"/>
        <v>-0.10538792924454876</v>
      </c>
      <c r="F831" s="41">
        <f t="shared" si="49"/>
        <v>119.93803692527783</v>
      </c>
      <c r="G831" s="42" t="str">
        <f t="shared" si="50"/>
        <v>2025-04</v>
      </c>
    </row>
    <row r="832" spans="1:7" x14ac:dyDescent="0.25">
      <c r="A832" s="31">
        <v>45772</v>
      </c>
      <c r="B832" s="32">
        <v>54300.030517578103</v>
      </c>
      <c r="C832" s="33">
        <f t="shared" si="51"/>
        <v>7.2250840626304491E-3</v>
      </c>
      <c r="D832" s="32">
        <f>MAX($B$2:B832)</f>
        <v>60261.340332031286</v>
      </c>
      <c r="E832" s="34">
        <f t="shared" si="48"/>
        <v>-9.8924281829896654E-2</v>
      </c>
      <c r="F832" s="35">
        <f t="shared" si="49"/>
        <v>120.80459932436982</v>
      </c>
      <c r="G832" s="36" t="str">
        <f t="shared" si="50"/>
        <v>2025-04</v>
      </c>
    </row>
    <row r="833" spans="1:7" x14ac:dyDescent="0.25">
      <c r="A833" s="37">
        <v>45775</v>
      </c>
      <c r="B833" s="38">
        <v>54320.739746093786</v>
      </c>
      <c r="C833" s="39">
        <f t="shared" si="51"/>
        <v>3.8138520951624955E-4</v>
      </c>
      <c r="D833" s="38">
        <f>MAX($B$2:B833)</f>
        <v>60261.340332031286</v>
      </c>
      <c r="E833" s="40">
        <f t="shared" si="48"/>
        <v>-9.8580624878332412E-2</v>
      </c>
      <c r="F833" s="41">
        <f t="shared" si="49"/>
        <v>120.85067241179368</v>
      </c>
      <c r="G833" s="42" t="str">
        <f t="shared" si="50"/>
        <v>2025-04</v>
      </c>
    </row>
    <row r="834" spans="1:7" x14ac:dyDescent="0.25">
      <c r="A834" s="31">
        <v>45776</v>
      </c>
      <c r="B834" s="32">
        <v>54662.927246093786</v>
      </c>
      <c r="C834" s="33">
        <f t="shared" si="51"/>
        <v>6.2993895443885783E-3</v>
      </c>
      <c r="D834" s="32">
        <f>MAX($B$2:B834)</f>
        <v>60261.340332031286</v>
      </c>
      <c r="E834" s="34">
        <f t="shared" ref="E834:E897" si="52">B834/D834-1</f>
        <v>-9.2902233091581632E-2</v>
      </c>
      <c r="F834" s="35">
        <f t="shared" ref="F834:F897" si="53">B834/$B$2*100</f>
        <v>121.61195787401687</v>
      </c>
      <c r="G834" s="36" t="str">
        <f t="shared" ref="G834:G897" si="54">TEXT(A834,"YYYY-MM")</f>
        <v>2025-04</v>
      </c>
    </row>
    <row r="835" spans="1:7" x14ac:dyDescent="0.25">
      <c r="A835" s="37">
        <v>45777</v>
      </c>
      <c r="B835" s="38">
        <v>54684.619140625</v>
      </c>
      <c r="C835" s="39">
        <f t="shared" ref="C835:C898" si="55">B835/B834-1</f>
        <v>3.9683009352131648E-4</v>
      </c>
      <c r="D835" s="38">
        <f>MAX($B$2:B835)</f>
        <v>60261.340332031286</v>
      </c>
      <c r="E835" s="40">
        <f t="shared" si="52"/>
        <v>-9.2542269399906396E-2</v>
      </c>
      <c r="F835" s="41">
        <f t="shared" si="53"/>
        <v>121.66021715863332</v>
      </c>
      <c r="G835" s="42" t="str">
        <f t="shared" si="54"/>
        <v>2025-04</v>
      </c>
    </row>
    <row r="836" spans="1:7" x14ac:dyDescent="0.25">
      <c r="A836" s="31">
        <v>45778</v>
      </c>
      <c r="B836" s="32">
        <v>55072.161865234397</v>
      </c>
      <c r="C836" s="33">
        <f t="shared" si="55"/>
        <v>7.0868688618421771E-3</v>
      </c>
      <c r="D836" s="32">
        <f>MAX($B$2:B836)</f>
        <v>60261.340332031286</v>
      </c>
      <c r="E836" s="34">
        <f t="shared" si="52"/>
        <v>-8.6111235465478608E-2</v>
      </c>
      <c r="F836" s="35">
        <f t="shared" si="53"/>
        <v>122.52240716333979</v>
      </c>
      <c r="G836" s="36" t="str">
        <f t="shared" si="54"/>
        <v>2025-05</v>
      </c>
    </row>
    <row r="837" spans="1:7" x14ac:dyDescent="0.25">
      <c r="A837" s="37">
        <v>45779</v>
      </c>
      <c r="B837" s="38">
        <v>55889.666748046897</v>
      </c>
      <c r="C837" s="39">
        <f t="shared" si="55"/>
        <v>1.4844248983960195E-2</v>
      </c>
      <c r="D837" s="38">
        <f>MAX($B$2:B837)</f>
        <v>60261.340332031286</v>
      </c>
      <c r="E837" s="40">
        <f t="shared" si="52"/>
        <v>-7.2545243101084345E-2</v>
      </c>
      <c r="F837" s="41">
        <f t="shared" si="53"/>
        <v>124.34116028138658</v>
      </c>
      <c r="G837" s="42" t="str">
        <f t="shared" si="54"/>
        <v>2025-05</v>
      </c>
    </row>
    <row r="838" spans="1:7" x14ac:dyDescent="0.25">
      <c r="A838" s="31">
        <v>45782</v>
      </c>
      <c r="B838" s="32">
        <v>55569.183349609397</v>
      </c>
      <c r="C838" s="33">
        <f t="shared" si="55"/>
        <v>-5.7342155909114734E-3</v>
      </c>
      <c r="D838" s="32">
        <f>MAX($B$2:B838)</f>
        <v>60261.340332031286</v>
      </c>
      <c r="E838" s="34">
        <f t="shared" si="52"/>
        <v>-7.7863468627959231E-2</v>
      </c>
      <c r="F838" s="35">
        <f t="shared" si="53"/>
        <v>123.62816126150902</v>
      </c>
      <c r="G838" s="36" t="str">
        <f t="shared" si="54"/>
        <v>2025-05</v>
      </c>
    </row>
    <row r="839" spans="1:7" x14ac:dyDescent="0.25">
      <c r="A839" s="37">
        <v>45783</v>
      </c>
      <c r="B839" s="38">
        <v>55104.705810546897</v>
      </c>
      <c r="C839" s="39">
        <f t="shared" si="55"/>
        <v>-8.3585453495019779E-3</v>
      </c>
      <c r="D839" s="38">
        <f>MAX($B$2:B839)</f>
        <v>60261.340332031286</v>
      </c>
      <c r="E839" s="40">
        <f t="shared" si="52"/>
        <v>-8.5571188643864815E-2</v>
      </c>
      <c r="F839" s="41">
        <f t="shared" si="53"/>
        <v>122.59480966912915</v>
      </c>
      <c r="G839" s="42" t="str">
        <f t="shared" si="54"/>
        <v>2025-05</v>
      </c>
    </row>
    <row r="840" spans="1:7" x14ac:dyDescent="0.25">
      <c r="A840" s="31">
        <v>45784</v>
      </c>
      <c r="B840" s="32">
        <v>55336.4501953125</v>
      </c>
      <c r="C840" s="33">
        <f t="shared" si="55"/>
        <v>4.2055280280843821E-3</v>
      </c>
      <c r="D840" s="32">
        <f>MAX($B$2:B840)</f>
        <v>60261.340332031286</v>
      </c>
      <c r="E840" s="34">
        <f t="shared" si="52"/>
        <v>-8.1725532648018628E-2</v>
      </c>
      <c r="F840" s="35">
        <f t="shared" si="53"/>
        <v>123.11038557729034</v>
      </c>
      <c r="G840" s="36" t="str">
        <f t="shared" si="54"/>
        <v>2025-05</v>
      </c>
    </row>
    <row r="841" spans="1:7" x14ac:dyDescent="0.25">
      <c r="A841" s="37">
        <v>45785</v>
      </c>
      <c r="B841" s="38">
        <v>55722.027587890603</v>
      </c>
      <c r="C841" s="39">
        <f t="shared" si="55"/>
        <v>6.9678736387532858E-3</v>
      </c>
      <c r="D841" s="38">
        <f>MAX($B$2:B841)</f>
        <v>60261.340332031286</v>
      </c>
      <c r="E841" s="40">
        <f t="shared" si="52"/>
        <v>-7.5327112193816603E-2</v>
      </c>
      <c r="F841" s="41">
        <f t="shared" si="53"/>
        <v>123.96820318761111</v>
      </c>
      <c r="G841" s="42" t="str">
        <f t="shared" si="54"/>
        <v>2025-05</v>
      </c>
    </row>
    <row r="842" spans="1:7" x14ac:dyDescent="0.25">
      <c r="A842" s="31">
        <v>45786</v>
      </c>
      <c r="B842" s="32">
        <v>55651.031494140603</v>
      </c>
      <c r="C842" s="33">
        <f t="shared" si="55"/>
        <v>-1.2741118157988396E-3</v>
      </c>
      <c r="D842" s="32">
        <f>MAX($B$2:B842)</f>
        <v>60261.340332031286</v>
      </c>
      <c r="E842" s="34">
        <f t="shared" si="52"/>
        <v>-7.6505248845919249E-2</v>
      </c>
      <c r="F842" s="35">
        <f t="shared" si="53"/>
        <v>123.81025383514641</v>
      </c>
      <c r="G842" s="36" t="str">
        <f t="shared" si="54"/>
        <v>2025-05</v>
      </c>
    </row>
    <row r="843" spans="1:7" x14ac:dyDescent="0.25">
      <c r="A843" s="37">
        <v>45789</v>
      </c>
      <c r="B843" s="38">
        <v>57490.155029296897</v>
      </c>
      <c r="C843" s="39">
        <f t="shared" si="55"/>
        <v>3.3047429414671869E-2</v>
      </c>
      <c r="D843" s="38">
        <f>MAX($B$2:B843)</f>
        <v>60261.340332031286</v>
      </c>
      <c r="E843" s="40">
        <f t="shared" si="52"/>
        <v>-4.598612124233481E-2</v>
      </c>
      <c r="F843" s="41">
        <f t="shared" si="53"/>
        <v>127.90186445957603</v>
      </c>
      <c r="G843" s="42" t="str">
        <f t="shared" si="54"/>
        <v>2025-05</v>
      </c>
    </row>
    <row r="844" spans="1:7" x14ac:dyDescent="0.25">
      <c r="A844" s="31">
        <v>45790</v>
      </c>
      <c r="B844" s="32">
        <v>57869.818115234397</v>
      </c>
      <c r="C844" s="33">
        <f t="shared" si="55"/>
        <v>6.6039669878090734E-3</v>
      </c>
      <c r="D844" s="32">
        <f>MAX($B$2:B844)</f>
        <v>60261.340332031286</v>
      </c>
      <c r="E844" s="34">
        <f t="shared" si="52"/>
        <v>-3.9685845081107507E-2</v>
      </c>
      <c r="F844" s="35">
        <f t="shared" si="53"/>
        <v>128.74652415014629</v>
      </c>
      <c r="G844" s="36" t="str">
        <f t="shared" si="54"/>
        <v>2025-05</v>
      </c>
    </row>
    <row r="845" spans="1:7" x14ac:dyDescent="0.25">
      <c r="A845" s="37">
        <v>45791</v>
      </c>
      <c r="B845" s="38">
        <v>57943.7744140625</v>
      </c>
      <c r="C845" s="39">
        <f t="shared" si="55"/>
        <v>1.2779770394446555E-3</v>
      </c>
      <c r="D845" s="38">
        <f>MAX($B$2:B845)</f>
        <v>60261.340332031286</v>
      </c>
      <c r="E845" s="40">
        <f t="shared" si="52"/>
        <v>-3.8458585640467557E-2</v>
      </c>
      <c r="F845" s="41">
        <f t="shared" si="53"/>
        <v>128.91105925191849</v>
      </c>
      <c r="G845" s="42" t="str">
        <f t="shared" si="54"/>
        <v>2025-05</v>
      </c>
    </row>
    <row r="846" spans="1:7" x14ac:dyDescent="0.25">
      <c r="A846" s="31">
        <v>45792</v>
      </c>
      <c r="B846" s="32">
        <v>58226.788330078103</v>
      </c>
      <c r="C846" s="33">
        <f t="shared" si="55"/>
        <v>4.8842851346411198E-3</v>
      </c>
      <c r="D846" s="32">
        <f>MAX($B$2:B846)</f>
        <v>60261.340332031286</v>
      </c>
      <c r="E846" s="34">
        <f t="shared" si="52"/>
        <v>-3.376214320396953E-2</v>
      </c>
      <c r="F846" s="35">
        <f t="shared" si="53"/>
        <v>129.54069762231347</v>
      </c>
      <c r="G846" s="36" t="str">
        <f t="shared" si="54"/>
        <v>2025-05</v>
      </c>
    </row>
    <row r="847" spans="1:7" x14ac:dyDescent="0.25">
      <c r="A847" s="37">
        <v>45793</v>
      </c>
      <c r="B847" s="38">
        <v>58595.60546875</v>
      </c>
      <c r="C847" s="39">
        <f t="shared" si="55"/>
        <v>6.3341487526520357E-3</v>
      </c>
      <c r="D847" s="38">
        <f>MAX($B$2:B847)</f>
        <v>60261.340332031286</v>
      </c>
      <c r="E847" s="40">
        <f t="shared" si="52"/>
        <v>-2.764184888857979E-2</v>
      </c>
      <c r="F847" s="41">
        <f t="shared" si="53"/>
        <v>130.36122767057552</v>
      </c>
      <c r="G847" s="42" t="str">
        <f t="shared" si="54"/>
        <v>2025-05</v>
      </c>
    </row>
    <row r="848" spans="1:7" x14ac:dyDescent="0.25">
      <c r="A848" s="31">
        <v>45796</v>
      </c>
      <c r="B848" s="32">
        <v>58659.698486328103</v>
      </c>
      <c r="C848" s="33">
        <f t="shared" si="55"/>
        <v>1.093819529047968E-3</v>
      </c>
      <c r="D848" s="32">
        <f>MAX($B$2:B848)</f>
        <v>60261.340332031286</v>
      </c>
      <c r="E848" s="34">
        <f t="shared" si="52"/>
        <v>-2.6578264553665187E-2</v>
      </c>
      <c r="F848" s="35">
        <f t="shared" si="53"/>
        <v>130.50381932723226</v>
      </c>
      <c r="G848" s="36" t="str">
        <f t="shared" si="54"/>
        <v>2025-05</v>
      </c>
    </row>
    <row r="849" spans="1:7" x14ac:dyDescent="0.25">
      <c r="A849" s="37">
        <v>45797</v>
      </c>
      <c r="B849" s="38">
        <v>58462.469482421897</v>
      </c>
      <c r="C849" s="39">
        <f t="shared" si="55"/>
        <v>-3.3622573759423124E-3</v>
      </c>
      <c r="D849" s="38">
        <f>MAX($B$2:B849)</f>
        <v>60261.340332031286</v>
      </c>
      <c r="E849" s="40">
        <f t="shared" si="52"/>
        <v>-2.9851158963572155E-2</v>
      </c>
      <c r="F849" s="41">
        <f t="shared" si="53"/>
        <v>130.06503189811062</v>
      </c>
      <c r="G849" s="42" t="str">
        <f t="shared" si="54"/>
        <v>2025-05</v>
      </c>
    </row>
    <row r="850" spans="1:7" x14ac:dyDescent="0.25">
      <c r="A850" s="31">
        <v>45798</v>
      </c>
      <c r="B850" s="32">
        <v>57477.331542968786</v>
      </c>
      <c r="C850" s="33">
        <f t="shared" si="55"/>
        <v>-1.685077534655488E-2</v>
      </c>
      <c r="D850" s="32">
        <f>MAX($B$2:B850)</f>
        <v>60261.340332031286</v>
      </c>
      <c r="E850" s="34">
        <f t="shared" si="52"/>
        <v>-4.6198919136597572E-2</v>
      </c>
      <c r="F850" s="35">
        <f t="shared" si="53"/>
        <v>127.87333526515307</v>
      </c>
      <c r="G850" s="36" t="str">
        <f t="shared" si="54"/>
        <v>2025-05</v>
      </c>
    </row>
    <row r="851" spans="1:7" x14ac:dyDescent="0.25">
      <c r="A851" s="37">
        <v>45799</v>
      </c>
      <c r="B851" s="38">
        <v>57500.0244140625</v>
      </c>
      <c r="C851" s="39">
        <f t="shared" si="55"/>
        <v>3.9481427694232352E-4</v>
      </c>
      <c r="D851" s="38">
        <f>MAX($B$2:B851)</f>
        <v>60261.340332031286</v>
      </c>
      <c r="E851" s="40">
        <f t="shared" si="52"/>
        <v>-4.5822344852509689E-2</v>
      </c>
      <c r="F851" s="41">
        <f t="shared" si="53"/>
        <v>127.92382148355598</v>
      </c>
      <c r="G851" s="42" t="str">
        <f t="shared" si="54"/>
        <v>2025-05</v>
      </c>
    </row>
    <row r="852" spans="1:7" x14ac:dyDescent="0.25">
      <c r="A852" s="31">
        <v>45800</v>
      </c>
      <c r="B852" s="32">
        <v>57107.531738281286</v>
      </c>
      <c r="C852" s="33">
        <f t="shared" si="55"/>
        <v>-6.8259566805544125E-3</v>
      </c>
      <c r="D852" s="32">
        <f>MAX($B$2:B852)</f>
        <v>60261.340332031286</v>
      </c>
      <c r="E852" s="34">
        <f t="shared" si="52"/>
        <v>-5.2335520192099416E-2</v>
      </c>
      <c r="F852" s="35">
        <f t="shared" si="53"/>
        <v>127.05061901969825</v>
      </c>
      <c r="G852" s="36" t="str">
        <f t="shared" si="54"/>
        <v>2025-05</v>
      </c>
    </row>
    <row r="853" spans="1:7" x14ac:dyDescent="0.25">
      <c r="A853" s="37">
        <v>45804</v>
      </c>
      <c r="B853" s="38">
        <v>58294.830322265603</v>
      </c>
      <c r="C853" s="39">
        <f t="shared" si="55"/>
        <v>2.0790577842264346E-2</v>
      </c>
      <c r="D853" s="38">
        <f>MAX($B$2:B853)</f>
        <v>60261.340332031286</v>
      </c>
      <c r="E853" s="40">
        <f t="shared" si="52"/>
        <v>-3.2633028056304414E-2</v>
      </c>
      <c r="F853" s="41">
        <f t="shared" si="53"/>
        <v>129.69207480433516</v>
      </c>
      <c r="G853" s="42" t="str">
        <f t="shared" si="54"/>
        <v>2025-05</v>
      </c>
    </row>
    <row r="854" spans="1:7" x14ac:dyDescent="0.25">
      <c r="A854" s="31">
        <v>45805</v>
      </c>
      <c r="B854" s="32">
        <v>57957.574462890603</v>
      </c>
      <c r="C854" s="33">
        <f t="shared" si="55"/>
        <v>-5.7853476459333031E-3</v>
      </c>
      <c r="D854" s="32">
        <f>MAX($B$2:B854)</f>
        <v>60261.340332031286</v>
      </c>
      <c r="E854" s="34">
        <f t="shared" si="52"/>
        <v>-3.8229582290192465E-2</v>
      </c>
      <c r="F854" s="35">
        <f t="shared" si="53"/>
        <v>128.94176106466969</v>
      </c>
      <c r="G854" s="36" t="str">
        <f t="shared" si="54"/>
        <v>2025-05</v>
      </c>
    </row>
    <row r="855" spans="1:7" x14ac:dyDescent="0.25">
      <c r="A855" s="37">
        <v>45806</v>
      </c>
      <c r="B855" s="38">
        <v>58186.358642578103</v>
      </c>
      <c r="C855" s="39">
        <f t="shared" si="55"/>
        <v>3.947442276660329E-3</v>
      </c>
      <c r="D855" s="38">
        <f>MAX($B$2:B855)</f>
        <v>60261.340332031286</v>
      </c>
      <c r="E855" s="40">
        <f t="shared" si="52"/>
        <v>-3.4433049082883582E-2</v>
      </c>
      <c r="F855" s="41">
        <f t="shared" si="53"/>
        <v>129.45075122352338</v>
      </c>
      <c r="G855" s="42" t="str">
        <f t="shared" si="54"/>
        <v>2025-05</v>
      </c>
    </row>
    <row r="856" spans="1:7" x14ac:dyDescent="0.25">
      <c r="A856" s="31">
        <v>45807</v>
      </c>
      <c r="B856" s="32">
        <v>58121.270751953103</v>
      </c>
      <c r="C856" s="33">
        <f t="shared" si="55"/>
        <v>-1.1186108246576953E-3</v>
      </c>
      <c r="D856" s="32">
        <f>MAX($B$2:B856)</f>
        <v>60261.340332031286</v>
      </c>
      <c r="E856" s="34">
        <f t="shared" si="52"/>
        <v>-3.5513142726111169E-2</v>
      </c>
      <c r="F856" s="35">
        <f t="shared" si="53"/>
        <v>129.3059462119447</v>
      </c>
      <c r="G856" s="36" t="str">
        <f t="shared" si="54"/>
        <v>2025-05</v>
      </c>
    </row>
    <row r="857" spans="1:7" x14ac:dyDescent="0.25">
      <c r="A857" s="37">
        <v>45810</v>
      </c>
      <c r="B857" s="38">
        <v>58448.675537109397</v>
      </c>
      <c r="C857" s="39">
        <f t="shared" si="55"/>
        <v>5.633131914021261E-3</v>
      </c>
      <c r="D857" s="38">
        <f>MAX($B$2:B857)</f>
        <v>60261.340332031286</v>
      </c>
      <c r="E857" s="40">
        <f t="shared" si="52"/>
        <v>-3.0080061029747585E-2</v>
      </c>
      <c r="F857" s="41">
        <f t="shared" si="53"/>
        <v>130.03434366422391</v>
      </c>
      <c r="G857" s="42" t="str">
        <f t="shared" si="54"/>
        <v>2025-06</v>
      </c>
    </row>
    <row r="858" spans="1:7" x14ac:dyDescent="0.25">
      <c r="A858" s="31">
        <v>45811</v>
      </c>
      <c r="B858" s="32">
        <v>58781.976318359397</v>
      </c>
      <c r="C858" s="33">
        <f t="shared" si="55"/>
        <v>5.7024522486979201E-3</v>
      </c>
      <c r="D858" s="32">
        <f>MAX($B$2:B858)</f>
        <v>60261.340332031286</v>
      </c>
      <c r="E858" s="34">
        <f t="shared" si="52"/>
        <v>-2.4549138892709821E-2</v>
      </c>
      <c r="F858" s="35">
        <f t="shared" si="53"/>
        <v>130.77585829965992</v>
      </c>
      <c r="G858" s="36" t="str">
        <f t="shared" si="54"/>
        <v>2025-06</v>
      </c>
    </row>
    <row r="859" spans="1:7" x14ac:dyDescent="0.25">
      <c r="A859" s="37">
        <v>45812</v>
      </c>
      <c r="B859" s="38">
        <v>58766.198730468786</v>
      </c>
      <c r="C859" s="39">
        <f t="shared" si="55"/>
        <v>-2.6840859866905653E-4</v>
      </c>
      <c r="D859" s="38">
        <f>MAX($B$2:B859)</f>
        <v>60261.340332031286</v>
      </c>
      <c r="E859" s="40">
        <f t="shared" si="52"/>
        <v>-2.4810958291410112E-2</v>
      </c>
      <c r="F859" s="41">
        <f t="shared" si="53"/>
        <v>130.74075693479395</v>
      </c>
      <c r="G859" s="42" t="str">
        <f t="shared" si="54"/>
        <v>2025-06</v>
      </c>
    </row>
    <row r="860" spans="1:7" x14ac:dyDescent="0.25">
      <c r="A860" s="31">
        <v>45813</v>
      </c>
      <c r="B860" s="32">
        <v>58482.189941406286</v>
      </c>
      <c r="C860" s="33">
        <f t="shared" si="55"/>
        <v>-4.8328596233543353E-3</v>
      </c>
      <c r="D860" s="32">
        <f>MAX($B$2:B860)</f>
        <v>60261.340332031286</v>
      </c>
      <c r="E860" s="34">
        <f t="shared" si="52"/>
        <v>-2.9523910036221235E-2</v>
      </c>
      <c r="F860" s="35">
        <f t="shared" si="53"/>
        <v>130.108905209477</v>
      </c>
      <c r="G860" s="36" t="str">
        <f t="shared" si="54"/>
        <v>2025-06</v>
      </c>
    </row>
    <row r="861" spans="1:7" x14ac:dyDescent="0.25">
      <c r="A861" s="37">
        <v>45814</v>
      </c>
      <c r="B861" s="38">
        <v>59082.751464843786</v>
      </c>
      <c r="C861" s="39">
        <f t="shared" si="55"/>
        <v>1.0269135339138424E-2</v>
      </c>
      <c r="D861" s="38">
        <f>MAX($B$2:B861)</f>
        <v>60261.340332031286</v>
      </c>
      <c r="E861" s="40">
        <f t="shared" si="52"/>
        <v>-1.9557959724985308E-2</v>
      </c>
      <c r="F861" s="41">
        <f t="shared" si="53"/>
        <v>131.44501116590027</v>
      </c>
      <c r="G861" s="42" t="str">
        <f t="shared" si="54"/>
        <v>2025-06</v>
      </c>
    </row>
    <row r="862" spans="1:7" x14ac:dyDescent="0.25">
      <c r="A862" s="31">
        <v>45817</v>
      </c>
      <c r="B862" s="32">
        <v>59135.992431640603</v>
      </c>
      <c r="C862" s="33">
        <f t="shared" si="55"/>
        <v>9.0112537884246002E-4</v>
      </c>
      <c r="D862" s="32">
        <f>MAX($B$2:B862)</f>
        <v>60261.340332031286</v>
      </c>
      <c r="E862" s="34">
        <f t="shared" si="52"/>
        <v>-1.8674458520009374E-2</v>
      </c>
      <c r="F862" s="35">
        <f t="shared" si="53"/>
        <v>131.5634596013841</v>
      </c>
      <c r="G862" s="36" t="str">
        <f t="shared" si="54"/>
        <v>2025-06</v>
      </c>
    </row>
    <row r="863" spans="1:7" x14ac:dyDescent="0.25">
      <c r="A863" s="37">
        <v>45818</v>
      </c>
      <c r="B863" s="38">
        <v>59471.276855468786</v>
      </c>
      <c r="C863" s="39">
        <f t="shared" si="55"/>
        <v>5.6697183904668158E-3</v>
      </c>
      <c r="D863" s="38">
        <f>MAX($B$2:B863)</f>
        <v>60261.340332031286</v>
      </c>
      <c r="E863" s="40">
        <f t="shared" si="52"/>
        <v>-1.3110619050445305E-2</v>
      </c>
      <c r="F863" s="41">
        <f t="shared" si="53"/>
        <v>132.3093873677995</v>
      </c>
      <c r="G863" s="42" t="str">
        <f t="shared" si="54"/>
        <v>2025-06</v>
      </c>
    </row>
    <row r="864" spans="1:7" x14ac:dyDescent="0.25">
      <c r="A864" s="31">
        <v>45819</v>
      </c>
      <c r="B864" s="32">
        <v>59301.66015625</v>
      </c>
      <c r="C864" s="33">
        <f t="shared" si="55"/>
        <v>-2.8520776446586682E-3</v>
      </c>
      <c r="D864" s="32">
        <f>MAX($B$2:B864)</f>
        <v>60261.340332031286</v>
      </c>
      <c r="E864" s="34">
        <f t="shared" si="52"/>
        <v>-1.5925304191602541E-2</v>
      </c>
      <c r="F864" s="35">
        <f t="shared" si="53"/>
        <v>131.93203072190931</v>
      </c>
      <c r="G864" s="36" t="str">
        <f t="shared" si="54"/>
        <v>2025-06</v>
      </c>
    </row>
    <row r="865" spans="1:7" x14ac:dyDescent="0.25">
      <c r="A865" s="37">
        <v>45820</v>
      </c>
      <c r="B865" s="38">
        <v>59537.347412109397</v>
      </c>
      <c r="C865" s="39">
        <f t="shared" si="55"/>
        <v>3.974378714498128E-3</v>
      </c>
      <c r="D865" s="38">
        <f>MAX($B$2:B865)</f>
        <v>60261.340332031286</v>
      </c>
      <c r="E865" s="40">
        <f t="shared" si="52"/>
        <v>-1.2014218667105503E-2</v>
      </c>
      <c r="F865" s="41">
        <f t="shared" si="53"/>
        <v>132.45637857657098</v>
      </c>
      <c r="G865" s="42" t="str">
        <f t="shared" si="54"/>
        <v>2025-06</v>
      </c>
    </row>
    <row r="866" spans="1:7" x14ac:dyDescent="0.25">
      <c r="A866" s="31">
        <v>45821</v>
      </c>
      <c r="B866" s="32">
        <v>58871.716308593786</v>
      </c>
      <c r="C866" s="33">
        <f t="shared" si="55"/>
        <v>-1.1180059785132923E-2</v>
      </c>
      <c r="D866" s="32">
        <f>MAX($B$2:B866)</f>
        <v>60261.340332031286</v>
      </c>
      <c r="E866" s="34">
        <f t="shared" si="52"/>
        <v>-2.3059958769268474E-2</v>
      </c>
      <c r="F866" s="35">
        <f t="shared" si="53"/>
        <v>130.97550834516272</v>
      </c>
      <c r="G866" s="36" t="str">
        <f t="shared" si="54"/>
        <v>2025-06</v>
      </c>
    </row>
    <row r="867" spans="1:7" x14ac:dyDescent="0.25">
      <c r="A867" s="37">
        <v>45824</v>
      </c>
      <c r="B867" s="38">
        <v>59431.8359375</v>
      </c>
      <c r="C867" s="39">
        <f t="shared" si="55"/>
        <v>9.5142398426126817E-3</v>
      </c>
      <c r="D867" s="38">
        <f>MAX($B$2:B867)</f>
        <v>60261.340332031286</v>
      </c>
      <c r="E867" s="40">
        <f t="shared" si="52"/>
        <v>-1.3765116905147479E-2</v>
      </c>
      <c r="F867" s="41">
        <f t="shared" si="53"/>
        <v>132.22164074506674</v>
      </c>
      <c r="G867" s="42" t="str">
        <f t="shared" si="54"/>
        <v>2025-06</v>
      </c>
    </row>
    <row r="868" spans="1:7" x14ac:dyDescent="0.25">
      <c r="A868" s="31">
        <v>45825</v>
      </c>
      <c r="B868" s="32">
        <v>58923.986816406286</v>
      </c>
      <c r="C868" s="33">
        <f t="shared" si="55"/>
        <v>-8.5450687006839443E-3</v>
      </c>
      <c r="D868" s="32">
        <f>MAX($B$2:B868)</f>
        <v>60261.340332031286</v>
      </c>
      <c r="E868" s="34">
        <f t="shared" si="52"/>
        <v>-2.2192561736203875E-2</v>
      </c>
      <c r="F868" s="35">
        <f t="shared" si="53"/>
        <v>131.09179774118297</v>
      </c>
      <c r="G868" s="36" t="str">
        <f t="shared" si="54"/>
        <v>2025-06</v>
      </c>
    </row>
    <row r="869" spans="1:7" x14ac:dyDescent="0.25">
      <c r="A869" s="37">
        <v>45826</v>
      </c>
      <c r="B869" s="38">
        <v>58915.106201171897</v>
      </c>
      <c r="C869" s="39">
        <f t="shared" si="55"/>
        <v>-1.5071307483083274E-4</v>
      </c>
      <c r="D869" s="38">
        <f>MAX($B$2:B869)</f>
        <v>60261.340332031286</v>
      </c>
      <c r="E869" s="40">
        <f t="shared" si="52"/>
        <v>-2.2339930101817118E-2</v>
      </c>
      <c r="F869" s="41">
        <f t="shared" si="53"/>
        <v>131.07204049326032</v>
      </c>
      <c r="G869" s="42" t="str">
        <f t="shared" si="54"/>
        <v>2025-06</v>
      </c>
    </row>
    <row r="870" spans="1:7" x14ac:dyDescent="0.25">
      <c r="A870" s="31">
        <v>45828</v>
      </c>
      <c r="B870" s="32">
        <v>58776.745605468786</v>
      </c>
      <c r="C870" s="33">
        <f t="shared" si="55"/>
        <v>-2.3484740098856927E-3</v>
      </c>
      <c r="D870" s="32">
        <f>MAX($B$2:B870)</f>
        <v>60261.340332031286</v>
      </c>
      <c r="E870" s="34">
        <f t="shared" si="52"/>
        <v>-2.4635939366476012E-2</v>
      </c>
      <c r="F870" s="35">
        <f t="shared" si="53"/>
        <v>130.76422121273919</v>
      </c>
      <c r="G870" s="36" t="str">
        <f t="shared" si="54"/>
        <v>2025-06</v>
      </c>
    </row>
    <row r="871" spans="1:7" x14ac:dyDescent="0.25">
      <c r="A871" s="37">
        <v>45831</v>
      </c>
      <c r="B871" s="38">
        <v>59357.2998046875</v>
      </c>
      <c r="C871" s="39">
        <f t="shared" si="55"/>
        <v>9.8772770291777334E-3</v>
      </c>
      <c r="D871" s="38">
        <f>MAX($B$2:B871)</f>
        <v>60261.340332031286</v>
      </c>
      <c r="E871" s="40">
        <f t="shared" si="52"/>
        <v>-1.5001998335295141E-2</v>
      </c>
      <c r="F871" s="41">
        <f t="shared" si="53"/>
        <v>132.05581565116208</v>
      </c>
      <c r="G871" s="42" t="str">
        <f t="shared" si="54"/>
        <v>2025-06</v>
      </c>
    </row>
    <row r="872" spans="1:7" x14ac:dyDescent="0.25">
      <c r="A872" s="31">
        <v>45832</v>
      </c>
      <c r="B872" s="32">
        <v>60013.037109375</v>
      </c>
      <c r="C872" s="33">
        <f t="shared" si="55"/>
        <v>1.1047290002159427E-2</v>
      </c>
      <c r="D872" s="32">
        <f>MAX($B$2:B872)</f>
        <v>60261.340332031286</v>
      </c>
      <c r="E872" s="34">
        <f t="shared" si="52"/>
        <v>-4.1204397593577191E-3</v>
      </c>
      <c r="F872" s="35">
        <f t="shared" si="53"/>
        <v>133.51467454313217</v>
      </c>
      <c r="G872" s="36" t="str">
        <f t="shared" si="54"/>
        <v>2025-06</v>
      </c>
    </row>
    <row r="873" spans="1:7" x14ac:dyDescent="0.25">
      <c r="A873" s="37">
        <v>45833</v>
      </c>
      <c r="B873" s="38">
        <v>60046.667480468786</v>
      </c>
      <c r="C873" s="39">
        <f t="shared" si="55"/>
        <v>5.6038442167971603E-4</v>
      </c>
      <c r="D873" s="38">
        <f>MAX($B$2:B873)</f>
        <v>60261.340332031286</v>
      </c>
      <c r="E873" s="40">
        <f t="shared" si="52"/>
        <v>-3.5623643679294492E-3</v>
      </c>
      <c r="F873" s="41">
        <f t="shared" si="53"/>
        <v>133.58949408681178</v>
      </c>
      <c r="G873" s="42" t="str">
        <f t="shared" si="54"/>
        <v>2025-06</v>
      </c>
    </row>
    <row r="874" spans="1:7" x14ac:dyDescent="0.25">
      <c r="A874" s="31">
        <v>45834</v>
      </c>
      <c r="B874" s="32">
        <v>60516.461181640603</v>
      </c>
      <c r="C874" s="33">
        <f t="shared" si="55"/>
        <v>7.8238097280689534E-3</v>
      </c>
      <c r="D874" s="32">
        <f>MAX($B$2:B874)</f>
        <v>60516.461181640603</v>
      </c>
      <c r="E874" s="34">
        <f t="shared" si="52"/>
        <v>0</v>
      </c>
      <c r="F874" s="35">
        <f t="shared" si="53"/>
        <v>134.63467287021601</v>
      </c>
      <c r="G874" s="36" t="str">
        <f t="shared" si="54"/>
        <v>2025-06</v>
      </c>
    </row>
    <row r="875" spans="1:7" x14ac:dyDescent="0.25">
      <c r="A875" s="37">
        <v>45835</v>
      </c>
      <c r="B875" s="38">
        <v>60817.132568359397</v>
      </c>
      <c r="C875" s="39">
        <f t="shared" si="55"/>
        <v>4.9684231504603105E-3</v>
      </c>
      <c r="D875" s="38">
        <f>MAX($B$2:B875)</f>
        <v>60817.132568359397</v>
      </c>
      <c r="E875" s="40">
        <f t="shared" si="52"/>
        <v>0</v>
      </c>
      <c r="F875" s="41">
        <f t="shared" si="53"/>
        <v>135.30359489575903</v>
      </c>
      <c r="G875" s="42" t="str">
        <f t="shared" si="54"/>
        <v>2025-06</v>
      </c>
    </row>
    <row r="876" spans="1:7" x14ac:dyDescent="0.25">
      <c r="A876" s="31">
        <v>45838</v>
      </c>
      <c r="B876" s="32">
        <v>61107.904052734397</v>
      </c>
      <c r="C876" s="33">
        <f t="shared" si="55"/>
        <v>4.7810784904758208E-3</v>
      </c>
      <c r="D876" s="32">
        <f>MAX($B$2:B876)</f>
        <v>61107.904052734397</v>
      </c>
      <c r="E876" s="34">
        <f t="shared" si="52"/>
        <v>0</v>
      </c>
      <c r="F876" s="35">
        <f t="shared" si="53"/>
        <v>135.9504920029992</v>
      </c>
      <c r="G876" s="36" t="str">
        <f t="shared" si="54"/>
        <v>2025-06</v>
      </c>
    </row>
    <row r="877" spans="1:7" x14ac:dyDescent="0.25">
      <c r="A877" s="37">
        <v>45839</v>
      </c>
      <c r="B877" s="38">
        <v>61088.134765625</v>
      </c>
      <c r="C877" s="39">
        <f t="shared" si="55"/>
        <v>-3.2351440318323377E-4</v>
      </c>
      <c r="D877" s="38">
        <f>MAX($B$2:B877)</f>
        <v>61107.904052734397</v>
      </c>
      <c r="E877" s="40">
        <f t="shared" si="52"/>
        <v>-3.2351440318323377E-4</v>
      </c>
      <c r="F877" s="41">
        <f t="shared" si="53"/>
        <v>135.90651006071639</v>
      </c>
      <c r="G877" s="42" t="str">
        <f t="shared" si="54"/>
        <v>2025-07</v>
      </c>
    </row>
    <row r="878" spans="1:7" x14ac:dyDescent="0.25">
      <c r="A878" s="31">
        <v>45840</v>
      </c>
      <c r="B878" s="32">
        <v>61365.0634765625</v>
      </c>
      <c r="C878" s="33">
        <f t="shared" si="55"/>
        <v>4.5332651258707113E-3</v>
      </c>
      <c r="D878" s="32">
        <f>MAX($B$2:B878)</f>
        <v>61365.0634765625</v>
      </c>
      <c r="E878" s="34">
        <f t="shared" si="52"/>
        <v>0</v>
      </c>
      <c r="F878" s="35">
        <f t="shared" si="53"/>
        <v>136.52261030315341</v>
      </c>
      <c r="G878" s="36" t="str">
        <f t="shared" si="54"/>
        <v>2025-07</v>
      </c>
    </row>
    <row r="879" spans="1:7" x14ac:dyDescent="0.25">
      <c r="A879" s="37">
        <v>45841</v>
      </c>
      <c r="B879" s="38">
        <v>61848.7060546875</v>
      </c>
      <c r="C879" s="39">
        <f t="shared" si="55"/>
        <v>7.8813994596407255E-3</v>
      </c>
      <c r="D879" s="38">
        <f>MAX($B$2:B879)</f>
        <v>61848.7060546875</v>
      </c>
      <c r="E879" s="40">
        <f t="shared" si="52"/>
        <v>0</v>
      </c>
      <c r="F879" s="41">
        <f t="shared" si="53"/>
        <v>137.59859953022544</v>
      </c>
      <c r="G879" s="42" t="str">
        <f t="shared" si="54"/>
        <v>2025-07</v>
      </c>
    </row>
    <row r="880" spans="1:7" x14ac:dyDescent="0.25">
      <c r="A880" s="31">
        <v>45845</v>
      </c>
      <c r="B880" s="32">
        <v>61387.805175781286</v>
      </c>
      <c r="C880" s="33">
        <f t="shared" si="55"/>
        <v>-7.4520698702844612E-3</v>
      </c>
      <c r="D880" s="32">
        <f>MAX($B$2:B880)</f>
        <v>61848.7060546875</v>
      </c>
      <c r="E880" s="34">
        <f t="shared" si="52"/>
        <v>-7.4520698702844612E-3</v>
      </c>
      <c r="F880" s="35">
        <f t="shared" si="53"/>
        <v>136.57320515247292</v>
      </c>
      <c r="G880" s="36" t="str">
        <f t="shared" si="54"/>
        <v>2025-07</v>
      </c>
    </row>
    <row r="881" spans="1:7" x14ac:dyDescent="0.25">
      <c r="A881" s="37">
        <v>45846</v>
      </c>
      <c r="B881" s="38">
        <v>61354.180908203103</v>
      </c>
      <c r="C881" s="39">
        <f t="shared" si="55"/>
        <v>-5.4773529501339624E-4</v>
      </c>
      <c r="D881" s="38">
        <f>MAX($B$2:B881)</f>
        <v>61848.7060546875</v>
      </c>
      <c r="E881" s="40">
        <f t="shared" si="52"/>
        <v>-7.9957234036089897E-3</v>
      </c>
      <c r="F881" s="41">
        <f t="shared" si="53"/>
        <v>136.49839918765781</v>
      </c>
      <c r="G881" s="42" t="str">
        <f t="shared" si="54"/>
        <v>2025-07</v>
      </c>
    </row>
    <row r="882" spans="1:7" x14ac:dyDescent="0.25">
      <c r="A882" s="31">
        <v>45847</v>
      </c>
      <c r="B882" s="32">
        <v>61722.100830078103</v>
      </c>
      <c r="C882" s="33">
        <f t="shared" si="55"/>
        <v>5.9966560783442091E-3</v>
      </c>
      <c r="D882" s="32">
        <f>MAX($B$2:B882)</f>
        <v>61848.7060546875</v>
      </c>
      <c r="E882" s="34">
        <f t="shared" si="52"/>
        <v>-2.0470149286139216E-3</v>
      </c>
      <c r="F882" s="35">
        <f t="shared" si="53"/>
        <v>137.31693314283072</v>
      </c>
      <c r="G882" s="36" t="str">
        <f t="shared" si="54"/>
        <v>2025-07</v>
      </c>
    </row>
    <row r="883" spans="1:7" x14ac:dyDescent="0.25">
      <c r="A883" s="37">
        <v>45848</v>
      </c>
      <c r="B883" s="38">
        <v>61896.173095703103</v>
      </c>
      <c r="C883" s="39">
        <f t="shared" si="55"/>
        <v>2.8202582751390981E-3</v>
      </c>
      <c r="D883" s="38">
        <f>MAX($B$2:B883)</f>
        <v>61896.173095703103</v>
      </c>
      <c r="E883" s="40">
        <f t="shared" si="52"/>
        <v>0</v>
      </c>
      <c r="F883" s="41">
        <f t="shared" si="53"/>
        <v>137.70420235984352</v>
      </c>
      <c r="G883" s="42" t="str">
        <f t="shared" si="54"/>
        <v>2025-07</v>
      </c>
    </row>
    <row r="884" spans="1:7" x14ac:dyDescent="0.25">
      <c r="A884" s="31">
        <v>45849</v>
      </c>
      <c r="B884" s="32">
        <v>61678.582763671897</v>
      </c>
      <c r="C884" s="33">
        <f t="shared" si="55"/>
        <v>-3.5154084840555155E-3</v>
      </c>
      <c r="D884" s="32">
        <f>MAX($B$2:B884)</f>
        <v>61896.173095703103</v>
      </c>
      <c r="E884" s="34">
        <f t="shared" si="52"/>
        <v>-3.5154084840555155E-3</v>
      </c>
      <c r="F884" s="35">
        <f t="shared" si="53"/>
        <v>137.22011583857761</v>
      </c>
      <c r="G884" s="36" t="str">
        <f t="shared" si="54"/>
        <v>2025-07</v>
      </c>
    </row>
    <row r="885" spans="1:7" x14ac:dyDescent="0.25">
      <c r="A885" s="37">
        <v>45852</v>
      </c>
      <c r="B885" s="38">
        <v>61796.276855468786</v>
      </c>
      <c r="C885" s="39">
        <f t="shared" si="55"/>
        <v>1.9081841138899325E-3</v>
      </c>
      <c r="D885" s="38">
        <f>MAX($B$2:B885)</f>
        <v>61896.173095703103</v>
      </c>
      <c r="E885" s="40">
        <f t="shared" si="52"/>
        <v>-1.6139324167886437E-3</v>
      </c>
      <c r="F885" s="41">
        <f t="shared" si="53"/>
        <v>137.48195708372691</v>
      </c>
      <c r="G885" s="42" t="str">
        <f t="shared" si="54"/>
        <v>2025-07</v>
      </c>
    </row>
    <row r="886" spans="1:7" x14ac:dyDescent="0.25">
      <c r="A886" s="31">
        <v>45853</v>
      </c>
      <c r="B886" s="32">
        <v>61532.208251953103</v>
      </c>
      <c r="C886" s="33">
        <f t="shared" si="55"/>
        <v>-4.2732121893572783E-3</v>
      </c>
      <c r="D886" s="32">
        <f>MAX($B$2:B886)</f>
        <v>61896.173095703103</v>
      </c>
      <c r="E886" s="34">
        <f t="shared" si="52"/>
        <v>-5.8802479304697064E-3</v>
      </c>
      <c r="F886" s="35">
        <f t="shared" si="53"/>
        <v>136.89446750890005</v>
      </c>
      <c r="G886" s="36" t="str">
        <f t="shared" si="54"/>
        <v>2025-07</v>
      </c>
    </row>
    <row r="887" spans="1:7" x14ac:dyDescent="0.25">
      <c r="A887" s="37">
        <v>45854</v>
      </c>
      <c r="B887" s="38">
        <v>61737.927246093786</v>
      </c>
      <c r="C887" s="39">
        <f t="shared" si="55"/>
        <v>3.3432733845393248E-3</v>
      </c>
      <c r="D887" s="38">
        <f>MAX($B$2:B887)</f>
        <v>61896.173095703103</v>
      </c>
      <c r="E887" s="40">
        <f t="shared" si="52"/>
        <v>-2.5566338223308449E-3</v>
      </c>
      <c r="F887" s="41">
        <f t="shared" si="53"/>
        <v>137.35214313861323</v>
      </c>
      <c r="G887" s="42" t="str">
        <f t="shared" si="54"/>
        <v>2025-07</v>
      </c>
    </row>
    <row r="888" spans="1:7" x14ac:dyDescent="0.25">
      <c r="A888" s="31">
        <v>45855</v>
      </c>
      <c r="B888" s="32">
        <v>62115.740966796897</v>
      </c>
      <c r="C888" s="33">
        <f t="shared" si="55"/>
        <v>6.1196372725165205E-3</v>
      </c>
      <c r="D888" s="32">
        <f>MAX($B$2:B888)</f>
        <v>62115.740966796897</v>
      </c>
      <c r="E888" s="34">
        <f t="shared" si="52"/>
        <v>0</v>
      </c>
      <c r="F888" s="35">
        <f t="shared" si="53"/>
        <v>138.19268843322433</v>
      </c>
      <c r="G888" s="36" t="str">
        <f t="shared" si="54"/>
        <v>2025-07</v>
      </c>
    </row>
    <row r="889" spans="1:7" x14ac:dyDescent="0.25">
      <c r="A889" s="37">
        <v>45856</v>
      </c>
      <c r="B889" s="38">
        <v>62070.245361328103</v>
      </c>
      <c r="C889" s="39">
        <f t="shared" si="55"/>
        <v>-7.3243279015400287E-4</v>
      </c>
      <c r="D889" s="38">
        <f>MAX($B$2:B889)</f>
        <v>62115.740966796897</v>
      </c>
      <c r="E889" s="40">
        <f t="shared" si="52"/>
        <v>-7.3243279015400287E-4</v>
      </c>
      <c r="F889" s="41">
        <f t="shared" si="53"/>
        <v>138.09147157685629</v>
      </c>
      <c r="G889" s="42" t="str">
        <f t="shared" si="54"/>
        <v>2025-07</v>
      </c>
    </row>
    <row r="890" spans="1:7" x14ac:dyDescent="0.25">
      <c r="A890" s="31">
        <v>45859</v>
      </c>
      <c r="B890" s="32">
        <v>62187.939453125</v>
      </c>
      <c r="C890" s="33">
        <f t="shared" si="55"/>
        <v>1.89614349213163E-3</v>
      </c>
      <c r="D890" s="32">
        <f>MAX($B$2:B890)</f>
        <v>62187.939453125</v>
      </c>
      <c r="E890" s="34">
        <f t="shared" si="52"/>
        <v>0</v>
      </c>
      <c r="F890" s="35">
        <f t="shared" si="53"/>
        <v>138.35331282200565</v>
      </c>
      <c r="G890" s="36" t="str">
        <f t="shared" si="54"/>
        <v>2025-07</v>
      </c>
    </row>
    <row r="891" spans="1:7" x14ac:dyDescent="0.25">
      <c r="A891" s="37">
        <v>45860</v>
      </c>
      <c r="B891" s="38">
        <v>62196.844482421897</v>
      </c>
      <c r="C891" s="39">
        <f t="shared" si="55"/>
        <v>1.4319543910290555E-4</v>
      </c>
      <c r="D891" s="38">
        <f>MAX($B$2:B891)</f>
        <v>62196.844482421897</v>
      </c>
      <c r="E891" s="40">
        <f t="shared" si="52"/>
        <v>0</v>
      </c>
      <c r="F891" s="41">
        <f t="shared" si="53"/>
        <v>138.37312438538655</v>
      </c>
      <c r="G891" s="42" t="str">
        <f t="shared" si="54"/>
        <v>2025-07</v>
      </c>
    </row>
    <row r="892" spans="1:7" x14ac:dyDescent="0.25">
      <c r="A892" s="31">
        <v>45861</v>
      </c>
      <c r="B892" s="32">
        <v>62725.982666015603</v>
      </c>
      <c r="C892" s="33">
        <f t="shared" si="55"/>
        <v>8.5074763518468988E-3</v>
      </c>
      <c r="D892" s="32">
        <f>MAX($B$2:B892)</f>
        <v>62725.982666015603</v>
      </c>
      <c r="E892" s="34">
        <f t="shared" si="52"/>
        <v>0</v>
      </c>
      <c r="F892" s="35">
        <f t="shared" si="53"/>
        <v>139.55033046882639</v>
      </c>
      <c r="G892" s="36" t="str">
        <f t="shared" si="54"/>
        <v>2025-07</v>
      </c>
    </row>
    <row r="893" spans="1:7" x14ac:dyDescent="0.25">
      <c r="A893" s="37">
        <v>45862</v>
      </c>
      <c r="B893" s="38">
        <v>62746.746826171897</v>
      </c>
      <c r="C893" s="39">
        <f t="shared" si="55"/>
        <v>3.3102965109144122E-4</v>
      </c>
      <c r="D893" s="38">
        <f>MAX($B$2:B893)</f>
        <v>62746.746826171897</v>
      </c>
      <c r="E893" s="40">
        <f t="shared" si="52"/>
        <v>0</v>
      </c>
      <c r="F893" s="41">
        <f t="shared" si="53"/>
        <v>139.59652576603116</v>
      </c>
      <c r="G893" s="42" t="str">
        <f t="shared" si="54"/>
        <v>2025-07</v>
      </c>
    </row>
    <row r="894" spans="1:7" x14ac:dyDescent="0.25">
      <c r="A894" s="31">
        <v>45863</v>
      </c>
      <c r="B894" s="32">
        <v>63011.810302734397</v>
      </c>
      <c r="C894" s="33">
        <f t="shared" si="55"/>
        <v>4.224338152491125E-3</v>
      </c>
      <c r="D894" s="32">
        <f>MAX($B$2:B894)</f>
        <v>63011.810302734397</v>
      </c>
      <c r="E894" s="34">
        <f t="shared" si="52"/>
        <v>0</v>
      </c>
      <c r="F894" s="35">
        <f t="shared" si="53"/>
        <v>140.18622869577982</v>
      </c>
      <c r="G894" s="36" t="str">
        <f t="shared" si="54"/>
        <v>2025-07</v>
      </c>
    </row>
    <row r="895" spans="1:7" x14ac:dyDescent="0.25">
      <c r="A895" s="37">
        <v>45866</v>
      </c>
      <c r="B895" s="38">
        <v>62995.989990234397</v>
      </c>
      <c r="C895" s="39">
        <f t="shared" si="55"/>
        <v>-2.5106900474680671E-4</v>
      </c>
      <c r="D895" s="38">
        <f>MAX($B$2:B895)</f>
        <v>63011.810302734397</v>
      </c>
      <c r="E895" s="40">
        <f t="shared" si="52"/>
        <v>-2.5106900474680671E-4</v>
      </c>
      <c r="F895" s="41">
        <f t="shared" si="53"/>
        <v>140.15103227886198</v>
      </c>
      <c r="G895" s="42" t="str">
        <f t="shared" si="54"/>
        <v>2025-07</v>
      </c>
    </row>
    <row r="896" spans="1:7" x14ac:dyDescent="0.25">
      <c r="A896" s="31">
        <v>45867</v>
      </c>
      <c r="B896" s="32">
        <v>62829.833984375</v>
      </c>
      <c r="C896" s="33">
        <f t="shared" si="55"/>
        <v>-2.6375648019049125E-3</v>
      </c>
      <c r="D896" s="32">
        <f>MAX($B$2:B896)</f>
        <v>63011.810302734397</v>
      </c>
      <c r="E896" s="34">
        <f t="shared" si="52"/>
        <v>-2.8879715958819441E-3</v>
      </c>
      <c r="F896" s="35">
        <f t="shared" si="53"/>
        <v>139.78137484917261</v>
      </c>
      <c r="G896" s="36" t="str">
        <f t="shared" si="54"/>
        <v>2025-07</v>
      </c>
    </row>
    <row r="897" spans="1:7" x14ac:dyDescent="0.25">
      <c r="A897" s="37">
        <v>45868</v>
      </c>
      <c r="B897" s="38">
        <v>62750.701904296897</v>
      </c>
      <c r="C897" s="39">
        <f t="shared" si="55"/>
        <v>-1.2594666428337176E-3</v>
      </c>
      <c r="D897" s="38">
        <f>MAX($B$2:B897)</f>
        <v>63011.810302734397</v>
      </c>
      <c r="E897" s="40">
        <f t="shared" si="52"/>
        <v>-4.143800934825248E-3</v>
      </c>
      <c r="F897" s="41">
        <f t="shared" si="53"/>
        <v>139.60532487026063</v>
      </c>
      <c r="G897" s="42" t="str">
        <f t="shared" si="54"/>
        <v>2025-07</v>
      </c>
    </row>
    <row r="898" spans="1:7" x14ac:dyDescent="0.25">
      <c r="A898" s="31">
        <v>45869</v>
      </c>
      <c r="B898" s="32">
        <v>62515.313720703103</v>
      </c>
      <c r="C898" s="33">
        <f t="shared" si="55"/>
        <v>-3.751164153554698E-3</v>
      </c>
      <c r="D898" s="32">
        <f>MAX($B$2:B898)</f>
        <v>63011.810302734397</v>
      </c>
      <c r="E898" s="34">
        <f t="shared" ref="E898:E961" si="56">B898/D898-1</f>
        <v>-7.8794210108537044E-3</v>
      </c>
      <c r="F898" s="35">
        <f t="shared" ref="F898:F961" si="57">B898/$B$2*100</f>
        <v>139.08164237996195</v>
      </c>
      <c r="G898" s="36" t="str">
        <f t="shared" ref="G898:G961" si="58">TEXT(A898,"YYYY-MM")</f>
        <v>2025-07</v>
      </c>
    </row>
    <row r="899" spans="1:7" x14ac:dyDescent="0.25">
      <c r="A899" s="37">
        <v>45870</v>
      </c>
      <c r="B899" s="38">
        <v>61490.661621093786</v>
      </c>
      <c r="C899" s="39">
        <f t="shared" ref="C899:C962" si="59">B899/B898-1</f>
        <v>-1.6390417621306552E-2</v>
      </c>
      <c r="D899" s="38">
        <f>MAX($B$2:B899)</f>
        <v>63011.810302734397</v>
      </c>
      <c r="E899" s="40">
        <f t="shared" si="56"/>
        <v>-2.4140691631178268E-2</v>
      </c>
      <c r="F899" s="41">
        <f t="shared" si="57"/>
        <v>136.80203617789718</v>
      </c>
      <c r="G899" s="42" t="str">
        <f t="shared" si="58"/>
        <v>2025-08</v>
      </c>
    </row>
    <row r="900" spans="1:7" x14ac:dyDescent="0.25">
      <c r="A900" s="31">
        <v>45873</v>
      </c>
      <c r="B900" s="32">
        <v>62425.305175781286</v>
      </c>
      <c r="C900" s="33">
        <f t="shared" si="59"/>
        <v>1.5199764160073403E-2</v>
      </c>
      <c r="D900" s="32">
        <f>MAX($B$2:B900)</f>
        <v>63011.810302734397</v>
      </c>
      <c r="E900" s="34">
        <f t="shared" si="56"/>
        <v>-9.3078602905598551E-3</v>
      </c>
      <c r="F900" s="35">
        <f t="shared" si="57"/>
        <v>138.88139486441904</v>
      </c>
      <c r="G900" s="36" t="str">
        <f t="shared" si="58"/>
        <v>2025-08</v>
      </c>
    </row>
    <row r="901" spans="1:7" x14ac:dyDescent="0.25">
      <c r="A901" s="37">
        <v>45874</v>
      </c>
      <c r="B901" s="38">
        <v>62108.819580078103</v>
      </c>
      <c r="C901" s="39">
        <f t="shared" si="59"/>
        <v>-5.0698285705131907E-3</v>
      </c>
      <c r="D901" s="38">
        <f>MAX($B$2:B901)</f>
        <v>63011.810302734397</v>
      </c>
      <c r="E901" s="40">
        <f t="shared" si="56"/>
        <v>-1.4330499605041624E-2</v>
      </c>
      <c r="F901" s="41">
        <f t="shared" si="57"/>
        <v>138.17729000082269</v>
      </c>
      <c r="G901" s="42" t="str">
        <f t="shared" si="58"/>
        <v>2025-08</v>
      </c>
    </row>
    <row r="902" spans="1:7" x14ac:dyDescent="0.25">
      <c r="A902" s="31">
        <v>45875</v>
      </c>
      <c r="B902" s="32">
        <v>62584.5458984375</v>
      </c>
      <c r="C902" s="33">
        <f t="shared" si="59"/>
        <v>7.659561420999772E-3</v>
      </c>
      <c r="D902" s="32">
        <f>MAX($B$2:B902)</f>
        <v>63011.810302734397</v>
      </c>
      <c r="E902" s="34">
        <f t="shared" si="56"/>
        <v>-6.7807035259603854E-3</v>
      </c>
      <c r="F902" s="35">
        <f t="shared" si="57"/>
        <v>139.23566744057126</v>
      </c>
      <c r="G902" s="36" t="str">
        <f t="shared" si="58"/>
        <v>2025-08</v>
      </c>
    </row>
    <row r="903" spans="1:7" x14ac:dyDescent="0.25">
      <c r="A903" s="37">
        <v>45876</v>
      </c>
      <c r="B903" s="38">
        <v>62532.12890625</v>
      </c>
      <c r="C903" s="39">
        <f t="shared" si="59"/>
        <v>-8.3753890732962688E-4</v>
      </c>
      <c r="D903" s="38">
        <f>MAX($B$2:B903)</f>
        <v>63011.810302734397</v>
      </c>
      <c r="E903" s="40">
        <f t="shared" si="56"/>
        <v>-7.6125633302679407E-3</v>
      </c>
      <c r="F903" s="41">
        <f t="shared" si="57"/>
        <v>139.11905215180178</v>
      </c>
      <c r="G903" s="42" t="str">
        <f t="shared" si="58"/>
        <v>2025-08</v>
      </c>
    </row>
    <row r="904" spans="1:7" x14ac:dyDescent="0.25">
      <c r="A904" s="31">
        <v>45877</v>
      </c>
      <c r="B904" s="32">
        <v>63019.720458984397</v>
      </c>
      <c r="C904" s="33">
        <f t="shared" si="59"/>
        <v>7.7974564637870447E-3</v>
      </c>
      <c r="D904" s="32">
        <f>MAX($B$2:B904)</f>
        <v>63019.720458984397</v>
      </c>
      <c r="E904" s="34">
        <f t="shared" si="56"/>
        <v>0</v>
      </c>
      <c r="F904" s="35">
        <f t="shared" si="57"/>
        <v>140.20382690423875</v>
      </c>
      <c r="G904" s="36" t="str">
        <f t="shared" si="58"/>
        <v>2025-08</v>
      </c>
    </row>
    <row r="905" spans="1:7" x14ac:dyDescent="0.25">
      <c r="A905" s="37">
        <v>45880</v>
      </c>
      <c r="B905" s="38">
        <v>62895.104980468786</v>
      </c>
      <c r="C905" s="39">
        <f t="shared" si="59"/>
        <v>-1.9774044951010872E-3</v>
      </c>
      <c r="D905" s="38">
        <f>MAX($B$2:B905)</f>
        <v>63019.720458984397</v>
      </c>
      <c r="E905" s="40">
        <f t="shared" si="56"/>
        <v>-1.9774044951010872E-3</v>
      </c>
      <c r="F905" s="41">
        <f t="shared" si="57"/>
        <v>139.92658722668793</v>
      </c>
      <c r="G905" s="42" t="str">
        <f t="shared" si="58"/>
        <v>2025-08</v>
      </c>
    </row>
    <row r="906" spans="1:7" x14ac:dyDescent="0.25">
      <c r="A906" s="31">
        <v>45881</v>
      </c>
      <c r="B906" s="32">
        <v>63564.691162109397</v>
      </c>
      <c r="C906" s="33">
        <f t="shared" si="59"/>
        <v>1.0646077812391574E-2</v>
      </c>
      <c r="D906" s="32">
        <f>MAX($B$2:B906)</f>
        <v>63564.691162109397</v>
      </c>
      <c r="E906" s="34">
        <f t="shared" si="56"/>
        <v>0</v>
      </c>
      <c r="F906" s="35">
        <f t="shared" si="57"/>
        <v>141.41625656232566</v>
      </c>
      <c r="G906" s="36" t="str">
        <f t="shared" si="58"/>
        <v>2025-08</v>
      </c>
    </row>
    <row r="907" spans="1:7" x14ac:dyDescent="0.25">
      <c r="A907" s="37">
        <v>45882</v>
      </c>
      <c r="B907" s="38">
        <v>63782.275390625</v>
      </c>
      <c r="C907" s="39">
        <f t="shared" si="59"/>
        <v>3.4230360367943913E-3</v>
      </c>
      <c r="D907" s="38">
        <f>MAX($B$2:B907)</f>
        <v>63782.275390625</v>
      </c>
      <c r="E907" s="40">
        <f t="shared" si="56"/>
        <v>0</v>
      </c>
      <c r="F907" s="41">
        <f t="shared" si="57"/>
        <v>141.90032950472704</v>
      </c>
      <c r="G907" s="42" t="str">
        <f t="shared" si="58"/>
        <v>2025-08</v>
      </c>
    </row>
    <row r="908" spans="1:7" x14ac:dyDescent="0.25">
      <c r="A908" s="31">
        <v>45883</v>
      </c>
      <c r="B908" s="32">
        <v>63788.2080078125</v>
      </c>
      <c r="C908" s="33">
        <f t="shared" si="59"/>
        <v>9.3013570794830969E-5</v>
      </c>
      <c r="D908" s="32">
        <f>MAX($B$2:B908)</f>
        <v>63788.2080078125</v>
      </c>
      <c r="E908" s="34">
        <f t="shared" si="56"/>
        <v>0</v>
      </c>
      <c r="F908" s="35">
        <f t="shared" si="57"/>
        <v>141.91352816107124</v>
      </c>
      <c r="G908" s="36" t="str">
        <f t="shared" si="58"/>
        <v>2025-08</v>
      </c>
    </row>
    <row r="909" spans="1:7" x14ac:dyDescent="0.25">
      <c r="A909" s="37">
        <v>45884</v>
      </c>
      <c r="B909" s="38">
        <v>63638.861083984397</v>
      </c>
      <c r="C909" s="39">
        <f t="shared" si="59"/>
        <v>-2.3412936104085791E-3</v>
      </c>
      <c r="D909" s="38">
        <f>MAX($B$2:B909)</f>
        <v>63788.2080078125</v>
      </c>
      <c r="E909" s="40">
        <f t="shared" si="56"/>
        <v>-2.3412936104085791E-3</v>
      </c>
      <c r="F909" s="41">
        <f t="shared" si="57"/>
        <v>141.58126692435721</v>
      </c>
      <c r="G909" s="42" t="str">
        <f t="shared" si="58"/>
        <v>2025-08</v>
      </c>
    </row>
    <row r="910" spans="1:7" x14ac:dyDescent="0.25">
      <c r="A910" s="31">
        <v>45887</v>
      </c>
      <c r="B910" s="32">
        <v>63625.018310546897</v>
      </c>
      <c r="C910" s="33">
        <f t="shared" si="59"/>
        <v>-2.1752076014103228E-4</v>
      </c>
      <c r="D910" s="32">
        <f>MAX($B$2:B910)</f>
        <v>63788.2080078125</v>
      </c>
      <c r="E910" s="34">
        <f t="shared" si="56"/>
        <v>-2.5583050905837457E-3</v>
      </c>
      <c r="F910" s="35">
        <f t="shared" si="57"/>
        <v>141.55047005955407</v>
      </c>
      <c r="G910" s="36" t="str">
        <f t="shared" si="58"/>
        <v>2025-08</v>
      </c>
    </row>
    <row r="911" spans="1:7" x14ac:dyDescent="0.25">
      <c r="A911" s="37">
        <v>45888</v>
      </c>
      <c r="B911" s="38">
        <v>63279.840087890603</v>
      </c>
      <c r="C911" s="39">
        <f t="shared" si="59"/>
        <v>-5.4251964372177275E-3</v>
      </c>
      <c r="D911" s="38">
        <f>MAX($B$2:B911)</f>
        <v>63788.2080078125</v>
      </c>
      <c r="E911" s="40">
        <f t="shared" si="56"/>
        <v>-7.9696222201387501E-3</v>
      </c>
      <c r="F911" s="41">
        <f t="shared" si="57"/>
        <v>140.78253095370047</v>
      </c>
      <c r="G911" s="42" t="str">
        <f t="shared" si="58"/>
        <v>2025-08</v>
      </c>
    </row>
    <row r="912" spans="1:7" x14ac:dyDescent="0.25">
      <c r="A912" s="31">
        <v>45889</v>
      </c>
      <c r="B912" s="32">
        <v>63111.6943359375</v>
      </c>
      <c r="C912" s="33">
        <f t="shared" si="59"/>
        <v>-2.6571772577105301E-3</v>
      </c>
      <c r="D912" s="32">
        <f>MAX($B$2:B912)</f>
        <v>63788.2080078125</v>
      </c>
      <c r="E912" s="34">
        <f t="shared" si="56"/>
        <v>-1.0605622778933399E-2</v>
      </c>
      <c r="F912" s="35">
        <f t="shared" si="57"/>
        <v>140.40844681416738</v>
      </c>
      <c r="G912" s="36" t="str">
        <f t="shared" si="58"/>
        <v>2025-08</v>
      </c>
    </row>
    <row r="913" spans="1:7" x14ac:dyDescent="0.25">
      <c r="A913" s="37">
        <v>45890</v>
      </c>
      <c r="B913" s="38">
        <v>62858.508300781286</v>
      </c>
      <c r="C913" s="39">
        <f t="shared" si="59"/>
        <v>-4.0117134838517643E-3</v>
      </c>
      <c r="D913" s="38">
        <f>MAX($B$2:B913)</f>
        <v>63788.2080078125</v>
      </c>
      <c r="E913" s="40">
        <f t="shared" si="56"/>
        <v>-1.4574789542878386E-2</v>
      </c>
      <c r="F913" s="41">
        <f t="shared" si="57"/>
        <v>139.84516835483629</v>
      </c>
      <c r="G913" s="42" t="str">
        <f t="shared" si="58"/>
        <v>2025-08</v>
      </c>
    </row>
    <row r="914" spans="1:7" x14ac:dyDescent="0.25">
      <c r="A914" s="31">
        <v>45891</v>
      </c>
      <c r="B914" s="32">
        <v>63823.815917968786</v>
      </c>
      <c r="C914" s="33">
        <f t="shared" si="59"/>
        <v>1.5356833041096918E-2</v>
      </c>
      <c r="D914" s="32">
        <f>MAX($B$2:B914)</f>
        <v>63823.815917968786</v>
      </c>
      <c r="E914" s="34">
        <f t="shared" si="56"/>
        <v>0</v>
      </c>
      <c r="F914" s="35">
        <f t="shared" si="57"/>
        <v>141.99274725686558</v>
      </c>
      <c r="G914" s="36" t="str">
        <f t="shared" si="58"/>
        <v>2025-08</v>
      </c>
    </row>
    <row r="915" spans="1:7" x14ac:dyDescent="0.25">
      <c r="A915" s="37">
        <v>45894</v>
      </c>
      <c r="B915" s="38">
        <v>63542.926025390603</v>
      </c>
      <c r="C915" s="39">
        <f t="shared" si="59"/>
        <v>-4.4010200352044837E-3</v>
      </c>
      <c r="D915" s="38">
        <f>MAX($B$2:B915)</f>
        <v>63823.815917968786</v>
      </c>
      <c r="E915" s="40">
        <f t="shared" si="56"/>
        <v>-4.4010200352044837E-3</v>
      </c>
      <c r="F915" s="41">
        <f t="shared" si="57"/>
        <v>141.36783433133439</v>
      </c>
      <c r="G915" s="42" t="str">
        <f t="shared" si="58"/>
        <v>2025-08</v>
      </c>
    </row>
    <row r="916" spans="1:7" x14ac:dyDescent="0.25">
      <c r="A916" s="31">
        <v>45895</v>
      </c>
      <c r="B916" s="32">
        <v>63808.978271484397</v>
      </c>
      <c r="C916" s="33">
        <f t="shared" si="59"/>
        <v>4.1869687585285309E-3</v>
      </c>
      <c r="D916" s="32">
        <f>MAX($B$2:B916)</f>
        <v>63823.815917968786</v>
      </c>
      <c r="E916" s="34">
        <f t="shared" si="56"/>
        <v>-2.3247821006910918E-4</v>
      </c>
      <c r="F916" s="35">
        <f t="shared" si="57"/>
        <v>141.95973703714054</v>
      </c>
      <c r="G916" s="36" t="str">
        <f t="shared" si="58"/>
        <v>2025-08</v>
      </c>
    </row>
    <row r="917" spans="1:7" x14ac:dyDescent="0.25">
      <c r="A917" s="37">
        <v>45896</v>
      </c>
      <c r="B917" s="38">
        <v>63954.3701171875</v>
      </c>
      <c r="C917" s="39">
        <f t="shared" si="59"/>
        <v>2.2785484055944938E-3</v>
      </c>
      <c r="D917" s="38">
        <f>MAX($B$2:B917)</f>
        <v>63954.3701171875</v>
      </c>
      <c r="E917" s="40">
        <f t="shared" si="56"/>
        <v>0</v>
      </c>
      <c r="F917" s="41">
        <f t="shared" si="57"/>
        <v>142.28319916962511</v>
      </c>
      <c r="G917" s="42" t="str">
        <f t="shared" si="58"/>
        <v>2025-08</v>
      </c>
    </row>
    <row r="918" spans="1:7" x14ac:dyDescent="0.25">
      <c r="A918" s="31">
        <v>45897</v>
      </c>
      <c r="B918" s="32">
        <v>64180.859375</v>
      </c>
      <c r="C918" s="33">
        <f t="shared" si="59"/>
        <v>3.541419568318549E-3</v>
      </c>
      <c r="D918" s="32">
        <f>MAX($B$2:B918)</f>
        <v>64180.859375</v>
      </c>
      <c r="E918" s="34">
        <f t="shared" si="56"/>
        <v>0</v>
      </c>
      <c r="F918" s="35">
        <f t="shared" si="57"/>
        <v>142.78708367540739</v>
      </c>
      <c r="G918" s="36" t="str">
        <f t="shared" si="58"/>
        <v>2025-08</v>
      </c>
    </row>
    <row r="919" spans="1:7" x14ac:dyDescent="0.25">
      <c r="A919" s="37">
        <v>45898</v>
      </c>
      <c r="B919" s="38">
        <v>63798.101806640603</v>
      </c>
      <c r="C919" s="39">
        <f t="shared" si="59"/>
        <v>-5.9637339245178778E-3</v>
      </c>
      <c r="D919" s="38">
        <f>MAX($B$2:B919)</f>
        <v>64180.859375</v>
      </c>
      <c r="E919" s="40">
        <f t="shared" si="56"/>
        <v>-5.9637339245178778E-3</v>
      </c>
      <c r="F919" s="41">
        <f t="shared" si="57"/>
        <v>141.93553950050941</v>
      </c>
      <c r="G919" s="42" t="str">
        <f t="shared" si="58"/>
        <v>2025-08</v>
      </c>
    </row>
    <row r="920" spans="1:7" x14ac:dyDescent="0.25">
      <c r="A920" s="31">
        <v>45902</v>
      </c>
      <c r="B920" s="32">
        <v>63325.335693359397</v>
      </c>
      <c r="C920" s="33">
        <f t="shared" si="59"/>
        <v>-7.4103476419105085E-3</v>
      </c>
      <c r="D920" s="32">
        <f>MAX($B$2:B920)</f>
        <v>64180.859375</v>
      </c>
      <c r="E920" s="34">
        <f t="shared" si="56"/>
        <v>-1.3329888224803854E-2</v>
      </c>
      <c r="F920" s="35">
        <f t="shared" si="57"/>
        <v>140.88374781006851</v>
      </c>
      <c r="G920" s="36" t="str">
        <f t="shared" si="58"/>
        <v>2025-09</v>
      </c>
    </row>
    <row r="921" spans="1:7" x14ac:dyDescent="0.25">
      <c r="A921" s="37">
        <v>45903</v>
      </c>
      <c r="B921" s="38">
        <v>63668.536376953103</v>
      </c>
      <c r="C921" s="39">
        <f t="shared" si="59"/>
        <v>5.4196425464776432E-3</v>
      </c>
      <c r="D921" s="38">
        <f>MAX($B$2:B921)</f>
        <v>64180.859375</v>
      </c>
      <c r="E921" s="40">
        <f t="shared" si="56"/>
        <v>-7.9824889076891559E-3</v>
      </c>
      <c r="F921" s="41">
        <f t="shared" si="57"/>
        <v>141.64728736380718</v>
      </c>
      <c r="G921" s="42" t="str">
        <f t="shared" si="58"/>
        <v>2025-09</v>
      </c>
    </row>
    <row r="922" spans="1:7" x14ac:dyDescent="0.25">
      <c r="A922" s="31">
        <v>45904</v>
      </c>
      <c r="B922" s="32">
        <v>64200.640869140603</v>
      </c>
      <c r="C922" s="33">
        <f t="shared" si="59"/>
        <v>8.3574167472162397E-3</v>
      </c>
      <c r="D922" s="32">
        <f>MAX($B$2:B922)</f>
        <v>64200.640869140603</v>
      </c>
      <c r="E922" s="34">
        <f t="shared" si="56"/>
        <v>0</v>
      </c>
      <c r="F922" s="35">
        <f t="shared" si="57"/>
        <v>142.83109277541922</v>
      </c>
      <c r="G922" s="36" t="str">
        <f t="shared" si="58"/>
        <v>2025-09</v>
      </c>
    </row>
    <row r="923" spans="1:7" x14ac:dyDescent="0.25">
      <c r="A923" s="37">
        <v>45905</v>
      </c>
      <c r="B923" s="38">
        <v>64014.691162109397</v>
      </c>
      <c r="C923" s="39">
        <f t="shared" si="59"/>
        <v>-2.8963839692850435E-3</v>
      </c>
      <c r="D923" s="38">
        <f>MAX($B$2:B923)</f>
        <v>64200.640869140603</v>
      </c>
      <c r="E923" s="40">
        <f t="shared" si="56"/>
        <v>-2.8963839692850435E-3</v>
      </c>
      <c r="F923" s="41">
        <f t="shared" si="57"/>
        <v>142.41739908798903</v>
      </c>
      <c r="G923" s="42" t="str">
        <f t="shared" si="58"/>
        <v>2025-09</v>
      </c>
    </row>
    <row r="924" spans="1:7" x14ac:dyDescent="0.25">
      <c r="A924" s="31">
        <v>45908</v>
      </c>
      <c r="B924" s="32">
        <v>64171.966552734397</v>
      </c>
      <c r="C924" s="33">
        <f t="shared" si="59"/>
        <v>2.4568640068374226E-3</v>
      </c>
      <c r="D924" s="32">
        <f>MAX($B$2:B924)</f>
        <v>64200.640869140603</v>
      </c>
      <c r="E924" s="34">
        <f t="shared" si="56"/>
        <v>-4.4663598397176596E-4</v>
      </c>
      <c r="F924" s="35">
        <f t="shared" si="57"/>
        <v>142.76729926975571</v>
      </c>
      <c r="G924" s="36" t="str">
        <f t="shared" si="58"/>
        <v>2025-09</v>
      </c>
    </row>
    <row r="925" spans="1:7" x14ac:dyDescent="0.25">
      <c r="A925" s="37">
        <v>45909</v>
      </c>
      <c r="B925" s="38">
        <v>64320.318603515603</v>
      </c>
      <c r="C925" s="39">
        <f t="shared" si="59"/>
        <v>2.3117890685069309E-3</v>
      </c>
      <c r="D925" s="38">
        <f>MAX($B$2:B925)</f>
        <v>64320.318603515603</v>
      </c>
      <c r="E925" s="40">
        <f t="shared" si="56"/>
        <v>0</v>
      </c>
      <c r="F925" s="41">
        <f t="shared" si="57"/>
        <v>143.09734715154778</v>
      </c>
      <c r="G925" s="42" t="str">
        <f t="shared" si="58"/>
        <v>2025-09</v>
      </c>
    </row>
    <row r="926" spans="1:7" x14ac:dyDescent="0.25">
      <c r="A926" s="31">
        <v>45910</v>
      </c>
      <c r="B926" s="32">
        <v>64506.25</v>
      </c>
      <c r="C926" s="33">
        <f t="shared" si="59"/>
        <v>2.8907101289488146E-3</v>
      </c>
      <c r="D926" s="32">
        <f>MAX($B$2:B926)</f>
        <v>64506.25</v>
      </c>
      <c r="E926" s="34">
        <f t="shared" si="56"/>
        <v>0</v>
      </c>
      <c r="F926" s="35">
        <f t="shared" si="57"/>
        <v>143.51100010238446</v>
      </c>
      <c r="G926" s="36" t="str">
        <f t="shared" si="58"/>
        <v>2025-09</v>
      </c>
    </row>
    <row r="927" spans="1:7" x14ac:dyDescent="0.25">
      <c r="A927" s="37">
        <v>45911</v>
      </c>
      <c r="B927" s="38">
        <v>65042.315673828103</v>
      </c>
      <c r="C927" s="39">
        <f t="shared" si="59"/>
        <v>8.3102904575618197E-3</v>
      </c>
      <c r="D927" s="38">
        <f>MAX($B$2:B927)</f>
        <v>65042.315673828103</v>
      </c>
      <c r="E927" s="40">
        <f t="shared" si="56"/>
        <v>0</v>
      </c>
      <c r="F927" s="41">
        <f t="shared" si="57"/>
        <v>144.70361819709046</v>
      </c>
      <c r="G927" s="42" t="str">
        <f t="shared" si="58"/>
        <v>2025-09</v>
      </c>
    </row>
    <row r="928" spans="1:7" x14ac:dyDescent="0.25">
      <c r="A928" s="31">
        <v>45912</v>
      </c>
      <c r="B928" s="32">
        <v>65020.544433593786</v>
      </c>
      <c r="C928" s="33">
        <f t="shared" si="59"/>
        <v>-3.3472424849534388E-4</v>
      </c>
      <c r="D928" s="32">
        <f>MAX($B$2:B928)</f>
        <v>65042.315673828103</v>
      </c>
      <c r="E928" s="34">
        <f t="shared" si="56"/>
        <v>-3.3472424849534388E-4</v>
      </c>
      <c r="F928" s="35">
        <f t="shared" si="57"/>
        <v>144.6551823872349</v>
      </c>
      <c r="G928" s="36" t="str">
        <f t="shared" si="58"/>
        <v>2025-09</v>
      </c>
    </row>
    <row r="929" spans="1:7" x14ac:dyDescent="0.25">
      <c r="A929" s="37">
        <v>45915</v>
      </c>
      <c r="B929" s="38">
        <v>65366.717529296897</v>
      </c>
      <c r="C929" s="39">
        <f t="shared" si="59"/>
        <v>5.3240571686794524E-3</v>
      </c>
      <c r="D929" s="38">
        <f>MAX($B$2:B929)</f>
        <v>65366.717529296897</v>
      </c>
      <c r="E929" s="40">
        <f t="shared" si="56"/>
        <v>0</v>
      </c>
      <c r="F929" s="41">
        <f t="shared" si="57"/>
        <v>145.42533484801029</v>
      </c>
      <c r="G929" s="42" t="str">
        <f t="shared" si="58"/>
        <v>2025-09</v>
      </c>
    </row>
    <row r="930" spans="1:7" x14ac:dyDescent="0.25">
      <c r="A930" s="31">
        <v>45916</v>
      </c>
      <c r="B930" s="32">
        <v>65276.715087890603</v>
      </c>
      <c r="C930" s="33">
        <f t="shared" si="59"/>
        <v>-1.3768848246962229E-3</v>
      </c>
      <c r="D930" s="32">
        <f>MAX($B$2:B930)</f>
        <v>65366.717529296897</v>
      </c>
      <c r="E930" s="34">
        <f t="shared" si="56"/>
        <v>-1.3768848246962229E-3</v>
      </c>
      <c r="F930" s="35">
        <f t="shared" si="57"/>
        <v>145.22510091133171</v>
      </c>
      <c r="G930" s="36" t="str">
        <f t="shared" si="58"/>
        <v>2025-09</v>
      </c>
    </row>
    <row r="931" spans="1:7" x14ac:dyDescent="0.25">
      <c r="A931" s="37">
        <v>45917</v>
      </c>
      <c r="B931" s="38">
        <v>65195.611572265603</v>
      </c>
      <c r="C931" s="39">
        <f t="shared" si="59"/>
        <v>-1.242457061691904E-3</v>
      </c>
      <c r="D931" s="38">
        <f>MAX($B$2:B931)</f>
        <v>65366.717529296897</v>
      </c>
      <c r="E931" s="40">
        <f t="shared" si="56"/>
        <v>-2.6176311661145757E-3</v>
      </c>
      <c r="F931" s="41">
        <f t="shared" si="57"/>
        <v>145.04466495916949</v>
      </c>
      <c r="G931" s="42" t="str">
        <f t="shared" si="58"/>
        <v>2025-09</v>
      </c>
    </row>
    <row r="932" spans="1:7" x14ac:dyDescent="0.25">
      <c r="A932" s="31">
        <v>45918</v>
      </c>
      <c r="B932" s="32">
        <v>65500.238037109397</v>
      </c>
      <c r="C932" s="33">
        <f t="shared" si="59"/>
        <v>4.6724995363549571E-3</v>
      </c>
      <c r="D932" s="32">
        <f>MAX($B$2:B932)</f>
        <v>65500.238037109397</v>
      </c>
      <c r="E932" s="34">
        <f t="shared" si="56"/>
        <v>0</v>
      </c>
      <c r="F932" s="35">
        <f t="shared" si="57"/>
        <v>145.72238608894199</v>
      </c>
      <c r="G932" s="36" t="str">
        <f t="shared" si="58"/>
        <v>2025-09</v>
      </c>
    </row>
    <row r="933" spans="1:7" x14ac:dyDescent="0.25">
      <c r="A933" s="37">
        <v>45919</v>
      </c>
      <c r="B933" s="38">
        <v>65824.652099609404</v>
      </c>
      <c r="C933" s="39">
        <f t="shared" si="59"/>
        <v>4.9528684508934884E-3</v>
      </c>
      <c r="D933" s="38">
        <f>MAX($B$2:B933)</f>
        <v>65824.652099609404</v>
      </c>
      <c r="E933" s="40">
        <f t="shared" si="56"/>
        <v>0</v>
      </c>
      <c r="F933" s="41">
        <f t="shared" si="57"/>
        <v>146.44412989759081</v>
      </c>
      <c r="G933" s="42" t="str">
        <f t="shared" si="58"/>
        <v>2025-09</v>
      </c>
    </row>
    <row r="934" spans="1:7" x14ac:dyDescent="0.25">
      <c r="A934" s="31">
        <v>45922</v>
      </c>
      <c r="B934" s="32">
        <v>66136.071777343794</v>
      </c>
      <c r="C934" s="33">
        <f t="shared" si="59"/>
        <v>4.7310493531076414E-3</v>
      </c>
      <c r="D934" s="32">
        <f>MAX($B$2:B934)</f>
        <v>66136.071777343794</v>
      </c>
      <c r="E934" s="34">
        <f t="shared" si="56"/>
        <v>0</v>
      </c>
      <c r="F934" s="35">
        <f t="shared" si="57"/>
        <v>147.13696430360923</v>
      </c>
      <c r="G934" s="36" t="str">
        <f t="shared" si="58"/>
        <v>2025-09</v>
      </c>
    </row>
    <row r="935" spans="1:7" x14ac:dyDescent="0.25">
      <c r="A935" s="37">
        <v>45923</v>
      </c>
      <c r="B935" s="38">
        <v>65776.062011718794</v>
      </c>
      <c r="C935" s="39">
        <f t="shared" si="59"/>
        <v>-5.4434706499808527E-3</v>
      </c>
      <c r="D935" s="38">
        <f>MAX($B$2:B935)</f>
        <v>66136.071777343794</v>
      </c>
      <c r="E935" s="40">
        <f t="shared" si="56"/>
        <v>-5.4434706499808527E-3</v>
      </c>
      <c r="F935" s="41">
        <f t="shared" si="57"/>
        <v>146.33602855689526</v>
      </c>
      <c r="G935" s="42" t="str">
        <f t="shared" si="58"/>
        <v>2025-09</v>
      </c>
    </row>
    <row r="936" spans="1:7" x14ac:dyDescent="0.25">
      <c r="A936" s="31">
        <v>45924</v>
      </c>
      <c r="B936" s="32">
        <v>65566.784667968794</v>
      </c>
      <c r="C936" s="33">
        <f t="shared" si="59"/>
        <v>-3.1816642308674092E-3</v>
      </c>
      <c r="D936" s="32">
        <f>MAX($B$2:B936)</f>
        <v>66136.071777343794</v>
      </c>
      <c r="E936" s="34">
        <f t="shared" si="56"/>
        <v>-8.6078155849894644E-3</v>
      </c>
      <c r="F936" s="35">
        <f t="shared" si="57"/>
        <v>145.8704364491486</v>
      </c>
      <c r="G936" s="36" t="str">
        <f t="shared" si="58"/>
        <v>2025-09</v>
      </c>
    </row>
    <row r="937" spans="1:7" x14ac:dyDescent="0.25">
      <c r="A937" s="37">
        <v>45925</v>
      </c>
      <c r="B937" s="38">
        <v>65264.294433593786</v>
      </c>
      <c r="C937" s="39">
        <f t="shared" si="59"/>
        <v>-4.6134675645118639E-3</v>
      </c>
      <c r="D937" s="38">
        <f>MAX($B$2:B937)</f>
        <v>66136.071777343794</v>
      </c>
      <c r="E937" s="40">
        <f t="shared" si="56"/>
        <v>-1.318157127149866E-2</v>
      </c>
      <c r="F937" s="41">
        <f t="shared" si="57"/>
        <v>145.19746792196923</v>
      </c>
      <c r="G937" s="42" t="str">
        <f t="shared" si="58"/>
        <v>2025-09</v>
      </c>
    </row>
    <row r="938" spans="1:7" x14ac:dyDescent="0.25">
      <c r="A938" s="31">
        <v>45926</v>
      </c>
      <c r="B938" s="32">
        <v>65638.201904296904</v>
      </c>
      <c r="C938" s="33">
        <f t="shared" si="59"/>
        <v>5.7291276025908111E-3</v>
      </c>
      <c r="D938" s="32">
        <f>MAX($B$2:B938)</f>
        <v>66136.071777343794</v>
      </c>
      <c r="E938" s="34">
        <f t="shared" si="56"/>
        <v>-7.5279625727249222E-3</v>
      </c>
      <c r="F938" s="35">
        <f t="shared" si="57"/>
        <v>146.0293227432673</v>
      </c>
      <c r="G938" s="36" t="str">
        <f t="shared" si="58"/>
        <v>2025-09</v>
      </c>
    </row>
    <row r="939" spans="1:7" x14ac:dyDescent="0.25">
      <c r="A939" s="37">
        <v>45929</v>
      </c>
      <c r="B939" s="38">
        <v>65822.668457031294</v>
      </c>
      <c r="C939" s="39">
        <f t="shared" si="59"/>
        <v>2.8103535347197006E-3</v>
      </c>
      <c r="D939" s="38">
        <f>MAX($B$2:B939)</f>
        <v>66136.071777343794</v>
      </c>
      <c r="E939" s="40">
        <f t="shared" si="56"/>
        <v>-4.7387652742305608E-3</v>
      </c>
      <c r="F939" s="41">
        <f t="shared" si="57"/>
        <v>146.43971676661155</v>
      </c>
      <c r="G939" s="42" t="str">
        <f t="shared" si="58"/>
        <v>2025-09</v>
      </c>
    </row>
    <row r="940" spans="1:7" x14ac:dyDescent="0.25">
      <c r="A940" s="31">
        <v>45930</v>
      </c>
      <c r="B940" s="32">
        <v>66070.611572265596</v>
      </c>
      <c r="C940" s="33">
        <f t="shared" si="59"/>
        <v>3.7668347553572179E-3</v>
      </c>
      <c r="D940" s="32">
        <f>MAX($B$2:B940)</f>
        <v>66136.071777343794</v>
      </c>
      <c r="E940" s="34">
        <f t="shared" si="56"/>
        <v>-9.89780664605866E-4</v>
      </c>
      <c r="F940" s="35">
        <f t="shared" si="57"/>
        <v>146.99133098129272</v>
      </c>
      <c r="G940" s="36" t="str">
        <f t="shared" si="58"/>
        <v>2025-09</v>
      </c>
    </row>
    <row r="941" spans="1:7" x14ac:dyDescent="0.25">
      <c r="A941" s="37">
        <v>45931</v>
      </c>
      <c r="B941" s="38">
        <v>66295.751953125</v>
      </c>
      <c r="C941" s="39">
        <f t="shared" si="59"/>
        <v>3.4075722246516005E-3</v>
      </c>
      <c r="D941" s="38">
        <f>MAX($B$2:B941)</f>
        <v>66295.751953125</v>
      </c>
      <c r="E941" s="40">
        <f t="shared" si="56"/>
        <v>0</v>
      </c>
      <c r="F941" s="41">
        <f t="shared" si="57"/>
        <v>147.49221455800915</v>
      </c>
      <c r="G941" s="42" t="str">
        <f t="shared" si="58"/>
        <v>2025-10</v>
      </c>
    </row>
    <row r="942" spans="1:7" x14ac:dyDescent="0.25">
      <c r="A942" s="31">
        <v>45932</v>
      </c>
      <c r="B942" s="32">
        <v>66372.106933593794</v>
      </c>
      <c r="C942" s="33">
        <f t="shared" si="59"/>
        <v>1.1517326256857974E-3</v>
      </c>
      <c r="D942" s="32">
        <f>MAX($B$2:B942)</f>
        <v>66372.106933593794</v>
      </c>
      <c r="E942" s="34">
        <f t="shared" si="56"/>
        <v>0</v>
      </c>
      <c r="F942" s="35">
        <f t="shared" si="57"/>
        <v>147.66208615355026</v>
      </c>
      <c r="G942" s="36" t="str">
        <f t="shared" si="58"/>
        <v>2025-10</v>
      </c>
    </row>
    <row r="943" spans="1:7" x14ac:dyDescent="0.25">
      <c r="A943" s="37">
        <v>45933</v>
      </c>
      <c r="B943" s="38">
        <v>66371.124267578096</v>
      </c>
      <c r="C943" s="39">
        <f t="shared" si="59"/>
        <v>-1.4805406383766595E-5</v>
      </c>
      <c r="D943" s="38">
        <f>MAX($B$2:B943)</f>
        <v>66372.106933593794</v>
      </c>
      <c r="E943" s="40">
        <f t="shared" si="56"/>
        <v>-1.4805406383766595E-5</v>
      </c>
      <c r="F943" s="41">
        <f t="shared" si="57"/>
        <v>147.65989995635729</v>
      </c>
      <c r="G943" s="42" t="str">
        <f t="shared" si="58"/>
        <v>2025-10</v>
      </c>
    </row>
    <row r="944" spans="1:7" x14ac:dyDescent="0.25">
      <c r="A944" s="31">
        <v>45936</v>
      </c>
      <c r="B944" s="32">
        <v>66609.149169921904</v>
      </c>
      <c r="C944" s="33">
        <f t="shared" si="59"/>
        <v>3.5862719664685461E-3</v>
      </c>
      <c r="D944" s="32">
        <f>MAX($B$2:B944)</f>
        <v>66609.149169921904</v>
      </c>
      <c r="E944" s="34">
        <f t="shared" si="56"/>
        <v>0</v>
      </c>
      <c r="F944" s="35">
        <f t="shared" si="57"/>
        <v>148.18944851614231</v>
      </c>
      <c r="G944" s="36" t="str">
        <f t="shared" si="58"/>
        <v>2025-10</v>
      </c>
    </row>
    <row r="945" spans="1:7" x14ac:dyDescent="0.25">
      <c r="A945" s="37">
        <v>45937</v>
      </c>
      <c r="B945" s="38">
        <v>66362.194824218794</v>
      </c>
      <c r="C945" s="39">
        <f t="shared" si="59"/>
        <v>-3.7075138893175597E-3</v>
      </c>
      <c r="D945" s="38">
        <f>MAX($B$2:B945)</f>
        <v>66609.149169921904</v>
      </c>
      <c r="E945" s="40">
        <f t="shared" si="56"/>
        <v>-3.7075138893175597E-3</v>
      </c>
      <c r="F945" s="41">
        <f t="shared" si="57"/>
        <v>147.64003407751841</v>
      </c>
      <c r="G945" s="42" t="str">
        <f t="shared" si="58"/>
        <v>2025-10</v>
      </c>
    </row>
    <row r="946" spans="1:7" x14ac:dyDescent="0.25">
      <c r="A946" s="31">
        <v>45938</v>
      </c>
      <c r="B946" s="32">
        <v>66757.916259765596</v>
      </c>
      <c r="C946" s="33">
        <f t="shared" si="59"/>
        <v>5.9630552695701944E-3</v>
      </c>
      <c r="D946" s="32">
        <f>MAX($B$2:B946)</f>
        <v>66757.916259765596</v>
      </c>
      <c r="E946" s="34">
        <f t="shared" si="56"/>
        <v>0</v>
      </c>
      <c r="F946" s="35">
        <f t="shared" si="57"/>
        <v>148.52041976072388</v>
      </c>
      <c r="G946" s="36" t="str">
        <f t="shared" si="58"/>
        <v>2025-10</v>
      </c>
    </row>
    <row r="947" spans="1:7" x14ac:dyDescent="0.25">
      <c r="A947" s="37">
        <v>45939</v>
      </c>
      <c r="B947" s="38">
        <v>66564.520263671904</v>
      </c>
      <c r="C947" s="39">
        <f t="shared" si="59"/>
        <v>-2.896974724932333E-3</v>
      </c>
      <c r="D947" s="38">
        <f>MAX($B$2:B947)</f>
        <v>66757.916259765596</v>
      </c>
      <c r="E947" s="40">
        <f t="shared" si="56"/>
        <v>-2.896974724932333E-3</v>
      </c>
      <c r="F947" s="41">
        <f t="shared" si="57"/>
        <v>148.09015985854072</v>
      </c>
      <c r="G947" s="42" t="str">
        <f t="shared" si="58"/>
        <v>2025-10</v>
      </c>
    </row>
    <row r="948" spans="1:7" x14ac:dyDescent="0.25">
      <c r="A948" s="31">
        <v>45940</v>
      </c>
      <c r="B948" s="32">
        <v>64765.423583984397</v>
      </c>
      <c r="C948" s="33">
        <f t="shared" si="59"/>
        <v>-2.7027862178845674E-2</v>
      </c>
      <c r="D948" s="32">
        <f>MAX($B$2:B948)</f>
        <v>66757.916259765596</v>
      </c>
      <c r="E948" s="34">
        <f t="shared" si="56"/>
        <v>-2.9846537870176992E-2</v>
      </c>
      <c r="F948" s="35">
        <f t="shared" si="57"/>
        <v>144.08759942784084</v>
      </c>
      <c r="G948" s="36" t="str">
        <f t="shared" si="58"/>
        <v>2025-10</v>
      </c>
    </row>
    <row r="949" spans="1:7" x14ac:dyDescent="0.25">
      <c r="A949" s="37">
        <v>45943</v>
      </c>
      <c r="B949" s="38">
        <v>65759.191894531294</v>
      </c>
      <c r="C949" s="39">
        <f t="shared" si="59"/>
        <v>1.5344118135168783E-2</v>
      </c>
      <c r="D949" s="38">
        <f>MAX($B$2:B949)</f>
        <v>66757.916259765596</v>
      </c>
      <c r="E949" s="40">
        <f t="shared" si="56"/>
        <v>-1.4960388538014069E-2</v>
      </c>
      <c r="F949" s="41">
        <f t="shared" si="57"/>
        <v>146.2984965752745</v>
      </c>
      <c r="G949" s="42" t="str">
        <f t="shared" si="58"/>
        <v>2025-10</v>
      </c>
    </row>
    <row r="950" spans="1:7" x14ac:dyDescent="0.25">
      <c r="A950" s="31">
        <v>45944</v>
      </c>
      <c r="B950" s="32">
        <v>65678.857421875</v>
      </c>
      <c r="C950" s="33">
        <f t="shared" si="59"/>
        <v>-1.2216462876419865E-3</v>
      </c>
      <c r="D950" s="32">
        <f>MAX($B$2:B950)</f>
        <v>66757.916259765596</v>
      </c>
      <c r="E950" s="34">
        <f t="shared" si="56"/>
        <v>-1.6163758522536931E-2</v>
      </c>
      <c r="F950" s="35">
        <f t="shared" si="57"/>
        <v>146.11977156004571</v>
      </c>
      <c r="G950" s="36" t="str">
        <f t="shared" si="58"/>
        <v>2025-10</v>
      </c>
    </row>
    <row r="951" spans="1:7" x14ac:dyDescent="0.25">
      <c r="A951" s="37">
        <v>45945</v>
      </c>
      <c r="B951" s="38">
        <v>65970.446777343794</v>
      </c>
      <c r="C951" s="39">
        <f t="shared" si="59"/>
        <v>4.4396228392924453E-3</v>
      </c>
      <c r="D951" s="38">
        <f>MAX($B$2:B951)</f>
        <v>66757.916259765596</v>
      </c>
      <c r="E951" s="40">
        <f t="shared" si="56"/>
        <v>-1.1795896674749895E-2</v>
      </c>
      <c r="F951" s="41">
        <f t="shared" si="57"/>
        <v>146.76848823513589</v>
      </c>
      <c r="G951" s="42" t="str">
        <f t="shared" si="58"/>
        <v>2025-10</v>
      </c>
    </row>
    <row r="952" spans="1:7" x14ac:dyDescent="0.25">
      <c r="A952" s="31">
        <v>45946</v>
      </c>
      <c r="B952" s="32">
        <v>65521.1669921875</v>
      </c>
      <c r="C952" s="33">
        <f t="shared" si="59"/>
        <v>-6.8103189701390621E-3</v>
      </c>
      <c r="D952" s="32">
        <f>MAX($B$2:B952)</f>
        <v>66757.916259765596</v>
      </c>
      <c r="E952" s="34">
        <f t="shared" si="56"/>
        <v>-1.8525881825995127E-2</v>
      </c>
      <c r="F952" s="35">
        <f t="shared" si="57"/>
        <v>145.76894801548951</v>
      </c>
      <c r="G952" s="36" t="str">
        <f t="shared" si="58"/>
        <v>2025-10</v>
      </c>
    </row>
    <row r="953" spans="1:7" x14ac:dyDescent="0.25">
      <c r="A953" s="37">
        <v>45947</v>
      </c>
      <c r="B953" s="38">
        <v>65893.084716796904</v>
      </c>
      <c r="C953" s="39">
        <f t="shared" si="59"/>
        <v>5.6762988463521236E-3</v>
      </c>
      <c r="D953" s="38">
        <f>MAX($B$2:B953)</f>
        <v>66757.916259765596</v>
      </c>
      <c r="E953" s="40">
        <f t="shared" si="56"/>
        <v>-1.2954741421279503E-2</v>
      </c>
      <c r="F953" s="41">
        <f t="shared" si="57"/>
        <v>146.5963761269438</v>
      </c>
      <c r="G953" s="42" t="str">
        <f t="shared" si="58"/>
        <v>2025-10</v>
      </c>
    </row>
    <row r="954" spans="1:7" x14ac:dyDescent="0.25">
      <c r="A954" s="31">
        <v>45950</v>
      </c>
      <c r="B954" s="32">
        <v>66578.405761718794</v>
      </c>
      <c r="C954" s="33">
        <f t="shared" si="59"/>
        <v>1.0400500262923495E-2</v>
      </c>
      <c r="D954" s="32">
        <f>MAX($B$2:B954)</f>
        <v>66757.916259765596</v>
      </c>
      <c r="E954" s="34">
        <f t="shared" si="56"/>
        <v>-2.6889769499141014E-3</v>
      </c>
      <c r="F954" s="35">
        <f t="shared" si="57"/>
        <v>148.12105177539573</v>
      </c>
      <c r="G954" s="36" t="str">
        <f t="shared" si="58"/>
        <v>2025-10</v>
      </c>
    </row>
    <row r="955" spans="1:7" x14ac:dyDescent="0.25">
      <c r="A955" s="37">
        <v>45951</v>
      </c>
      <c r="B955" s="38">
        <v>66577.404785156294</v>
      </c>
      <c r="C955" s="39">
        <f t="shared" si="59"/>
        <v>-1.5034552886095121E-5</v>
      </c>
      <c r="D955" s="38">
        <f>MAX($B$2:B955)</f>
        <v>66757.916259765596</v>
      </c>
      <c r="E955" s="40">
        <f t="shared" si="56"/>
        <v>-2.7039710752340129E-3</v>
      </c>
      <c r="F955" s="41">
        <f t="shared" si="57"/>
        <v>148.11882484160924</v>
      </c>
      <c r="G955" s="42" t="str">
        <f t="shared" si="58"/>
        <v>2025-10</v>
      </c>
    </row>
    <row r="956" spans="1:7" x14ac:dyDescent="0.25">
      <c r="A956" s="31">
        <v>45952</v>
      </c>
      <c r="B956" s="32">
        <v>66231.280517578096</v>
      </c>
      <c r="C956" s="33">
        <f t="shared" si="59"/>
        <v>-5.198824867012064E-3</v>
      </c>
      <c r="D956" s="32">
        <f>MAX($B$2:B956)</f>
        <v>66757.916259765596</v>
      </c>
      <c r="E956" s="34">
        <f t="shared" si="56"/>
        <v>-7.8887384701804564E-3</v>
      </c>
      <c r="F956" s="35">
        <f t="shared" si="57"/>
        <v>147.34878101175011</v>
      </c>
      <c r="G956" s="36" t="str">
        <f t="shared" si="58"/>
        <v>2025-10</v>
      </c>
    </row>
    <row r="957" spans="1:7" x14ac:dyDescent="0.25">
      <c r="A957" s="37">
        <v>45953</v>
      </c>
      <c r="B957" s="38">
        <v>66624.029541015596</v>
      </c>
      <c r="C957" s="39">
        <f t="shared" si="59"/>
        <v>5.9299627059643534E-3</v>
      </c>
      <c r="D957" s="38">
        <f>MAX($B$2:B957)</f>
        <v>66757.916259765596</v>
      </c>
      <c r="E957" s="40">
        <f t="shared" si="56"/>
        <v>-2.0055556891414028E-3</v>
      </c>
      <c r="F957" s="41">
        <f t="shared" si="57"/>
        <v>148.22255378791908</v>
      </c>
      <c r="G957" s="42" t="str">
        <f t="shared" si="58"/>
        <v>2025-10</v>
      </c>
    </row>
    <row r="958" spans="1:7" x14ac:dyDescent="0.25">
      <c r="A958" s="31">
        <v>45954</v>
      </c>
      <c r="B958" s="32">
        <v>67168.518066406294</v>
      </c>
      <c r="C958" s="33">
        <f t="shared" si="59"/>
        <v>8.1725546944815264E-3</v>
      </c>
      <c r="D958" s="32">
        <f>MAX($B$2:B958)</f>
        <v>67168.518066406294</v>
      </c>
      <c r="E958" s="34">
        <f t="shared" si="56"/>
        <v>0</v>
      </c>
      <c r="F958" s="35">
        <f t="shared" si="57"/>
        <v>149.43391071570659</v>
      </c>
      <c r="G958" s="36" t="str">
        <f t="shared" si="58"/>
        <v>2025-10</v>
      </c>
    </row>
    <row r="959" spans="1:7" x14ac:dyDescent="0.25">
      <c r="A959" s="37">
        <v>45957</v>
      </c>
      <c r="B959" s="38">
        <v>67960.949707031294</v>
      </c>
      <c r="C959" s="39">
        <f t="shared" si="59"/>
        <v>1.1797664492784632E-2</v>
      </c>
      <c r="D959" s="38">
        <f>MAX($B$2:B959)</f>
        <v>67960.949707031294</v>
      </c>
      <c r="E959" s="40">
        <f t="shared" si="56"/>
        <v>0</v>
      </c>
      <c r="F959" s="41">
        <f t="shared" si="57"/>
        <v>151.1968818581752</v>
      </c>
      <c r="G959" s="42" t="str">
        <f t="shared" si="58"/>
        <v>2025-10</v>
      </c>
    </row>
    <row r="960" spans="1:7" x14ac:dyDescent="0.25">
      <c r="A960" s="31">
        <v>45958</v>
      </c>
      <c r="B960" s="32">
        <v>68141.455078125</v>
      </c>
      <c r="C960" s="33">
        <f t="shared" si="59"/>
        <v>2.656016019079166E-3</v>
      </c>
      <c r="D960" s="32">
        <f>MAX($B$2:B960)</f>
        <v>68141.455078125</v>
      </c>
      <c r="E960" s="34">
        <f t="shared" si="56"/>
        <v>0</v>
      </c>
      <c r="F960" s="35">
        <f t="shared" si="57"/>
        <v>151.59846319842535</v>
      </c>
      <c r="G960" s="36" t="str">
        <f t="shared" si="58"/>
        <v>2025-10</v>
      </c>
    </row>
    <row r="961" spans="1:7" x14ac:dyDescent="0.25">
      <c r="A961" s="37">
        <v>45959</v>
      </c>
      <c r="B961" s="38">
        <v>68174.182128906294</v>
      </c>
      <c r="C961" s="39">
        <f t="shared" si="59"/>
        <v>4.8028106743203125E-4</v>
      </c>
      <c r="D961" s="38">
        <f>MAX($B$2:B961)</f>
        <v>68174.182128906294</v>
      </c>
      <c r="E961" s="40">
        <f t="shared" si="56"/>
        <v>0</v>
      </c>
      <c r="F961" s="41">
        <f t="shared" si="57"/>
        <v>151.67127307015133</v>
      </c>
      <c r="G961" s="42" t="str">
        <f t="shared" si="58"/>
        <v>2025-10</v>
      </c>
    </row>
    <row r="962" spans="1:7" x14ac:dyDescent="0.25">
      <c r="A962" s="31">
        <v>45960</v>
      </c>
      <c r="B962" s="32">
        <v>67424.395751953096</v>
      </c>
      <c r="C962" s="33">
        <f t="shared" si="59"/>
        <v>-1.0998098598901773E-2</v>
      </c>
      <c r="D962" s="32">
        <f>MAX($B$2:B962)</f>
        <v>68174.182128906294</v>
      </c>
      <c r="E962" s="34">
        <f t="shared" ref="E962:E1025" si="60">B962/D962-1</f>
        <v>-1.0998098598901773E-2</v>
      </c>
      <c r="F962" s="35">
        <f t="shared" ref="F962:F1025" si="61">B962/$B$2*100</f>
        <v>150.00317745430485</v>
      </c>
      <c r="G962" s="36" t="str">
        <f t="shared" ref="G962:G1025" si="62">TEXT(A962,"YYYY-MM")</f>
        <v>2025-10</v>
      </c>
    </row>
    <row r="963" spans="1:7" x14ac:dyDescent="0.25">
      <c r="A963" s="37">
        <v>45961</v>
      </c>
      <c r="B963" s="38">
        <v>67645.562744140596</v>
      </c>
      <c r="C963" s="39">
        <f t="shared" ref="C963:C1026" si="63">B963/B962-1</f>
        <v>3.2802220875831622E-3</v>
      </c>
      <c r="D963" s="38">
        <f>MAX($B$2:B963)</f>
        <v>68174.182128906294</v>
      </c>
      <c r="E963" s="40">
        <f t="shared" si="60"/>
        <v>-7.7539527172642009E-3</v>
      </c>
      <c r="F963" s="41">
        <f t="shared" si="61"/>
        <v>150.49522119019812</v>
      </c>
      <c r="G963" s="42" t="str">
        <f t="shared" si="62"/>
        <v>2025-10</v>
      </c>
    </row>
    <row r="964" spans="1:7" x14ac:dyDescent="0.25">
      <c r="A964" s="31">
        <v>45964</v>
      </c>
      <c r="B964" s="32">
        <v>67772.515869140596</v>
      </c>
      <c r="C964" s="33">
        <f t="shared" si="63"/>
        <v>1.8767398754619968E-3</v>
      </c>
      <c r="D964" s="32">
        <f>MAX($B$2:B964)</f>
        <v>68174.182128906294</v>
      </c>
      <c r="E964" s="34">
        <f t="shared" si="60"/>
        <v>-5.8917649940590788E-3</v>
      </c>
      <c r="F964" s="35">
        <f t="shared" si="61"/>
        <v>150.77766157287223</v>
      </c>
      <c r="G964" s="36" t="str">
        <f t="shared" si="62"/>
        <v>2025-11</v>
      </c>
    </row>
    <row r="965" spans="1:7" x14ac:dyDescent="0.25">
      <c r="A965" s="37">
        <v>45965</v>
      </c>
      <c r="B965" s="38">
        <v>66969.171142578096</v>
      </c>
      <c r="C965" s="39">
        <f t="shared" si="63"/>
        <v>-1.185354736001909E-2</v>
      </c>
      <c r="D965" s="38">
        <f>MAX($B$2:B965)</f>
        <v>68174.182128906294</v>
      </c>
      <c r="E965" s="40">
        <f t="shared" si="60"/>
        <v>-1.7675474038686967E-2</v>
      </c>
      <c r="F965" s="41">
        <f t="shared" si="61"/>
        <v>148.99041142058527</v>
      </c>
      <c r="G965" s="42" t="str">
        <f t="shared" si="62"/>
        <v>2025-11</v>
      </c>
    </row>
    <row r="966" spans="1:7" x14ac:dyDescent="0.25">
      <c r="A966" s="31">
        <v>45966</v>
      </c>
      <c r="B966" s="32">
        <v>67201.2451171875</v>
      </c>
      <c r="C966" s="33">
        <f t="shared" si="63"/>
        <v>3.4653852011294894E-3</v>
      </c>
      <c r="D966" s="32">
        <f>MAX($B$2:B966)</f>
        <v>68174.182128906294</v>
      </c>
      <c r="E966" s="34">
        <f t="shared" si="60"/>
        <v>-1.427134116371398E-2</v>
      </c>
      <c r="F966" s="35">
        <f t="shared" si="61"/>
        <v>149.50672058743237</v>
      </c>
      <c r="G966" s="36" t="str">
        <f t="shared" si="62"/>
        <v>2025-11</v>
      </c>
    </row>
    <row r="967" spans="1:7" x14ac:dyDescent="0.25">
      <c r="A967" s="37">
        <v>45967</v>
      </c>
      <c r="B967" s="38">
        <v>66480.218505859404</v>
      </c>
      <c r="C967" s="39">
        <f t="shared" si="63"/>
        <v>-1.0729363869237063E-2</v>
      </c>
      <c r="D967" s="38">
        <f>MAX($B$2:B967)</f>
        <v>68174.182128906294</v>
      </c>
      <c r="E967" s="40">
        <f t="shared" si="60"/>
        <v>-2.4847582620703523E-2</v>
      </c>
      <c r="F967" s="41">
        <f t="shared" si="61"/>
        <v>147.90260858135343</v>
      </c>
      <c r="G967" s="42" t="str">
        <f t="shared" si="62"/>
        <v>2025-11</v>
      </c>
    </row>
    <row r="968" spans="1:7" x14ac:dyDescent="0.25">
      <c r="A968" s="31">
        <v>45968</v>
      </c>
      <c r="B968" s="32">
        <v>66545.672607421904</v>
      </c>
      <c r="C968" s="33">
        <f t="shared" si="63"/>
        <v>9.8456507865907206E-4</v>
      </c>
      <c r="D968" s="32">
        <f>MAX($B$2:B968)</f>
        <v>68174.182128906294</v>
      </c>
      <c r="E968" s="34">
        <f t="shared" si="60"/>
        <v>-2.3887481604181859E-2</v>
      </c>
      <c r="F968" s="35">
        <f t="shared" si="61"/>
        <v>148.04822832480525</v>
      </c>
      <c r="G968" s="36" t="str">
        <f t="shared" si="62"/>
        <v>2025-11</v>
      </c>
    </row>
    <row r="969" spans="1:7" x14ac:dyDescent="0.25">
      <c r="A969" s="37">
        <v>45971</v>
      </c>
      <c r="B969" s="38">
        <v>67584.075927734404</v>
      </c>
      <c r="C969" s="39">
        <f t="shared" si="63"/>
        <v>1.5604370346339991E-2</v>
      </c>
      <c r="D969" s="38">
        <f>MAX($B$2:B969)</f>
        <v>68174.182128906294</v>
      </c>
      <c r="E969" s="40">
        <f t="shared" si="60"/>
        <v>-8.655860367434931E-3</v>
      </c>
      <c r="F969" s="41">
        <f t="shared" si="61"/>
        <v>150.35842770870499</v>
      </c>
      <c r="G969" s="42" t="str">
        <f t="shared" si="62"/>
        <v>2025-11</v>
      </c>
    </row>
    <row r="970" spans="1:7" x14ac:dyDescent="0.25">
      <c r="A970" s="31">
        <v>45972</v>
      </c>
      <c r="B970" s="32">
        <v>67738.787841796904</v>
      </c>
      <c r="C970" s="33">
        <f t="shared" si="63"/>
        <v>2.289177027853917E-3</v>
      </c>
      <c r="D970" s="32">
        <f>MAX($B$2:B970)</f>
        <v>68174.182128906294</v>
      </c>
      <c r="E970" s="34">
        <f t="shared" si="60"/>
        <v>-6.3864981362905526E-3</v>
      </c>
      <c r="F970" s="35">
        <f t="shared" si="61"/>
        <v>150.70262476735999</v>
      </c>
      <c r="G970" s="36" t="str">
        <f t="shared" si="62"/>
        <v>2025-11</v>
      </c>
    </row>
    <row r="971" spans="1:7" x14ac:dyDescent="0.25">
      <c r="A971" s="37">
        <v>45973</v>
      </c>
      <c r="B971" s="38">
        <v>67776.477050781294</v>
      </c>
      <c r="C971" s="39">
        <f t="shared" si="63"/>
        <v>5.5639036636456751E-4</v>
      </c>
      <c r="D971" s="38">
        <f>MAX($B$2:B971)</f>
        <v>68174.182128906294</v>
      </c>
      <c r="E971" s="40">
        <f t="shared" si="60"/>
        <v>-5.8336611559637319E-3</v>
      </c>
      <c r="F971" s="41">
        <f t="shared" si="61"/>
        <v>150.7864742559664</v>
      </c>
      <c r="G971" s="42" t="str">
        <f t="shared" si="62"/>
        <v>2025-11</v>
      </c>
    </row>
    <row r="972" spans="1:7" x14ac:dyDescent="0.25">
      <c r="A972" s="31">
        <v>45974</v>
      </c>
      <c r="B972" s="32">
        <v>66651.794433593794</v>
      </c>
      <c r="C972" s="33">
        <f t="shared" si="63"/>
        <v>-1.6593996414786094E-2</v>
      </c>
      <c r="D972" s="32">
        <f>MAX($B$2:B972)</f>
        <v>68174.182128906294</v>
      </c>
      <c r="E972" s="34">
        <f t="shared" si="60"/>
        <v>-2.2330853818442797E-2</v>
      </c>
      <c r="F972" s="35">
        <f t="shared" si="61"/>
        <v>148.28432404276467</v>
      </c>
      <c r="G972" s="36" t="str">
        <f t="shared" si="62"/>
        <v>2025-11</v>
      </c>
    </row>
    <row r="973" spans="1:7" x14ac:dyDescent="0.25">
      <c r="A973" s="37">
        <v>45975</v>
      </c>
      <c r="B973" s="38">
        <v>66640.8935546875</v>
      </c>
      <c r="C973" s="39">
        <f t="shared" si="63"/>
        <v>-1.6354966882625721E-4</v>
      </c>
      <c r="D973" s="38">
        <f>MAX($B$2:B973)</f>
        <v>68174.182128906294</v>
      </c>
      <c r="E973" s="40">
        <f t="shared" si="60"/>
        <v>-2.2490751283522514E-2</v>
      </c>
      <c r="F973" s="41">
        <f t="shared" si="61"/>
        <v>148.26007219067534</v>
      </c>
      <c r="G973" s="42" t="str">
        <f t="shared" si="62"/>
        <v>2025-11</v>
      </c>
    </row>
    <row r="974" spans="1:7" x14ac:dyDescent="0.25">
      <c r="A974" s="31">
        <v>45978</v>
      </c>
      <c r="B974" s="32">
        <v>66020.031738281294</v>
      </c>
      <c r="C974" s="33">
        <f t="shared" si="63"/>
        <v>-9.3165289852650268E-3</v>
      </c>
      <c r="D974" s="32">
        <f>MAX($B$2:B974)</f>
        <v>68174.182128906294</v>
      </c>
      <c r="E974" s="34">
        <f t="shared" si="60"/>
        <v>-3.1597744532554151E-2</v>
      </c>
      <c r="F974" s="35">
        <f t="shared" si="61"/>
        <v>146.87880293075341</v>
      </c>
      <c r="G974" s="36" t="str">
        <f t="shared" si="62"/>
        <v>2025-11</v>
      </c>
    </row>
    <row r="975" spans="1:7" x14ac:dyDescent="0.25">
      <c r="A975" s="37">
        <v>45979</v>
      </c>
      <c r="B975" s="38">
        <v>65465.631103515603</v>
      </c>
      <c r="C975" s="39">
        <f t="shared" si="63"/>
        <v>-8.3974608943458984E-3</v>
      </c>
      <c r="D975" s="38">
        <f>MAX($B$2:B975)</f>
        <v>68174.182128906294</v>
      </c>
      <c r="E975" s="40">
        <f t="shared" si="60"/>
        <v>-3.9729864602838338E-2</v>
      </c>
      <c r="F975" s="41">
        <f t="shared" si="61"/>
        <v>145.6453939269341</v>
      </c>
      <c r="G975" s="42" t="str">
        <f t="shared" si="62"/>
        <v>2025-11</v>
      </c>
    </row>
    <row r="976" spans="1:7" x14ac:dyDescent="0.25">
      <c r="A976" s="31">
        <v>45980</v>
      </c>
      <c r="B976" s="32">
        <v>65718.536376953096</v>
      </c>
      <c r="C976" s="33">
        <f t="shared" si="63"/>
        <v>3.8631762831033978E-3</v>
      </c>
      <c r="D976" s="32">
        <f>MAX($B$2:B976)</f>
        <v>68174.182128906294</v>
      </c>
      <c r="E976" s="34">
        <f t="shared" si="60"/>
        <v>-3.6020171790399624E-2</v>
      </c>
      <c r="F976" s="35">
        <f t="shared" si="61"/>
        <v>146.20804775849587</v>
      </c>
      <c r="G976" s="36" t="str">
        <f t="shared" si="62"/>
        <v>2025-11</v>
      </c>
    </row>
    <row r="977" spans="1:7" x14ac:dyDescent="0.25">
      <c r="A977" s="37">
        <v>45981</v>
      </c>
      <c r="B977" s="38">
        <v>64716.833496093786</v>
      </c>
      <c r="C977" s="39">
        <f t="shared" si="63"/>
        <v>-1.5242318774625008E-2</v>
      </c>
      <c r="D977" s="38">
        <f>MAX($B$2:B977)</f>
        <v>68174.182128906294</v>
      </c>
      <c r="E977" s="40">
        <f t="shared" si="60"/>
        <v>-5.0713459624278645E-2</v>
      </c>
      <c r="F977" s="41">
        <f t="shared" si="61"/>
        <v>143.97949808714529</v>
      </c>
      <c r="G977" s="42" t="str">
        <f t="shared" si="62"/>
        <v>2025-11</v>
      </c>
    </row>
    <row r="978" spans="1:7" x14ac:dyDescent="0.25">
      <c r="A978" s="31">
        <v>45982</v>
      </c>
      <c r="B978" s="32">
        <v>65361.492919921897</v>
      </c>
      <c r="C978" s="33">
        <f t="shared" si="63"/>
        <v>9.9612324800628649E-3</v>
      </c>
      <c r="D978" s="32">
        <f>MAX($B$2:B978)</f>
        <v>68174.182128906294</v>
      </c>
      <c r="E978" s="34">
        <f t="shared" si="60"/>
        <v>-4.1257395705401434E-2</v>
      </c>
      <c r="F978" s="35">
        <f t="shared" si="61"/>
        <v>145.41371133995409</v>
      </c>
      <c r="G978" s="36" t="str">
        <f t="shared" si="62"/>
        <v>2025-11</v>
      </c>
    </row>
    <row r="979" spans="1:7" x14ac:dyDescent="0.25">
      <c r="A979" s="37">
        <v>45985</v>
      </c>
      <c r="B979" s="38">
        <v>66323.5107421875</v>
      </c>
      <c r="C979" s="39">
        <f t="shared" si="63"/>
        <v>1.4718418739979366E-2</v>
      </c>
      <c r="D979" s="38">
        <f>MAX($B$2:B979)</f>
        <v>68174.182128906294</v>
      </c>
      <c r="E979" s="40">
        <f t="shared" si="60"/>
        <v>-2.7146220591535264E-2</v>
      </c>
      <c r="F979" s="41">
        <f t="shared" si="61"/>
        <v>147.55397123399001</v>
      </c>
      <c r="G979" s="42" t="str">
        <f t="shared" si="62"/>
        <v>2025-11</v>
      </c>
    </row>
    <row r="980" spans="1:7" x14ac:dyDescent="0.25">
      <c r="A980" s="31">
        <v>45986</v>
      </c>
      <c r="B980" s="32">
        <v>66947.344970703096</v>
      </c>
      <c r="C980" s="33">
        <f t="shared" si="63"/>
        <v>9.4059289313039862E-3</v>
      </c>
      <c r="D980" s="32">
        <f>MAX($B$2:B980)</f>
        <v>68174.182128906294</v>
      </c>
      <c r="E980" s="34">
        <f t="shared" si="60"/>
        <v>-1.7995627081868748E-2</v>
      </c>
      <c r="F980" s="35">
        <f t="shared" si="61"/>
        <v>148.94185340094862</v>
      </c>
      <c r="G980" s="36" t="str">
        <f t="shared" si="62"/>
        <v>2025-11</v>
      </c>
    </row>
    <row r="981" spans="1:7" x14ac:dyDescent="0.25">
      <c r="A981" s="37">
        <v>45987</v>
      </c>
      <c r="B981" s="38">
        <v>67409.521484375</v>
      </c>
      <c r="C981" s="39">
        <f t="shared" si="63"/>
        <v>6.9035824180057048E-3</v>
      </c>
      <c r="D981" s="38">
        <f>MAX($B$2:B981)</f>
        <v>68174.182128906294</v>
      </c>
      <c r="E981" s="40">
        <f t="shared" si="60"/>
        <v>-1.1216278958586456E-2</v>
      </c>
      <c r="F981" s="41">
        <f t="shared" si="61"/>
        <v>149.97008576139257</v>
      </c>
      <c r="G981" s="42" t="str">
        <f t="shared" si="62"/>
        <v>2025-11</v>
      </c>
    </row>
    <row r="982" spans="1:7" x14ac:dyDescent="0.25">
      <c r="A982" s="31">
        <v>45989</v>
      </c>
      <c r="B982" s="32">
        <v>67777.471923828096</v>
      </c>
      <c r="C982" s="33">
        <f t="shared" si="63"/>
        <v>5.4584342293304555E-3</v>
      </c>
      <c r="D982" s="32">
        <f>MAX($B$2:B982)</f>
        <v>68174.182128906294</v>
      </c>
      <c r="E982" s="34">
        <f t="shared" si="60"/>
        <v>-5.819068050249343E-3</v>
      </c>
      <c r="F982" s="35">
        <f t="shared" si="61"/>
        <v>150.78868761088816</v>
      </c>
      <c r="G982" s="36" t="str">
        <f t="shared" si="62"/>
        <v>2025-11</v>
      </c>
    </row>
    <row r="983" spans="1:7" x14ac:dyDescent="0.25">
      <c r="A983" s="37">
        <v>45992</v>
      </c>
      <c r="B983" s="38">
        <v>67468.035888671904</v>
      </c>
      <c r="C983" s="39">
        <f t="shared" si="63"/>
        <v>-4.565470301163721E-3</v>
      </c>
      <c r="D983" s="38">
        <f>MAX($B$2:B983)</f>
        <v>68174.182128906294</v>
      </c>
      <c r="E983" s="40">
        <f t="shared" si="60"/>
        <v>-1.0357971569049162E-2</v>
      </c>
      <c r="F983" s="41">
        <f t="shared" si="61"/>
        <v>150.1002663358492</v>
      </c>
      <c r="G983" s="42" t="str">
        <f t="shared" si="62"/>
        <v>2025-12</v>
      </c>
    </row>
    <row r="984" spans="1:7" x14ac:dyDescent="0.25">
      <c r="A984" s="31">
        <v>45993</v>
      </c>
      <c r="B984" s="32">
        <v>67593.005371093794</v>
      </c>
      <c r="C984" s="33">
        <f t="shared" si="63"/>
        <v>1.8522768712001536E-3</v>
      </c>
      <c r="D984" s="32">
        <f>MAX($B$2:B984)</f>
        <v>68174.182128906294</v>
      </c>
      <c r="E984" s="34">
        <f t="shared" si="60"/>
        <v>-8.5248805290188967E-3</v>
      </c>
      <c r="F984" s="35">
        <f t="shared" si="61"/>
        <v>150.37829358754408</v>
      </c>
      <c r="G984" s="36" t="str">
        <f t="shared" si="62"/>
        <v>2025-12</v>
      </c>
    </row>
    <row r="985" spans="1:7" x14ac:dyDescent="0.25">
      <c r="A985" s="37">
        <v>45994</v>
      </c>
      <c r="B985" s="38">
        <v>67827.062988281294</v>
      </c>
      <c r="C985" s="39">
        <f t="shared" si="63"/>
        <v>3.4627490803595951E-3</v>
      </c>
      <c r="D985" s="38">
        <f>MAX($B$2:B985)</f>
        <v>68174.182128906294</v>
      </c>
      <c r="E985" s="40">
        <f t="shared" si="60"/>
        <v>-5.0916509708712754E-3</v>
      </c>
      <c r="F985" s="41">
        <f t="shared" si="61"/>
        <v>150.8990158853704</v>
      </c>
      <c r="G985" s="42" t="str">
        <f t="shared" si="62"/>
        <v>2025-12</v>
      </c>
    </row>
    <row r="986" spans="1:7" x14ac:dyDescent="0.25">
      <c r="A986" s="31">
        <v>45995</v>
      </c>
      <c r="B986" s="32">
        <v>67876.647949218794</v>
      </c>
      <c r="C986" s="33">
        <f t="shared" si="63"/>
        <v>7.3104980155291877E-4</v>
      </c>
      <c r="D986" s="32">
        <f>MAX($B$2:B986)</f>
        <v>68174.182128906294</v>
      </c>
      <c r="E986" s="34">
        <f t="shared" si="60"/>
        <v>-4.3643234197501268E-3</v>
      </c>
      <c r="F986" s="35">
        <f t="shared" si="61"/>
        <v>151.00933058098792</v>
      </c>
      <c r="G986" s="36" t="str">
        <f t="shared" si="62"/>
        <v>2025-12</v>
      </c>
    </row>
    <row r="987" spans="1:7" x14ac:dyDescent="0.25">
      <c r="A987" s="37">
        <v>45996</v>
      </c>
      <c r="B987" s="38">
        <v>68005.578613281294</v>
      </c>
      <c r="C987" s="39">
        <f t="shared" si="63"/>
        <v>1.8994848443159018E-3</v>
      </c>
      <c r="D987" s="38">
        <f>MAX($B$2:B987)</f>
        <v>68174.182128906294</v>
      </c>
      <c r="E987" s="40">
        <f t="shared" si="60"/>
        <v>-2.4731285416258464E-3</v>
      </c>
      <c r="F987" s="41">
        <f t="shared" si="61"/>
        <v>151.29617051577679</v>
      </c>
      <c r="G987" s="42" t="str">
        <f t="shared" si="62"/>
        <v>2025-12</v>
      </c>
    </row>
    <row r="988" spans="1:7" x14ac:dyDescent="0.25">
      <c r="A988" s="31">
        <v>45999</v>
      </c>
      <c r="B988" s="32">
        <v>67801.275634765596</v>
      </c>
      <c r="C988" s="33">
        <f t="shared" si="63"/>
        <v>-3.0042091058070097E-3</v>
      </c>
      <c r="D988" s="32">
        <f>MAX($B$2:B988)</f>
        <v>68174.182128906294</v>
      </c>
      <c r="E988" s="34">
        <f t="shared" si="60"/>
        <v>-5.4699078521484035E-3</v>
      </c>
      <c r="F988" s="35">
        <f t="shared" si="61"/>
        <v>150.84164518263955</v>
      </c>
      <c r="G988" s="36" t="str">
        <f t="shared" si="62"/>
        <v>2025-12</v>
      </c>
    </row>
    <row r="989" spans="1:7" x14ac:dyDescent="0.25">
      <c r="A989" s="37">
        <v>46000</v>
      </c>
      <c r="B989" s="38">
        <v>67742.7490234375</v>
      </c>
      <c r="C989" s="39">
        <f t="shared" si="63"/>
        <v>-8.6320811489404292E-4</v>
      </c>
      <c r="D989" s="38">
        <f>MAX($B$2:B989)</f>
        <v>68174.182128906294</v>
      </c>
      <c r="E989" s="40">
        <f t="shared" si="60"/>
        <v>-6.328394298196649E-3</v>
      </c>
      <c r="F989" s="41">
        <f t="shared" si="61"/>
        <v>150.71143745045396</v>
      </c>
      <c r="G989" s="42" t="str">
        <f t="shared" si="62"/>
        <v>2025-12</v>
      </c>
    </row>
    <row r="990" spans="1:7" x14ac:dyDescent="0.25">
      <c r="A990" s="31">
        <v>46001</v>
      </c>
      <c r="B990" s="32">
        <v>68192.041015625</v>
      </c>
      <c r="C990" s="33">
        <f t="shared" si="63"/>
        <v>6.6323259487455211E-3</v>
      </c>
      <c r="D990" s="32">
        <f>MAX($B$2:B990)</f>
        <v>68192.041015625</v>
      </c>
      <c r="E990" s="34">
        <f t="shared" si="60"/>
        <v>0</v>
      </c>
      <c r="F990" s="35">
        <f t="shared" si="61"/>
        <v>151.71100482782933</v>
      </c>
      <c r="G990" s="36" t="str">
        <f t="shared" si="62"/>
        <v>2025-12</v>
      </c>
    </row>
    <row r="991" spans="1:7" x14ac:dyDescent="0.25">
      <c r="A991" s="37">
        <v>46002</v>
      </c>
      <c r="B991" s="38">
        <v>68350.720214843794</v>
      </c>
      <c r="C991" s="39">
        <f t="shared" si="63"/>
        <v>2.3269460314647716E-3</v>
      </c>
      <c r="D991" s="38">
        <f>MAX($B$2:B991)</f>
        <v>68350.720214843794</v>
      </c>
      <c r="E991" s="40">
        <f t="shared" si="60"/>
        <v>0</v>
      </c>
      <c r="F991" s="41">
        <f t="shared" si="61"/>
        <v>152.06402814844299</v>
      </c>
      <c r="G991" s="42" t="str">
        <f t="shared" si="62"/>
        <v>2025-12</v>
      </c>
    </row>
    <row r="992" spans="1:7" x14ac:dyDescent="0.25">
      <c r="A992" s="31">
        <v>46003</v>
      </c>
      <c r="B992" s="32">
        <v>67615.808105468794</v>
      </c>
      <c r="C992" s="33">
        <f t="shared" si="63"/>
        <v>-1.0752075575282682E-2</v>
      </c>
      <c r="D992" s="32">
        <f>MAX($B$2:B992)</f>
        <v>68350.720214843794</v>
      </c>
      <c r="E992" s="34">
        <f t="shared" si="60"/>
        <v>-1.0752075575282682E-2</v>
      </c>
      <c r="F992" s="35">
        <f t="shared" si="61"/>
        <v>150.42902422550901</v>
      </c>
      <c r="G992" s="36" t="str">
        <f t="shared" si="62"/>
        <v>2025-12</v>
      </c>
    </row>
    <row r="993" spans="1:7" x14ac:dyDescent="0.25">
      <c r="A993" s="37">
        <v>46006</v>
      </c>
      <c r="B993" s="38">
        <v>67513.653564453096</v>
      </c>
      <c r="C993" s="39">
        <f t="shared" si="63"/>
        <v>-1.5108085502187896E-3</v>
      </c>
      <c r="D993" s="38">
        <f>MAX($B$2:B993)</f>
        <v>68350.720214843794</v>
      </c>
      <c r="E993" s="40">
        <f t="shared" si="60"/>
        <v>-1.2246639797789727E-2</v>
      </c>
      <c r="F993" s="41">
        <f t="shared" si="61"/>
        <v>150.20175476950803</v>
      </c>
      <c r="G993" s="42" t="str">
        <f t="shared" si="62"/>
        <v>2025-12</v>
      </c>
    </row>
    <row r="994" spans="1:7" x14ac:dyDescent="0.25">
      <c r="A994" s="31">
        <v>46007</v>
      </c>
      <c r="B994" s="32">
        <v>67329.187011718794</v>
      </c>
      <c r="C994" s="33">
        <f t="shared" si="63"/>
        <v>-2.732285145229163E-3</v>
      </c>
      <c r="D994" s="32">
        <f>MAX($B$2:B994)</f>
        <v>68350.720214843794</v>
      </c>
      <c r="E994" s="34">
        <f t="shared" si="60"/>
        <v>-1.494546363102045E-2</v>
      </c>
      <c r="F994" s="35">
        <f t="shared" si="61"/>
        <v>149.79136074616397</v>
      </c>
      <c r="G994" s="36" t="str">
        <f t="shared" si="62"/>
        <v>2025-12</v>
      </c>
    </row>
    <row r="995" spans="1:7" x14ac:dyDescent="0.25">
      <c r="A995" s="37">
        <v>46008</v>
      </c>
      <c r="B995" s="38">
        <v>66588.323974609404</v>
      </c>
      <c r="C995" s="39">
        <f t="shared" si="63"/>
        <v>-1.100359398340045E-2</v>
      </c>
      <c r="D995" s="38">
        <f>MAX($B$2:B995)</f>
        <v>68350.720214843794</v>
      </c>
      <c r="E995" s="40">
        <f t="shared" si="60"/>
        <v>-2.5784603800731443E-2</v>
      </c>
      <c r="F995" s="41">
        <f t="shared" si="61"/>
        <v>148.14311743029211</v>
      </c>
      <c r="G995" s="42" t="str">
        <f t="shared" si="62"/>
        <v>2025-12</v>
      </c>
    </row>
    <row r="996" spans="1:7" x14ac:dyDescent="0.25">
      <c r="A996" s="31">
        <v>46009</v>
      </c>
      <c r="B996" s="32">
        <v>67091.149902343794</v>
      </c>
      <c r="C996" s="33">
        <f t="shared" si="63"/>
        <v>7.551262709752482E-3</v>
      </c>
      <c r="D996" s="32">
        <f>MAX($B$2:B996)</f>
        <v>68350.720214843794</v>
      </c>
      <c r="E996" s="34">
        <f t="shared" si="60"/>
        <v>-1.8428047408145076E-2</v>
      </c>
      <c r="F996" s="35">
        <f t="shared" si="61"/>
        <v>149.26178502864997</v>
      </c>
      <c r="G996" s="36" t="str">
        <f t="shared" si="62"/>
        <v>2025-12</v>
      </c>
    </row>
    <row r="997" spans="1:7" x14ac:dyDescent="0.25">
      <c r="A997" s="37">
        <v>46010</v>
      </c>
      <c r="B997" s="38">
        <v>67699.230957031294</v>
      </c>
      <c r="C997" s="39">
        <f t="shared" si="63"/>
        <v>9.0635062235868702E-3</v>
      </c>
      <c r="D997" s="38">
        <f>MAX($B$2:B997)</f>
        <v>68350.720214843794</v>
      </c>
      <c r="E997" s="40">
        <f t="shared" si="60"/>
        <v>-9.5315639069303293E-3</v>
      </c>
      <c r="F997" s="41">
        <f t="shared" si="61"/>
        <v>150.61462014620085</v>
      </c>
      <c r="G997" s="42" t="str">
        <f t="shared" si="62"/>
        <v>2025-12</v>
      </c>
    </row>
    <row r="998" spans="1:7" x14ac:dyDescent="0.25">
      <c r="A998" s="31">
        <v>46013</v>
      </c>
      <c r="B998" s="32">
        <v>68120.989990234404</v>
      </c>
      <c r="C998" s="33">
        <f t="shared" si="63"/>
        <v>6.2298940067841979E-3</v>
      </c>
      <c r="D998" s="32">
        <f>MAX($B$2:B998)</f>
        <v>68350.720214843794</v>
      </c>
      <c r="E998" s="34">
        <f t="shared" si="60"/>
        <v>-3.3610505330051721E-3</v>
      </c>
      <c r="F998" s="35">
        <f t="shared" si="61"/>
        <v>151.55293326558373</v>
      </c>
      <c r="G998" s="36" t="str">
        <f t="shared" si="62"/>
        <v>2025-12</v>
      </c>
    </row>
    <row r="999" spans="1:7" x14ac:dyDescent="0.25">
      <c r="A999" s="37">
        <v>46014</v>
      </c>
      <c r="B999" s="38">
        <v>68432.330322265596</v>
      </c>
      <c r="C999" s="39">
        <f t="shared" si="63"/>
        <v>4.5704023396579974E-3</v>
      </c>
      <c r="D999" s="38">
        <f>MAX($B$2:B999)</f>
        <v>68432.330322265596</v>
      </c>
      <c r="E999" s="40">
        <f t="shared" si="60"/>
        <v>0</v>
      </c>
      <c r="F999" s="41">
        <f t="shared" si="61"/>
        <v>152.24559114636281</v>
      </c>
      <c r="G999" s="42" t="str">
        <f t="shared" si="62"/>
        <v>2025-12</v>
      </c>
    </row>
    <row r="1000" spans="1:7" x14ac:dyDescent="0.25">
      <c r="A1000" s="31">
        <v>46015</v>
      </c>
      <c r="B1000" s="32">
        <v>68673.052978515596</v>
      </c>
      <c r="C1000" s="33">
        <f t="shared" si="63"/>
        <v>3.5176743962448409E-3</v>
      </c>
      <c r="D1000" s="32">
        <f>MAX($B$2:B1000)</f>
        <v>68673.052978515596</v>
      </c>
      <c r="E1000" s="34">
        <f t="shared" si="60"/>
        <v>0</v>
      </c>
      <c r="F1000" s="35">
        <f t="shared" si="61"/>
        <v>152.78114156427952</v>
      </c>
      <c r="G1000" s="36" t="str">
        <f t="shared" si="62"/>
        <v>2025-12</v>
      </c>
    </row>
    <row r="1001" spans="1:7" x14ac:dyDescent="0.25">
      <c r="A1001" s="37">
        <v>46017</v>
      </c>
      <c r="B1001" s="38">
        <v>68666.0888671875</v>
      </c>
      <c r="C1001" s="39">
        <f t="shared" si="63"/>
        <v>-1.014096654516905E-4</v>
      </c>
      <c r="D1001" s="38">
        <f>MAX($B$2:B1001)</f>
        <v>68673.052978515596</v>
      </c>
      <c r="E1001" s="40">
        <f t="shared" si="60"/>
        <v>-1.014096654516905E-4</v>
      </c>
      <c r="F1001" s="41">
        <f t="shared" si="61"/>
        <v>152.76564807982618</v>
      </c>
      <c r="G1001" s="42" t="str">
        <f t="shared" si="62"/>
        <v>2025-12</v>
      </c>
    </row>
    <row r="1002" spans="1:7" x14ac:dyDescent="0.25">
      <c r="A1002" s="31">
        <v>46020</v>
      </c>
      <c r="B1002" s="32">
        <v>68421.38671875</v>
      </c>
      <c r="C1002" s="33">
        <f t="shared" si="63"/>
        <v>-3.5636535074947684E-3</v>
      </c>
      <c r="D1002" s="32">
        <f>MAX($B$2:B1002)</f>
        <v>68673.052978515596</v>
      </c>
      <c r="E1002" s="34">
        <f t="shared" si="60"/>
        <v>-3.6647017840364393E-3</v>
      </c>
      <c r="F1002" s="35">
        <f t="shared" si="61"/>
        <v>152.22124424222179</v>
      </c>
      <c r="G1002" s="36" t="str">
        <f t="shared" si="62"/>
        <v>2025-12</v>
      </c>
    </row>
    <row r="1003" spans="1:7" x14ac:dyDescent="0.25">
      <c r="A1003" s="37">
        <v>46021</v>
      </c>
      <c r="B1003" s="38">
        <v>68337.835693359404</v>
      </c>
      <c r="C1003" s="39">
        <f t="shared" si="63"/>
        <v>-1.2211244085718054E-3</v>
      </c>
      <c r="D1003" s="38">
        <f>MAX($B$2:B1003)</f>
        <v>68673.052978515596</v>
      </c>
      <c r="E1003" s="40">
        <f t="shared" si="60"/>
        <v>-4.8813511358096751E-3</v>
      </c>
      <c r="F1003" s="41">
        <f t="shared" si="61"/>
        <v>152.03536316537446</v>
      </c>
      <c r="G1003" s="42" t="str">
        <f t="shared" si="62"/>
        <v>2025-12</v>
      </c>
    </row>
    <row r="1004" spans="1:7" x14ac:dyDescent="0.25">
      <c r="A1004" s="31">
        <v>46022</v>
      </c>
      <c r="B1004" s="32">
        <v>67831.524658203096</v>
      </c>
      <c r="C1004" s="33">
        <f t="shared" si="63"/>
        <v>-7.4089416209812686E-3</v>
      </c>
      <c r="D1004" s="32">
        <f>MAX($B$2:B1004)</f>
        <v>68673.052978515596</v>
      </c>
      <c r="E1004" s="34">
        <f t="shared" si="60"/>
        <v>-1.2254127111194113E-2</v>
      </c>
      <c r="F1004" s="35">
        <f t="shared" si="61"/>
        <v>150.90894203535748</v>
      </c>
      <c r="G1004" s="36" t="str">
        <f t="shared" si="62"/>
        <v>2025-12</v>
      </c>
    </row>
    <row r="1005" spans="1:7" x14ac:dyDescent="0.25">
      <c r="A1005" s="37">
        <v>46024</v>
      </c>
      <c r="B1005" s="38">
        <v>67955.859375</v>
      </c>
      <c r="C1005" s="39">
        <f t="shared" si="63"/>
        <v>1.8329931020040213E-3</v>
      </c>
      <c r="D1005" s="38">
        <f>MAX($B$2:B1005)</f>
        <v>68673.052978515596</v>
      </c>
      <c r="E1005" s="40">
        <f t="shared" si="60"/>
        <v>-1.0443595739656031E-2</v>
      </c>
      <c r="F1005" s="41">
        <f t="shared" si="61"/>
        <v>151.18555708513904</v>
      </c>
      <c r="G1005" s="42" t="str">
        <f t="shared" si="62"/>
        <v>2026-01</v>
      </c>
    </row>
    <row r="1006" spans="1:7" x14ac:dyDescent="0.25">
      <c r="A1006" s="31">
        <v>46027</v>
      </c>
      <c r="B1006" s="32">
        <v>68408.453369140596</v>
      </c>
      <c r="C1006" s="33">
        <f t="shared" si="63"/>
        <v>6.6601172923597129E-3</v>
      </c>
      <c r="D1006" s="32">
        <f>MAX($B$2:B1006)</f>
        <v>68673.052978515596</v>
      </c>
      <c r="E1006" s="34">
        <f t="shared" si="60"/>
        <v>-3.8530340198764668E-3</v>
      </c>
      <c r="F1006" s="35">
        <f t="shared" si="61"/>
        <v>152.1924706282368</v>
      </c>
      <c r="G1006" s="36" t="str">
        <f t="shared" si="62"/>
        <v>2026-01</v>
      </c>
    </row>
    <row r="1007" spans="1:7" x14ac:dyDescent="0.25">
      <c r="A1007" s="37">
        <v>46028</v>
      </c>
      <c r="B1007" s="38">
        <v>68815.295410156294</v>
      </c>
      <c r="C1007" s="39">
        <f t="shared" si="63"/>
        <v>5.9472480516453707E-3</v>
      </c>
      <c r="D1007" s="38">
        <f>MAX($B$2:B1007)</f>
        <v>68815.295410156294</v>
      </c>
      <c r="E1007" s="40">
        <f t="shared" si="60"/>
        <v>0</v>
      </c>
      <c r="F1007" s="41">
        <f t="shared" si="61"/>
        <v>153.09759700265568</v>
      </c>
      <c r="G1007" s="42" t="str">
        <f t="shared" si="62"/>
        <v>2026-01</v>
      </c>
    </row>
    <row r="1008" spans="1:7" x14ac:dyDescent="0.25">
      <c r="A1008" s="31">
        <v>46029</v>
      </c>
      <c r="B1008" s="32">
        <v>68593.475341796904</v>
      </c>
      <c r="C1008" s="33">
        <f t="shared" si="63"/>
        <v>-3.223412281198379E-3</v>
      </c>
      <c r="D1008" s="32">
        <f>MAX($B$2:B1008)</f>
        <v>68815.295410156294</v>
      </c>
      <c r="E1008" s="34">
        <f t="shared" si="60"/>
        <v>-3.223412281198379E-3</v>
      </c>
      <c r="F1008" s="35">
        <f t="shared" si="61"/>
        <v>152.60410032825536</v>
      </c>
      <c r="G1008" s="36" t="str">
        <f t="shared" si="62"/>
        <v>2026-01</v>
      </c>
    </row>
    <row r="1009" spans="1:7" x14ac:dyDescent="0.25">
      <c r="A1009" s="37">
        <v>46030</v>
      </c>
      <c r="B1009" s="38">
        <v>68586.511230468794</v>
      </c>
      <c r="C1009" s="39">
        <f t="shared" si="63"/>
        <v>-1.0152731427304218E-4</v>
      </c>
      <c r="D1009" s="38">
        <f>MAX($B$2:B1009)</f>
        <v>68815.295410156294</v>
      </c>
      <c r="E1009" s="40">
        <f t="shared" si="60"/>
        <v>-3.3246123310797238E-3</v>
      </c>
      <c r="F1009" s="41">
        <f t="shared" si="61"/>
        <v>152.58860684380198</v>
      </c>
      <c r="G1009" s="42" t="str">
        <f t="shared" si="62"/>
        <v>2026-01</v>
      </c>
    </row>
    <row r="1010" spans="1:7" x14ac:dyDescent="0.25">
      <c r="A1010" s="31">
        <v>46031</v>
      </c>
      <c r="B1010" s="32">
        <v>69040.100097656294</v>
      </c>
      <c r="C1010" s="33">
        <f t="shared" si="63"/>
        <v>6.6133829968886282E-3</v>
      </c>
      <c r="D1010" s="32">
        <f>MAX($B$2:B1010)</f>
        <v>69040.100097656294</v>
      </c>
      <c r="E1010" s="34">
        <f t="shared" si="60"/>
        <v>0</v>
      </c>
      <c r="F1010" s="35">
        <f t="shared" si="61"/>
        <v>153.59773374182171</v>
      </c>
      <c r="G1010" s="36" t="str">
        <f t="shared" si="62"/>
        <v>2026-01</v>
      </c>
    </row>
    <row r="1011" spans="1:7" x14ac:dyDescent="0.25">
      <c r="A1011" s="37">
        <v>46034</v>
      </c>
      <c r="B1011" s="38">
        <v>69148.522949218794</v>
      </c>
      <c r="C1011" s="39">
        <f t="shared" si="63"/>
        <v>1.5704330006638401E-3</v>
      </c>
      <c r="D1011" s="38">
        <f>MAX($B$2:B1011)</f>
        <v>69148.522949218794</v>
      </c>
      <c r="E1011" s="40">
        <f t="shared" si="60"/>
        <v>0</v>
      </c>
      <c r="F1011" s="41">
        <f t="shared" si="61"/>
        <v>153.83894869171706</v>
      </c>
      <c r="G1011" s="42" t="str">
        <f t="shared" si="62"/>
        <v>2026-01</v>
      </c>
    </row>
    <row r="1012" spans="1:7" x14ac:dyDescent="0.25">
      <c r="A1012" s="31">
        <v>46035</v>
      </c>
      <c r="B1012" s="32">
        <v>69010.260009765596</v>
      </c>
      <c r="C1012" s="33">
        <f t="shared" si="63"/>
        <v>-1.9995067653828524E-3</v>
      </c>
      <c r="D1012" s="32">
        <f>MAX($B$2:B1012)</f>
        <v>69148.522949218794</v>
      </c>
      <c r="E1012" s="34">
        <f t="shared" si="60"/>
        <v>-1.9995067653828524E-3</v>
      </c>
      <c r="F1012" s="35">
        <f t="shared" si="61"/>
        <v>153.53134667302857</v>
      </c>
      <c r="G1012" s="36" t="str">
        <f t="shared" si="62"/>
        <v>2026-01</v>
      </c>
    </row>
    <row r="1013" spans="1:7" x14ac:dyDescent="0.25">
      <c r="A1013" s="37">
        <v>46036</v>
      </c>
      <c r="B1013" s="38">
        <v>68671.063232421904</v>
      </c>
      <c r="C1013" s="39">
        <f t="shared" si="63"/>
        <v>-4.9151644595410993E-3</v>
      </c>
      <c r="D1013" s="38">
        <f>MAX($B$2:B1013)</f>
        <v>69148.522949218794</v>
      </c>
      <c r="E1013" s="40">
        <f t="shared" si="60"/>
        <v>-6.904843320334253E-3</v>
      </c>
      <c r="F1013" s="41">
        <f t="shared" si="61"/>
        <v>152.77671485443582</v>
      </c>
      <c r="G1013" s="42" t="str">
        <f t="shared" si="62"/>
        <v>2026-01</v>
      </c>
    </row>
    <row r="1014" spans="1:7" x14ac:dyDescent="0.25">
      <c r="A1014" s="31">
        <v>46037</v>
      </c>
      <c r="B1014" s="32">
        <v>68858.068847656294</v>
      </c>
      <c r="C1014" s="33">
        <f t="shared" si="63"/>
        <v>2.7232083854804578E-3</v>
      </c>
      <c r="D1014" s="32">
        <f>MAX($B$2:B1014)</f>
        <v>69148.522949218794</v>
      </c>
      <c r="E1014" s="34">
        <f t="shared" si="60"/>
        <v>-4.2004382620841607E-3</v>
      </c>
      <c r="F1014" s="35">
        <f t="shared" si="61"/>
        <v>153.19275768543358</v>
      </c>
      <c r="G1014" s="36" t="str">
        <f t="shared" si="62"/>
        <v>2026-01</v>
      </c>
    </row>
    <row r="1015" spans="1:7" x14ac:dyDescent="0.25">
      <c r="A1015" s="37">
        <v>46038</v>
      </c>
      <c r="B1015" s="38">
        <v>68800.372314453096</v>
      </c>
      <c r="C1015" s="39">
        <f t="shared" si="63"/>
        <v>-8.3790518916304624E-4</v>
      </c>
      <c r="D1015" s="38">
        <f>MAX($B$2:B1015)</f>
        <v>69148.522949218794</v>
      </c>
      <c r="E1015" s="40">
        <f t="shared" si="60"/>
        <v>-5.0348238822306435E-3</v>
      </c>
      <c r="F1015" s="41">
        <f t="shared" si="61"/>
        <v>153.06439667882677</v>
      </c>
      <c r="G1015" s="42" t="str">
        <f t="shared" si="62"/>
        <v>2026-01</v>
      </c>
    </row>
    <row r="1016" spans="1:7" x14ac:dyDescent="0.25">
      <c r="A1016" s="31">
        <v>46042</v>
      </c>
      <c r="B1016" s="32">
        <v>67399.816894531294</v>
      </c>
      <c r="C1016" s="33">
        <f t="shared" si="63"/>
        <v>-2.0356800011496201E-2</v>
      </c>
      <c r="D1016" s="32">
        <f>MAX($B$2:B1016)</f>
        <v>69148.522949218794</v>
      </c>
      <c r="E1016" s="34">
        <f t="shared" si="60"/>
        <v>-2.5289130990863162E-2</v>
      </c>
      <c r="F1016" s="35">
        <f t="shared" si="61"/>
        <v>149.94849536675557</v>
      </c>
      <c r="G1016" s="36" t="str">
        <f t="shared" si="62"/>
        <v>2026-01</v>
      </c>
    </row>
    <row r="1017" spans="1:7" x14ac:dyDescent="0.25">
      <c r="A1017" s="37">
        <v>46043</v>
      </c>
      <c r="B1017" s="38">
        <v>68177.685546875</v>
      </c>
      <c r="C1017" s="39">
        <f t="shared" si="63"/>
        <v>1.1541109281660633E-2</v>
      </c>
      <c r="D1017" s="38">
        <f>MAX($B$2:B1017)</f>
        <v>69148.522949218794</v>
      </c>
      <c r="E1017" s="40">
        <f t="shared" si="60"/>
        <v>-1.40398863336062E-2</v>
      </c>
      <c r="F1017" s="41">
        <f t="shared" si="61"/>
        <v>151.67906733840385</v>
      </c>
      <c r="G1017" s="42" t="str">
        <f t="shared" si="62"/>
        <v>2026-01</v>
      </c>
    </row>
    <row r="1018" spans="1:7" x14ac:dyDescent="0.25">
      <c r="A1018" s="31">
        <v>46044</v>
      </c>
      <c r="B1018" s="32">
        <v>68533.795166015596</v>
      </c>
      <c r="C1018" s="33">
        <f t="shared" si="63"/>
        <v>5.2232576727140323E-3</v>
      </c>
      <c r="D1018" s="32">
        <f>MAX($B$2:B1018)</f>
        <v>69148.522949218794</v>
      </c>
      <c r="E1018" s="34">
        <f t="shared" si="60"/>
        <v>-8.8899626049082636E-3</v>
      </c>
      <c r="F1018" s="35">
        <f t="shared" si="61"/>
        <v>152.47132619066929</v>
      </c>
      <c r="G1018" s="36" t="str">
        <f t="shared" si="62"/>
        <v>2026-01</v>
      </c>
    </row>
    <row r="1019" spans="1:7" x14ac:dyDescent="0.25">
      <c r="A1019" s="37">
        <v>46045</v>
      </c>
      <c r="B1019" s="38">
        <v>68558.654785156294</v>
      </c>
      <c r="C1019" s="39">
        <f t="shared" si="63"/>
        <v>3.6273518897478318E-4</v>
      </c>
      <c r="D1019" s="38">
        <f>MAX($B$2:B1019)</f>
        <v>69148.522949218794</v>
      </c>
      <c r="E1019" s="40">
        <f t="shared" si="60"/>
        <v>-8.5304521181990278E-3</v>
      </c>
      <c r="F1019" s="41">
        <f t="shared" si="61"/>
        <v>152.52663290598829</v>
      </c>
      <c r="G1019" s="42" t="str">
        <f t="shared" si="62"/>
        <v>2026-01</v>
      </c>
    </row>
    <row r="1020" spans="1:7" x14ac:dyDescent="0.25">
      <c r="A1020" s="31">
        <v>46048</v>
      </c>
      <c r="B1020" s="32">
        <v>68906.805419921904</v>
      </c>
      <c r="C1020" s="33">
        <f t="shared" si="63"/>
        <v>5.0781427356854092E-3</v>
      </c>
      <c r="D1020" s="32">
        <f>MAX($B$2:B1020)</f>
        <v>69148.522949218794</v>
      </c>
      <c r="E1020" s="34">
        <f t="shared" si="60"/>
        <v>-3.4956282359697166E-3</v>
      </c>
      <c r="F1020" s="35">
        <f t="shared" si="61"/>
        <v>153.30118491887839</v>
      </c>
      <c r="G1020" s="36" t="str">
        <f t="shared" si="62"/>
        <v>2026-01</v>
      </c>
    </row>
    <row r="1021" spans="1:7" x14ac:dyDescent="0.25">
      <c r="A1021" s="37">
        <v>46049</v>
      </c>
      <c r="B1021" s="38">
        <v>69181.34765625</v>
      </c>
      <c r="C1021" s="39">
        <f t="shared" si="63"/>
        <v>3.9842543077570625E-3</v>
      </c>
      <c r="D1021" s="38">
        <f>MAX($B$2:B1021)</f>
        <v>69181.34765625</v>
      </c>
      <c r="E1021" s="40">
        <f t="shared" si="60"/>
        <v>0</v>
      </c>
      <c r="F1021" s="41">
        <f t="shared" si="61"/>
        <v>153.9119758252757</v>
      </c>
      <c r="G1021" s="42" t="str">
        <f t="shared" si="62"/>
        <v>2026-01</v>
      </c>
    </row>
    <row r="1022" spans="1:7" x14ac:dyDescent="0.25">
      <c r="A1022" s="31">
        <v>46050</v>
      </c>
      <c r="B1022" s="32">
        <v>69174.383544921904</v>
      </c>
      <c r="C1022" s="33">
        <f t="shared" si="63"/>
        <v>-1.0066458032442771E-4</v>
      </c>
      <c r="D1022" s="32">
        <f>MAX($B$2:B1022)</f>
        <v>69181.34765625</v>
      </c>
      <c r="E1022" s="34">
        <f t="shared" si="60"/>
        <v>-1.0066458032442771E-4</v>
      </c>
      <c r="F1022" s="35">
        <f t="shared" si="61"/>
        <v>153.89648234082233</v>
      </c>
      <c r="G1022" s="36" t="str">
        <f t="shared" si="62"/>
        <v>2026-01</v>
      </c>
    </row>
    <row r="1023" spans="1:7" x14ac:dyDescent="0.25">
      <c r="A1023" s="37">
        <v>46051</v>
      </c>
      <c r="B1023" s="38">
        <v>69037.115478515596</v>
      </c>
      <c r="C1023" s="39">
        <f t="shared" si="63"/>
        <v>-1.9843771548345712E-3</v>
      </c>
      <c r="D1023" s="38">
        <f>MAX($B$2:B1023)</f>
        <v>69181.34765625</v>
      </c>
      <c r="E1023" s="40">
        <f t="shared" si="60"/>
        <v>-2.0848419786655414E-3</v>
      </c>
      <c r="F1023" s="41">
        <f t="shared" si="61"/>
        <v>153.5910936770558</v>
      </c>
      <c r="G1023" s="42" t="str">
        <f t="shared" si="62"/>
        <v>2026-01</v>
      </c>
    </row>
    <row r="1024" spans="1:7" x14ac:dyDescent="0.25">
      <c r="A1024" s="31">
        <v>46052</v>
      </c>
      <c r="B1024" s="32">
        <v>68831.207275390596</v>
      </c>
      <c r="C1024" s="33">
        <f t="shared" si="63"/>
        <v>-2.9825725147667459E-3</v>
      </c>
      <c r="D1024" s="32">
        <f>MAX($B$2:B1024)</f>
        <v>69181.34765625</v>
      </c>
      <c r="E1024" s="34">
        <f t="shared" si="60"/>
        <v>-5.0611963010490646E-3</v>
      </c>
      <c r="F1024" s="35">
        <f t="shared" si="61"/>
        <v>153.13299710254165</v>
      </c>
      <c r="G1024" s="36" t="str">
        <f t="shared" si="62"/>
        <v>2026-01</v>
      </c>
    </row>
    <row r="1025" spans="1:7" x14ac:dyDescent="0.25">
      <c r="A1025" s="37">
        <v>46055</v>
      </c>
      <c r="B1025" s="38">
        <v>69173.394775390596</v>
      </c>
      <c r="C1025" s="39">
        <f t="shared" si="63"/>
        <v>4.9714005252141646E-3</v>
      </c>
      <c r="D1025" s="38">
        <f>MAX($B$2:B1025)</f>
        <v>69181.34765625</v>
      </c>
      <c r="E1025" s="40">
        <f t="shared" si="60"/>
        <v>-1.149570097842556E-4</v>
      </c>
      <c r="F1025" s="41">
        <f t="shared" si="61"/>
        <v>153.89428256476484</v>
      </c>
      <c r="G1025" s="42" t="str">
        <f t="shared" si="62"/>
        <v>2026-02</v>
      </c>
    </row>
    <row r="1026" spans="1:7" x14ac:dyDescent="0.25">
      <c r="A1026" s="31">
        <v>46056</v>
      </c>
      <c r="B1026" s="32">
        <v>68588.5009765625</v>
      </c>
      <c r="C1026" s="33">
        <f t="shared" si="63"/>
        <v>-8.4554733901274215E-3</v>
      </c>
      <c r="D1026" s="32">
        <f>MAX($B$2:B1026)</f>
        <v>69181.34765625</v>
      </c>
      <c r="E1026" s="34">
        <f t="shared" ref="E1026:E1089" si="64">B1026/D1026-1</f>
        <v>-8.5694583839743821E-3</v>
      </c>
      <c r="F1026" s="35">
        <f t="shared" ref="F1026:F1089" si="65">B1026/$B$2*100</f>
        <v>152.59303355364571</v>
      </c>
      <c r="G1026" s="36" t="str">
        <f t="shared" ref="G1026:G1089" si="66">TEXT(A1026,"YYYY-MM")</f>
        <v>2026-02</v>
      </c>
    </row>
    <row r="1027" spans="1:7" x14ac:dyDescent="0.25">
      <c r="A1027" s="37">
        <v>46057</v>
      </c>
      <c r="B1027" s="38">
        <v>68256.268310546904</v>
      </c>
      <c r="C1027" s="39">
        <f t="shared" ref="C1027:C1090" si="67">B1027/B1026-1</f>
        <v>-4.8438537259929415E-3</v>
      </c>
      <c r="D1027" s="38">
        <f>MAX($B$2:B1027)</f>
        <v>69181.34765625</v>
      </c>
      <c r="E1027" s="40">
        <f t="shared" si="64"/>
        <v>-1.3371802907044428E-2</v>
      </c>
      <c r="F1027" s="41">
        <f t="shared" si="65"/>
        <v>151.85389521950631</v>
      </c>
      <c r="G1027" s="42" t="str">
        <f t="shared" si="66"/>
        <v>2026-02</v>
      </c>
    </row>
    <row r="1028" spans="1:7" x14ac:dyDescent="0.25">
      <c r="A1028" s="31">
        <v>46058</v>
      </c>
      <c r="B1028" s="32">
        <v>67403.796386718794</v>
      </c>
      <c r="C1028" s="33">
        <f t="shared" si="67"/>
        <v>-1.2489284060324013E-2</v>
      </c>
      <c r="D1028" s="32">
        <f>MAX($B$2:B1028)</f>
        <v>69181.34765625</v>
      </c>
      <c r="E1028" s="34">
        <f t="shared" si="64"/>
        <v>-2.5694082722463651E-2</v>
      </c>
      <c r="F1028" s="35">
        <f t="shared" si="65"/>
        <v>149.95734878644322</v>
      </c>
      <c r="G1028" s="36" t="str">
        <f t="shared" si="66"/>
        <v>2026-02</v>
      </c>
    </row>
    <row r="1029" spans="1:7" x14ac:dyDescent="0.25">
      <c r="A1029" s="37">
        <v>46059</v>
      </c>
      <c r="B1029" s="38">
        <v>68696.923828125</v>
      </c>
      <c r="C1029" s="39">
        <f t="shared" si="67"/>
        <v>1.9184786476819315E-2</v>
      </c>
      <c r="D1029" s="38">
        <f>MAX($B$2:B1029)</f>
        <v>69181.34765625</v>
      </c>
      <c r="E1029" s="40">
        <f t="shared" si="64"/>
        <v>-7.0022317363925834E-3</v>
      </c>
      <c r="F1029" s="41">
        <f t="shared" si="65"/>
        <v>152.83424850354106</v>
      </c>
      <c r="G1029" s="42" t="str">
        <f t="shared" si="66"/>
        <v>2026-02</v>
      </c>
    </row>
    <row r="1030" spans="1:7" x14ac:dyDescent="0.25">
      <c r="A1030" s="31">
        <v>46062</v>
      </c>
      <c r="B1030" s="32">
        <v>69028.167724609404</v>
      </c>
      <c r="C1030" s="33">
        <f t="shared" si="67"/>
        <v>4.8218155635781912E-3</v>
      </c>
      <c r="D1030" s="32">
        <f>MAX($B$2:B1030)</f>
        <v>69181.34765625</v>
      </c>
      <c r="E1030" s="34">
        <f t="shared" si="64"/>
        <v>-2.2141796427805893E-3</v>
      </c>
      <c r="F1030" s="35">
        <f t="shared" si="65"/>
        <v>153.57118706162322</v>
      </c>
      <c r="G1030" s="36" t="str">
        <f t="shared" si="66"/>
        <v>2026-02</v>
      </c>
    </row>
    <row r="1031" spans="1:7" x14ac:dyDescent="0.25">
      <c r="A1031" s="37">
        <v>46063</v>
      </c>
      <c r="B1031" s="38">
        <v>68846.130371093794</v>
      </c>
      <c r="C1031" s="39">
        <f t="shared" si="67"/>
        <v>-2.6371459581812084E-3</v>
      </c>
      <c r="D1031" s="38">
        <f>MAX($B$2:B1031)</f>
        <v>69181.34765625</v>
      </c>
      <c r="E1031" s="40">
        <f t="shared" si="64"/>
        <v>-4.8454864860661973E-3</v>
      </c>
      <c r="F1031" s="41">
        <f t="shared" si="65"/>
        <v>153.16619742637056</v>
      </c>
      <c r="G1031" s="42" t="str">
        <f t="shared" si="66"/>
        <v>2026-02</v>
      </c>
    </row>
    <row r="1032" spans="1:7" x14ac:dyDescent="0.25">
      <c r="A1032" s="31">
        <v>46064</v>
      </c>
      <c r="B1032" s="32">
        <v>68830.218505859404</v>
      </c>
      <c r="C1032" s="33">
        <f t="shared" si="67"/>
        <v>-2.3112214366471928E-4</v>
      </c>
      <c r="D1032" s="32">
        <f>MAX($B$2:B1032)</f>
        <v>69181.34765625</v>
      </c>
      <c r="E1032" s="34">
        <f t="shared" si="64"/>
        <v>-5.0754887305072272E-3</v>
      </c>
      <c r="F1032" s="35">
        <f t="shared" si="65"/>
        <v>153.13079732648441</v>
      </c>
      <c r="G1032" s="36" t="str">
        <f t="shared" si="66"/>
        <v>2026-02</v>
      </c>
    </row>
    <row r="1033" spans="1:7" x14ac:dyDescent="0.25">
      <c r="A1033" s="37">
        <v>46065</v>
      </c>
      <c r="B1033" s="38">
        <v>67766.8701171875</v>
      </c>
      <c r="C1033" s="39">
        <f t="shared" si="67"/>
        <v>-1.5448859697886674E-2</v>
      </c>
      <c r="D1033" s="38">
        <f>MAX($B$2:B1033)</f>
        <v>69181.34765625</v>
      </c>
      <c r="E1033" s="40">
        <f t="shared" si="64"/>
        <v>-2.0445937915098078E-2</v>
      </c>
      <c r="F1033" s="41">
        <f t="shared" si="65"/>
        <v>150.76510112316203</v>
      </c>
      <c r="G1033" s="42" t="str">
        <f t="shared" si="66"/>
        <v>2026-02</v>
      </c>
    </row>
    <row r="1034" spans="1:7" x14ac:dyDescent="0.25">
      <c r="A1034" s="31">
        <v>46066</v>
      </c>
      <c r="B1034" s="32">
        <v>67814.611816406294</v>
      </c>
      <c r="C1034" s="33">
        <f t="shared" si="67"/>
        <v>7.0449910311976005E-4</v>
      </c>
      <c r="D1034" s="32">
        <f>MAX($B$2:B1034)</f>
        <v>69181.34765625</v>
      </c>
      <c r="E1034" s="34">
        <f t="shared" si="64"/>
        <v>-1.9755842956901914E-2</v>
      </c>
      <c r="F1034" s="35">
        <f t="shared" si="65"/>
        <v>150.87131500168508</v>
      </c>
      <c r="G1034" s="36" t="str">
        <f t="shared" si="66"/>
        <v>2026-02</v>
      </c>
    </row>
    <row r="1035" spans="1:7" x14ac:dyDescent="0.25">
      <c r="A1035" s="37">
        <v>46070</v>
      </c>
      <c r="B1035" s="38">
        <v>67924.029541015596</v>
      </c>
      <c r="C1035" s="39">
        <f t="shared" si="67"/>
        <v>1.6134830190508431E-3</v>
      </c>
      <c r="D1035" s="38">
        <f>MAX($B$2:B1035)</f>
        <v>69181.34765625</v>
      </c>
      <c r="E1035" s="40">
        <f t="shared" si="64"/>
        <v>-1.8174235654988991E-2</v>
      </c>
      <c r="F1035" s="41">
        <f t="shared" si="65"/>
        <v>151.11474330650216</v>
      </c>
      <c r="G1035" s="42" t="str">
        <f t="shared" si="66"/>
        <v>2026-02</v>
      </c>
    </row>
    <row r="1036" spans="1:7" x14ac:dyDescent="0.25">
      <c r="A1036" s="31">
        <v>46071</v>
      </c>
      <c r="B1036" s="32">
        <v>68266.2109375</v>
      </c>
      <c r="C1036" s="33">
        <f t="shared" si="67"/>
        <v>5.0377075505771973E-3</v>
      </c>
      <c r="D1036" s="32">
        <f>MAX($B$2:B1036)</f>
        <v>69181.34765625</v>
      </c>
      <c r="E1036" s="34">
        <f t="shared" si="64"/>
        <v>-1.3228084588596811E-2</v>
      </c>
      <c r="F1036" s="35">
        <f t="shared" si="65"/>
        <v>151.87601518986088</v>
      </c>
      <c r="G1036" s="36" t="str">
        <f t="shared" si="66"/>
        <v>2026-02</v>
      </c>
    </row>
    <row r="1037" spans="1:7" x14ac:dyDescent="0.25">
      <c r="A1037" s="37">
        <v>46072</v>
      </c>
      <c r="B1037" s="38">
        <v>68086.163330078096</v>
      </c>
      <c r="C1037" s="39">
        <f t="shared" si="67"/>
        <v>-2.637433731114025E-3</v>
      </c>
      <c r="D1037" s="38">
        <f>MAX($B$2:B1037)</f>
        <v>69181.34765625</v>
      </c>
      <c r="E1037" s="40">
        <f t="shared" si="64"/>
        <v>-1.5830630123218836E-2</v>
      </c>
      <c r="F1037" s="41">
        <f t="shared" si="65"/>
        <v>151.47545226445197</v>
      </c>
      <c r="G1037" s="42" t="str">
        <f t="shared" si="66"/>
        <v>2026-02</v>
      </c>
    </row>
    <row r="1038" spans="1:7" x14ac:dyDescent="0.25">
      <c r="A1038" s="31">
        <v>46073</v>
      </c>
      <c r="B1038" s="32">
        <v>68578.558349609404</v>
      </c>
      <c r="C1038" s="33">
        <f t="shared" si="67"/>
        <v>7.2319395813831289E-3</v>
      </c>
      <c r="D1038" s="32">
        <f>MAX($B$2:B1038)</f>
        <v>69181.34765625</v>
      </c>
      <c r="E1038" s="34">
        <f t="shared" si="64"/>
        <v>-8.7131767024219986E-3</v>
      </c>
      <c r="F1038" s="35">
        <f t="shared" si="65"/>
        <v>152.57091358329114</v>
      </c>
      <c r="G1038" s="36" t="str">
        <f t="shared" si="66"/>
        <v>2026-02</v>
      </c>
    </row>
    <row r="1039" spans="1:7" x14ac:dyDescent="0.25">
      <c r="A1039" s="37">
        <v>46076</v>
      </c>
      <c r="B1039" s="38">
        <v>67878.277587890596</v>
      </c>
      <c r="C1039" s="39">
        <f t="shared" si="67"/>
        <v>-1.0211366038767045E-2</v>
      </c>
      <c r="D1039" s="38">
        <f>MAX($B$2:B1039)</f>
        <v>69181.34765625</v>
      </c>
      <c r="E1039" s="40">
        <f t="shared" si="64"/>
        <v>-1.8835569304520239E-2</v>
      </c>
      <c r="F1039" s="41">
        <f t="shared" si="65"/>
        <v>151.01295613782307</v>
      </c>
      <c r="G1039" s="42" t="str">
        <f t="shared" si="66"/>
        <v>2026-02</v>
      </c>
    </row>
    <row r="1040" spans="1:7" x14ac:dyDescent="0.25">
      <c r="A1040" s="31">
        <v>46077</v>
      </c>
      <c r="B1040" s="32">
        <v>68371.649169921904</v>
      </c>
      <c r="C1040" s="33">
        <f t="shared" si="67"/>
        <v>7.2684752701992483E-3</v>
      </c>
      <c r="D1040" s="32">
        <f>MAX($B$2:B1040)</f>
        <v>69181.34765625</v>
      </c>
      <c r="E1040" s="34">
        <f t="shared" si="64"/>
        <v>-1.1703999904010942E-2</v>
      </c>
      <c r="F1040" s="35">
        <f t="shared" si="65"/>
        <v>152.11059007499051</v>
      </c>
      <c r="G1040" s="36" t="str">
        <f t="shared" si="66"/>
        <v>2026-02</v>
      </c>
    </row>
    <row r="1041" spans="1:7" x14ac:dyDescent="0.25">
      <c r="A1041" s="37">
        <v>46078</v>
      </c>
      <c r="B1041" s="38">
        <v>68948.590087890596</v>
      </c>
      <c r="C1041" s="39">
        <f t="shared" si="67"/>
        <v>8.4383063005375458E-3</v>
      </c>
      <c r="D1041" s="38">
        <f>MAX($B$2:B1041)</f>
        <v>69181.34765625</v>
      </c>
      <c r="E1041" s="40">
        <f t="shared" si="64"/>
        <v>-3.3644555396049602E-3</v>
      </c>
      <c r="F1041" s="41">
        <f t="shared" si="65"/>
        <v>153.3941458255988</v>
      </c>
      <c r="G1041" s="42" t="str">
        <f t="shared" si="66"/>
        <v>2026-02</v>
      </c>
    </row>
    <row r="1042" spans="1:7" x14ac:dyDescent="0.25">
      <c r="A1042" s="31">
        <v>46079</v>
      </c>
      <c r="B1042" s="32">
        <v>68565.618896484404</v>
      </c>
      <c r="C1042" s="33">
        <f t="shared" si="67"/>
        <v>-5.5544455792062575E-3</v>
      </c>
      <c r="D1042" s="32">
        <f>MAX($B$2:B1042)</f>
        <v>69181.34765625</v>
      </c>
      <c r="E1042" s="34">
        <f t="shared" si="64"/>
        <v>-8.9002134336128025E-3</v>
      </c>
      <c r="F1042" s="35">
        <f t="shared" si="65"/>
        <v>152.54212639044167</v>
      </c>
      <c r="G1042" s="36" t="str">
        <f t="shared" si="66"/>
        <v>2026-02</v>
      </c>
    </row>
    <row r="1043" spans="1:7" x14ac:dyDescent="0.25">
      <c r="A1043" s="37">
        <v>46080</v>
      </c>
      <c r="B1043" s="38">
        <v>68236.370849609404</v>
      </c>
      <c r="C1043" s="39">
        <f t="shared" si="67"/>
        <v>-4.8019408586112977E-3</v>
      </c>
      <c r="D1043" s="38">
        <f>MAX($B$2:B1043)</f>
        <v>69181.34765625</v>
      </c>
      <c r="E1043" s="40">
        <f t="shared" si="64"/>
        <v>-1.3659415993686919E-2</v>
      </c>
      <c r="F1043" s="41">
        <f t="shared" si="65"/>
        <v>151.80962812106796</v>
      </c>
      <c r="G1043" s="42" t="str">
        <f t="shared" si="66"/>
        <v>2026-02</v>
      </c>
    </row>
    <row r="1044" spans="1:7" x14ac:dyDescent="0.25">
      <c r="A1044" s="31">
        <v>46083</v>
      </c>
      <c r="B1044" s="32">
        <v>68275.1708984375</v>
      </c>
      <c r="C1044" s="33">
        <f t="shared" si="67"/>
        <v>5.6861243271000284E-4</v>
      </c>
      <c r="D1044" s="32">
        <f>MAX($B$2:B1044)</f>
        <v>69181.34765625</v>
      </c>
      <c r="E1044" s="34">
        <f t="shared" si="64"/>
        <v>-1.3098570474734506E-2</v>
      </c>
      <c r="F1044" s="35">
        <f t="shared" si="65"/>
        <v>151.89594896302268</v>
      </c>
      <c r="G1044" s="36" t="str">
        <f t="shared" si="66"/>
        <v>2026-03</v>
      </c>
    </row>
    <row r="1045" spans="1:7" x14ac:dyDescent="0.25">
      <c r="A1045" s="37">
        <v>46084</v>
      </c>
      <c r="B1045" s="38">
        <v>67673.370361328096</v>
      </c>
      <c r="C1045" s="39">
        <f t="shared" si="67"/>
        <v>-8.8143395203595931E-3</v>
      </c>
      <c r="D1045" s="38">
        <f>MAX($B$2:B1045)</f>
        <v>69181.34765625</v>
      </c>
      <c r="E1045" s="40">
        <f t="shared" si="64"/>
        <v>-2.1797454747698453E-2</v>
      </c>
      <c r="F1045" s="41">
        <f t="shared" si="65"/>
        <v>150.55708649709538</v>
      </c>
      <c r="G1045" s="42" t="str">
        <f t="shared" si="66"/>
        <v>2026-03</v>
      </c>
    </row>
    <row r="1046" spans="1:7" x14ac:dyDescent="0.25">
      <c r="A1046" s="31">
        <v>46085</v>
      </c>
      <c r="B1046" s="32">
        <v>68150.823974609404</v>
      </c>
      <c r="C1046" s="33">
        <f t="shared" si="67"/>
        <v>7.0552657674953778E-3</v>
      </c>
      <c r="D1046" s="32">
        <f>MAX($B$2:B1046)</f>
        <v>69181.34765625</v>
      </c>
      <c r="E1046" s="34">
        <f t="shared" si="64"/>
        <v>-1.4895975816503149E-2</v>
      </c>
      <c r="F1046" s="35">
        <f t="shared" si="65"/>
        <v>151.61930675551216</v>
      </c>
      <c r="G1046" s="36" t="str">
        <f t="shared" si="66"/>
        <v>2026-03</v>
      </c>
    </row>
    <row r="1047" spans="1:7" x14ac:dyDescent="0.25">
      <c r="A1047" s="37">
        <v>46086</v>
      </c>
      <c r="B1047" s="38">
        <v>67770.849609375</v>
      </c>
      <c r="C1047" s="39">
        <f t="shared" si="67"/>
        <v>-5.5754918733773584E-3</v>
      </c>
      <c r="D1047" s="38">
        <f>MAX($B$2:B1047)</f>
        <v>69181.34765625</v>
      </c>
      <c r="E1047" s="40">
        <f t="shared" si="64"/>
        <v>-2.038841529776958E-2</v>
      </c>
      <c r="F1047" s="41">
        <f t="shared" si="65"/>
        <v>150.77395454284971</v>
      </c>
      <c r="G1047" s="42" t="str">
        <f t="shared" si="66"/>
        <v>2026-03</v>
      </c>
    </row>
    <row r="1048" spans="1:7" x14ac:dyDescent="0.25">
      <c r="A1048" s="31">
        <v>46087</v>
      </c>
      <c r="B1048" s="32">
        <v>66882.568359375</v>
      </c>
      <c r="C1048" s="33">
        <f t="shared" si="67"/>
        <v>-1.3107128730419859E-2</v>
      </c>
      <c r="D1048" s="32">
        <f>MAX($B$2:B1048)</f>
        <v>69181.34765625</v>
      </c>
      <c r="E1048" s="34">
        <f t="shared" si="64"/>
        <v>-3.3228310444272213E-2</v>
      </c>
      <c r="F1048" s="35">
        <f t="shared" si="65"/>
        <v>148.79774091146209</v>
      </c>
      <c r="G1048" s="36" t="str">
        <f t="shared" si="66"/>
        <v>2026-03</v>
      </c>
    </row>
    <row r="1049" spans="1:7" x14ac:dyDescent="0.25">
      <c r="A1049" s="37">
        <v>46090</v>
      </c>
      <c r="B1049" s="38">
        <v>67468.45703125</v>
      </c>
      <c r="C1049" s="39">
        <f t="shared" si="67"/>
        <v>8.7599607229029708E-3</v>
      </c>
      <c r="D1049" s="38">
        <f>MAX($B$2:B1049)</f>
        <v>69181.34765625</v>
      </c>
      <c r="E1049" s="40">
        <f t="shared" si="64"/>
        <v>-2.4759428415749518E-2</v>
      </c>
      <c r="F1049" s="41">
        <f t="shared" si="65"/>
        <v>150.1012032775032</v>
      </c>
      <c r="G1049" s="42" t="str">
        <f t="shared" si="66"/>
        <v>2026-03</v>
      </c>
    </row>
    <row r="1050" spans="1:7" x14ac:dyDescent="0.25">
      <c r="A1050" s="31">
        <v>46091</v>
      </c>
      <c r="B1050" s="32">
        <v>67360.028076171904</v>
      </c>
      <c r="C1050" s="33">
        <f t="shared" si="67"/>
        <v>-1.6071058958392337E-3</v>
      </c>
      <c r="D1050" s="32">
        <f>MAX($B$2:B1050)</f>
        <v>69181.34765625</v>
      </c>
      <c r="E1050" s="34">
        <f t="shared" si="64"/>
        <v>-2.6326743288204169E-2</v>
      </c>
      <c r="F1050" s="35">
        <f t="shared" si="65"/>
        <v>149.85997474874338</v>
      </c>
      <c r="G1050" s="36" t="str">
        <f t="shared" si="66"/>
        <v>2026-03</v>
      </c>
    </row>
    <row r="1051" spans="1:7" x14ac:dyDescent="0.25">
      <c r="A1051" s="37">
        <v>46092</v>
      </c>
      <c r="B1051" s="38">
        <v>67275.482177734404</v>
      </c>
      <c r="C1051" s="39">
        <f t="shared" si="67"/>
        <v>-1.2551345486657706E-3</v>
      </c>
      <c r="D1051" s="38">
        <f>MAX($B$2:B1051)</f>
        <v>69181.34765625</v>
      </c>
      <c r="E1051" s="40">
        <f t="shared" si="64"/>
        <v>-2.7548834231814978E-2</v>
      </c>
      <c r="F1051" s="41">
        <f t="shared" si="65"/>
        <v>149.67188031697404</v>
      </c>
      <c r="G1051" s="42" t="str">
        <f t="shared" si="66"/>
        <v>2026-03</v>
      </c>
    </row>
    <row r="1052" spans="1:7" x14ac:dyDescent="0.25">
      <c r="A1052" s="31">
        <v>46093</v>
      </c>
      <c r="B1052" s="32">
        <v>66253.90625</v>
      </c>
      <c r="C1052" s="33">
        <f t="shared" si="67"/>
        <v>-1.518496627100363E-2</v>
      </c>
      <c r="D1052" s="32">
        <f>MAX($B$2:B1052)</f>
        <v>69181.34765625</v>
      </c>
      <c r="E1052" s="34">
        <f t="shared" si="64"/>
        <v>-4.2315472384203079E-2</v>
      </c>
      <c r="F1052" s="35">
        <f t="shared" si="65"/>
        <v>147.3991178626431</v>
      </c>
      <c r="G1052" s="36" t="str">
        <f t="shared" si="66"/>
        <v>2026-03</v>
      </c>
    </row>
    <row r="1053" spans="1:7" x14ac:dyDescent="0.25">
      <c r="A1053" s="37">
        <v>46094</v>
      </c>
      <c r="B1053" s="38">
        <v>65878.900146484404</v>
      </c>
      <c r="C1053" s="39">
        <f t="shared" si="67"/>
        <v>-5.6601357526084861E-3</v>
      </c>
      <c r="D1053" s="38">
        <f>MAX($B$2:B1053)</f>
        <v>69181.34765625</v>
      </c>
      <c r="E1053" s="40">
        <f t="shared" si="64"/>
        <v>-4.7736096818681184E-2</v>
      </c>
      <c r="F1053" s="41">
        <f t="shared" si="65"/>
        <v>146.5648188457258</v>
      </c>
      <c r="G1053" s="42" t="str">
        <f t="shared" si="66"/>
        <v>2026-03</v>
      </c>
    </row>
    <row r="1054" spans="1:7" x14ac:dyDescent="0.25">
      <c r="A1054" s="31">
        <v>46097</v>
      </c>
      <c r="B1054" s="32">
        <v>66549.3408203125</v>
      </c>
      <c r="C1054" s="33">
        <f t="shared" si="67"/>
        <v>1.0176865010456115E-2</v>
      </c>
      <c r="D1054" s="32">
        <f>MAX($B$2:B1054)</f>
        <v>69181.34765625</v>
      </c>
      <c r="E1054" s="34">
        <f t="shared" si="64"/>
        <v>-3.8045035621674828E-2</v>
      </c>
      <c r="F1054" s="35">
        <f t="shared" si="65"/>
        <v>148.05638922240072</v>
      </c>
      <c r="G1054" s="36" t="str">
        <f t="shared" si="66"/>
        <v>2026-03</v>
      </c>
    </row>
    <row r="1055" spans="1:7" x14ac:dyDescent="0.25">
      <c r="A1055" s="37">
        <v>46098</v>
      </c>
      <c r="B1055" s="38">
        <v>66724.401855468794</v>
      </c>
      <c r="C1055" s="39">
        <f t="shared" si="67"/>
        <v>2.630544991106154E-3</v>
      </c>
      <c r="D1055" s="38">
        <f>MAX($B$2:B1055)</f>
        <v>69181.34765625</v>
      </c>
      <c r="E1055" s="40">
        <f t="shared" si="64"/>
        <v>-3.5514569808459684E-2</v>
      </c>
      <c r="F1055" s="41">
        <f t="shared" si="65"/>
        <v>148.44585821547099</v>
      </c>
      <c r="G1055" s="42" t="str">
        <f t="shared" si="66"/>
        <v>2026-03</v>
      </c>
    </row>
    <row r="1056" spans="1:7" x14ac:dyDescent="0.25">
      <c r="A1056" s="31">
        <v>46099</v>
      </c>
      <c r="B1056" s="32">
        <v>65793.353271484404</v>
      </c>
      <c r="C1056" s="33">
        <f t="shared" si="67"/>
        <v>-1.395364451525738E-2</v>
      </c>
      <c r="D1056" s="32">
        <f>MAX($B$2:B1056)</f>
        <v>69181.34765625</v>
      </c>
      <c r="E1056" s="34">
        <f t="shared" si="64"/>
        <v>-4.8972656641497414E-2</v>
      </c>
      <c r="F1056" s="35">
        <f t="shared" si="65"/>
        <v>146.37449748016999</v>
      </c>
      <c r="G1056" s="36" t="str">
        <f t="shared" si="66"/>
        <v>2026-03</v>
      </c>
    </row>
    <row r="1057" spans="1:7" x14ac:dyDescent="0.25">
      <c r="A1057" s="37">
        <v>46100</v>
      </c>
      <c r="B1057" s="38">
        <v>65631.219482421904</v>
      </c>
      <c r="C1057" s="39">
        <f t="shared" si="67"/>
        <v>-2.4642882753442841E-3</v>
      </c>
      <c r="D1057" s="38">
        <f>MAX($B$2:B1057)</f>
        <v>69181.34765625</v>
      </c>
      <c r="E1057" s="40">
        <f t="shared" si="64"/>
        <v>-5.1316262173267568E-2</v>
      </c>
      <c r="F1057" s="41">
        <f t="shared" si="65"/>
        <v>146.01378852222021</v>
      </c>
      <c r="G1057" s="42" t="str">
        <f t="shared" si="66"/>
        <v>2026-03</v>
      </c>
    </row>
    <row r="1058" spans="1:7" x14ac:dyDescent="0.25">
      <c r="A1058" s="31">
        <v>46101</v>
      </c>
      <c r="B1058" s="32">
        <v>64690.344238281286</v>
      </c>
      <c r="C1058" s="33">
        <f t="shared" si="67"/>
        <v>-1.4335787930812582E-2</v>
      </c>
      <c r="D1058" s="32">
        <f>MAX($B$2:B1058)</f>
        <v>69181.34765625</v>
      </c>
      <c r="E1058" s="34">
        <f t="shared" si="64"/>
        <v>-6.4916391052162292E-2</v>
      </c>
      <c r="F1058" s="35">
        <f t="shared" si="65"/>
        <v>143.92056581499116</v>
      </c>
      <c r="G1058" s="36" t="str">
        <f t="shared" si="66"/>
        <v>2026-03</v>
      </c>
    </row>
    <row r="1059" spans="1:7" x14ac:dyDescent="0.25">
      <c r="A1059" s="37">
        <v>46104</v>
      </c>
      <c r="B1059" s="38">
        <v>65369.592285156286</v>
      </c>
      <c r="C1059" s="39">
        <f t="shared" si="67"/>
        <v>1.0499991225476402E-2</v>
      </c>
      <c r="D1059" s="38">
        <f>MAX($B$2:B1059)</f>
        <v>69181.34765625</v>
      </c>
      <c r="E1059" s="40">
        <f t="shared" si="64"/>
        <v>-5.509802136312314E-2</v>
      </c>
      <c r="F1059" s="41">
        <f t="shared" si="65"/>
        <v>145.43173049321413</v>
      </c>
      <c r="G1059" s="42" t="str">
        <f t="shared" si="66"/>
        <v>2026-03</v>
      </c>
    </row>
    <row r="1060" spans="1:7" x14ac:dyDescent="0.25">
      <c r="A1060" s="31">
        <v>46105</v>
      </c>
      <c r="B1060" s="32">
        <v>65150.158691406286</v>
      </c>
      <c r="C1060" s="33">
        <f t="shared" si="67"/>
        <v>-3.3568144771775055E-3</v>
      </c>
      <c r="D1060" s="32">
        <f>MAX($B$2:B1060)</f>
        <v>69181.34765625</v>
      </c>
      <c r="E1060" s="34">
        <f t="shared" si="64"/>
        <v>-5.8269882004525098E-2</v>
      </c>
      <c r="F1060" s="35">
        <f t="shared" si="65"/>
        <v>144.94354315485356</v>
      </c>
      <c r="G1060" s="36" t="str">
        <f t="shared" si="66"/>
        <v>2026-03</v>
      </c>
    </row>
    <row r="1061" spans="1:7" x14ac:dyDescent="0.25">
      <c r="A1061" s="37">
        <v>46106</v>
      </c>
      <c r="B1061" s="38">
        <v>65513.220214843786</v>
      </c>
      <c r="C1061" s="39">
        <f t="shared" si="67"/>
        <v>5.5726882440485515E-3</v>
      </c>
      <c r="D1061" s="38">
        <f>MAX($B$2:B1061)</f>
        <v>69181.34765625</v>
      </c>
      <c r="E1061" s="40">
        <f t="shared" si="64"/>
        <v>-5.3021913646905228E-2</v>
      </c>
      <c r="F1061" s="41">
        <f t="shared" si="65"/>
        <v>145.75126833384334</v>
      </c>
      <c r="G1061" s="42" t="str">
        <f t="shared" si="66"/>
        <v>2026-03</v>
      </c>
    </row>
    <row r="1062" spans="1:7" x14ac:dyDescent="0.25">
      <c r="A1062" s="31">
        <v>46107</v>
      </c>
      <c r="B1062" s="32">
        <v>64343.2373046875</v>
      </c>
      <c r="C1062" s="33">
        <f t="shared" si="67"/>
        <v>-1.785872998334459E-2</v>
      </c>
      <c r="D1062" s="32">
        <f>MAX($B$2:B1062)</f>
        <v>69181.34765625</v>
      </c>
      <c r="E1062" s="34">
        <f t="shared" si="64"/>
        <v>-6.9933739591229505E-2</v>
      </c>
      <c r="F1062" s="35">
        <f t="shared" si="65"/>
        <v>143.14833578793926</v>
      </c>
      <c r="G1062" s="36" t="str">
        <f t="shared" si="66"/>
        <v>2026-03</v>
      </c>
    </row>
    <row r="1063" spans="1:7" x14ac:dyDescent="0.25">
      <c r="A1063" s="37">
        <v>46108</v>
      </c>
      <c r="B1063" s="38">
        <v>63246.063232421897</v>
      </c>
      <c r="C1063" s="39">
        <f t="shared" si="67"/>
        <v>-1.7051894157424918E-2</v>
      </c>
      <c r="D1063" s="38">
        <f>MAX($B$2:B1063)</f>
        <v>69181.34765625</v>
      </c>
      <c r="E1063" s="40">
        <f t="shared" si="64"/>
        <v>-8.5793131023111813E-2</v>
      </c>
      <c r="F1063" s="41">
        <f t="shared" si="65"/>
        <v>140.7073855172718</v>
      </c>
      <c r="G1063" s="42" t="str">
        <f t="shared" si="66"/>
        <v>2026-03</v>
      </c>
    </row>
    <row r="1064" spans="1:7" x14ac:dyDescent="0.25">
      <c r="A1064" s="31">
        <v>46111</v>
      </c>
      <c r="B1064" s="32">
        <v>63034.606933593786</v>
      </c>
      <c r="C1064" s="33">
        <f t="shared" si="67"/>
        <v>-3.3433906874335007E-3</v>
      </c>
      <c r="D1064" s="32">
        <f>MAX($B$2:B1064)</f>
        <v>69181.34765625</v>
      </c>
      <c r="E1064" s="34">
        <f t="shared" si="64"/>
        <v>-8.8849681755236887E-2</v>
      </c>
      <c r="F1064" s="35">
        <f t="shared" si="65"/>
        <v>140.23694575488022</v>
      </c>
      <c r="G1064" s="36" t="str">
        <f t="shared" si="66"/>
        <v>2026-03</v>
      </c>
    </row>
    <row r="1065" spans="1:7" x14ac:dyDescent="0.25">
      <c r="A1065" s="37">
        <v>46112</v>
      </c>
      <c r="B1065" s="38">
        <v>64866.888427734397</v>
      </c>
      <c r="C1065" s="39">
        <f t="shared" si="67"/>
        <v>2.9067865784756952E-2</v>
      </c>
      <c r="D1065" s="38">
        <f>MAX($B$2:B1065)</f>
        <v>69181.34765625</v>
      </c>
      <c r="E1065" s="40">
        <f t="shared" si="64"/>
        <v>-6.2364486594759572E-2</v>
      </c>
      <c r="F1065" s="41">
        <f t="shared" si="65"/>
        <v>144.31333447214732</v>
      </c>
      <c r="G1065" s="42" t="str">
        <f t="shared" si="66"/>
        <v>2026-03</v>
      </c>
    </row>
    <row r="1066" spans="1:7" x14ac:dyDescent="0.25">
      <c r="A1066" s="31">
        <v>46113</v>
      </c>
      <c r="B1066" s="32">
        <v>65355.627441406286</v>
      </c>
      <c r="C1066" s="33">
        <f t="shared" si="67"/>
        <v>7.5344914103037119E-3</v>
      </c>
      <c r="D1066" s="32">
        <f>MAX($B$2:B1066)</f>
        <v>69181.34765625</v>
      </c>
      <c r="E1066" s="34">
        <f t="shared" si="64"/>
        <v>-5.5299879873012103E-2</v>
      </c>
      <c r="F1066" s="35">
        <f t="shared" si="65"/>
        <v>145.40066205111998</v>
      </c>
      <c r="G1066" s="36" t="str">
        <f t="shared" si="66"/>
        <v>2026-04</v>
      </c>
    </row>
    <row r="1067" spans="1:7" x14ac:dyDescent="0.25">
      <c r="A1067" s="37">
        <v>46114</v>
      </c>
      <c r="B1067" s="38">
        <v>65414.4775390625</v>
      </c>
      <c r="C1067" s="39">
        <f t="shared" si="67"/>
        <v>9.0045953133843781E-4</v>
      </c>
      <c r="D1067" s="38">
        <f>MAX($B$2:B1067)</f>
        <v>69181.34765625</v>
      </c>
      <c r="E1067" s="40">
        <f t="shared" si="64"/>
        <v>-5.4449215645587246E-2</v>
      </c>
      <c r="F1067" s="41">
        <f t="shared" si="65"/>
        <v>145.53158946312683</v>
      </c>
      <c r="G1067" s="42" t="str">
        <f t="shared" si="66"/>
        <v>2026-04</v>
      </c>
    </row>
    <row r="1068" spans="1:7" x14ac:dyDescent="0.25">
      <c r="A1068" s="31">
        <v>46118</v>
      </c>
      <c r="B1068" s="32">
        <v>65723.681640625</v>
      </c>
      <c r="C1068" s="33">
        <f t="shared" si="67"/>
        <v>4.7268450837638643E-3</v>
      </c>
      <c r="D1068" s="32">
        <f>MAX($B$2:B1068)</f>
        <v>69181.34765625</v>
      </c>
      <c r="E1068" s="34">
        <f t="shared" si="64"/>
        <v>-4.99797435691125E-2</v>
      </c>
      <c r="F1068" s="35">
        <f t="shared" si="65"/>
        <v>146.21949474131296</v>
      </c>
      <c r="G1068" s="36" t="str">
        <f t="shared" si="66"/>
        <v>2026-04</v>
      </c>
    </row>
    <row r="1069" spans="1:7" x14ac:dyDescent="0.25">
      <c r="A1069" s="37">
        <v>46119</v>
      </c>
      <c r="B1069" s="38">
        <v>65752.600097656294</v>
      </c>
      <c r="C1069" s="39">
        <f t="shared" si="67"/>
        <v>4.4000056462789594E-4</v>
      </c>
      <c r="D1069" s="38">
        <f>MAX($B$2:B1069)</f>
        <v>69181.34765625</v>
      </c>
      <c r="E1069" s="40">
        <f t="shared" si="64"/>
        <v>-4.9561734119875078E-2</v>
      </c>
      <c r="F1069" s="41">
        <f t="shared" si="65"/>
        <v>146.28383140155873</v>
      </c>
      <c r="G1069" s="42" t="str">
        <f t="shared" si="66"/>
        <v>2026-04</v>
      </c>
    </row>
    <row r="1070" spans="1:7" x14ac:dyDescent="0.25">
      <c r="A1070" s="31">
        <v>46120</v>
      </c>
      <c r="B1070" s="32">
        <v>67427.294921875</v>
      </c>
      <c r="C1070" s="33">
        <f t="shared" si="67"/>
        <v>2.5469636512190252E-2</v>
      </c>
      <c r="D1070" s="32">
        <f>MAX($B$2:B1070)</f>
        <v>69181.34765625</v>
      </c>
      <c r="E1070" s="34">
        <f t="shared" si="64"/>
        <v>-2.5354416960631898E-2</v>
      </c>
      <c r="F1070" s="35">
        <f t="shared" si="65"/>
        <v>150.00962741496696</v>
      </c>
      <c r="G1070" s="36" t="str">
        <f t="shared" si="66"/>
        <v>2026-04</v>
      </c>
    </row>
    <row r="1071" spans="1:7" x14ac:dyDescent="0.25">
      <c r="A1071" s="37">
        <v>46121</v>
      </c>
      <c r="B1071" s="38">
        <v>67816.2841796875</v>
      </c>
      <c r="C1071" s="39">
        <f t="shared" si="67"/>
        <v>5.7690176991855857E-3</v>
      </c>
      <c r="D1071" s="38">
        <f>MAX($B$2:B1071)</f>
        <v>69181.34765625</v>
      </c>
      <c r="E1071" s="40">
        <f t="shared" si="64"/>
        <v>-1.9731669341644831E-2</v>
      </c>
      <c r="F1071" s="41">
        <f t="shared" si="65"/>
        <v>150.87503561057213</v>
      </c>
      <c r="G1071" s="42" t="str">
        <f t="shared" si="66"/>
        <v>2026-04</v>
      </c>
    </row>
    <row r="1072" spans="1:7" x14ac:dyDescent="0.25">
      <c r="A1072" s="31">
        <v>46122</v>
      </c>
      <c r="B1072" s="32">
        <v>67771.405029296904</v>
      </c>
      <c r="C1072" s="33">
        <f t="shared" si="67"/>
        <v>-6.6177542655809773E-4</v>
      </c>
      <c r="D1072" s="32">
        <f>MAX($B$2:B1072)</f>
        <v>69181.34765625</v>
      </c>
      <c r="E1072" s="34">
        <f t="shared" si="64"/>
        <v>-2.0380386834307651E-2</v>
      </c>
      <c r="F1072" s="35">
        <f t="shared" si="65"/>
        <v>150.77519021952398</v>
      </c>
      <c r="G1072" s="36" t="str">
        <f t="shared" si="66"/>
        <v>2026-04</v>
      </c>
    </row>
    <row r="1073" spans="1:7" x14ac:dyDescent="0.25">
      <c r="A1073" s="37">
        <v>46125</v>
      </c>
      <c r="B1073" s="38">
        <v>68433.697509765596</v>
      </c>
      <c r="C1073" s="39">
        <f t="shared" si="67"/>
        <v>9.7724472464808532E-3</v>
      </c>
      <c r="D1073" s="38">
        <f>MAX($B$2:B1073)</f>
        <v>69181.34765625</v>
      </c>
      <c r="E1073" s="40">
        <f t="shared" si="64"/>
        <v>-1.0807105843027909E-2</v>
      </c>
      <c r="F1073" s="41">
        <f t="shared" si="65"/>
        <v>152.24863281202238</v>
      </c>
      <c r="G1073" s="42" t="str">
        <f t="shared" si="66"/>
        <v>2026-04</v>
      </c>
    </row>
    <row r="1074" spans="1:7" x14ac:dyDescent="0.25">
      <c r="A1074" s="31">
        <v>46126</v>
      </c>
      <c r="B1074" s="32">
        <v>69267.5537109375</v>
      </c>
      <c r="C1074" s="33">
        <f t="shared" si="67"/>
        <v>1.2184877209841183E-2</v>
      </c>
      <c r="D1074" s="32">
        <f>MAX($B$2:B1074)</f>
        <v>69267.5537109375</v>
      </c>
      <c r="E1074" s="34">
        <f t="shared" si="64"/>
        <v>0</v>
      </c>
      <c r="F1074" s="35">
        <f t="shared" si="65"/>
        <v>154.10376370820308</v>
      </c>
      <c r="G1074" s="36" t="str">
        <f t="shared" si="66"/>
        <v>2026-04</v>
      </c>
    </row>
    <row r="1075" spans="1:7" x14ac:dyDescent="0.25">
      <c r="A1075" s="37">
        <v>46127</v>
      </c>
      <c r="B1075" s="38">
        <v>69814.141845703096</v>
      </c>
      <c r="C1075" s="39">
        <f t="shared" si="67"/>
        <v>7.8909692270436871E-3</v>
      </c>
      <c r="D1075" s="38">
        <f>MAX($B$2:B1075)</f>
        <v>69814.141845703096</v>
      </c>
      <c r="E1075" s="40">
        <f t="shared" si="64"/>
        <v>0</v>
      </c>
      <c r="F1075" s="41">
        <f t="shared" si="65"/>
        <v>155.3197917653961</v>
      </c>
      <c r="G1075" s="42" t="str">
        <f t="shared" si="66"/>
        <v>2026-04</v>
      </c>
    </row>
    <row r="1076" spans="1:7" x14ac:dyDescent="0.25">
      <c r="A1076" s="31">
        <v>46128</v>
      </c>
      <c r="B1076" s="32">
        <v>69985.699462890596</v>
      </c>
      <c r="C1076" s="33">
        <f t="shared" si="67"/>
        <v>2.4573476469376132E-3</v>
      </c>
      <c r="D1076" s="32">
        <f>MAX($B$2:B1076)</f>
        <v>69985.699462890596</v>
      </c>
      <c r="E1076" s="34">
        <f t="shared" si="64"/>
        <v>0</v>
      </c>
      <c r="F1076" s="35">
        <f t="shared" si="65"/>
        <v>155.70146649021362</v>
      </c>
      <c r="G1076" s="36" t="str">
        <f t="shared" si="66"/>
        <v>2026-04</v>
      </c>
    </row>
    <row r="1077" spans="1:7" x14ac:dyDescent="0.25">
      <c r="A1077" s="37">
        <v>46129</v>
      </c>
      <c r="B1077" s="38">
        <v>70831.524658203096</v>
      </c>
      <c r="C1077" s="39">
        <f t="shared" si="67"/>
        <v>1.2085686101644066E-2</v>
      </c>
      <c r="D1077" s="38">
        <f>MAX($B$2:B1077)</f>
        <v>70831.524658203096</v>
      </c>
      <c r="E1077" s="40">
        <f t="shared" si="64"/>
        <v>0</v>
      </c>
      <c r="F1077" s="41">
        <f t="shared" si="65"/>
        <v>157.58322553977999</v>
      </c>
      <c r="G1077" s="42" t="str">
        <f t="shared" si="66"/>
        <v>2026-04</v>
      </c>
    </row>
    <row r="1078" spans="1:7" x14ac:dyDescent="0.25">
      <c r="A1078" s="31">
        <v>46132</v>
      </c>
      <c r="B1078" s="32">
        <v>70689.880371093794</v>
      </c>
      <c r="C1078" s="33">
        <f t="shared" si="67"/>
        <v>-1.9997351150183862E-3</v>
      </c>
      <c r="D1078" s="32">
        <f>MAX($B$2:B1078)</f>
        <v>70831.524658203096</v>
      </c>
      <c r="E1078" s="34">
        <f t="shared" si="64"/>
        <v>-1.9997351150183862E-3</v>
      </c>
      <c r="F1078" s="35">
        <f t="shared" si="65"/>
        <v>157.26810083013024</v>
      </c>
      <c r="G1078" s="36" t="str">
        <f t="shared" si="66"/>
        <v>2026-04</v>
      </c>
    </row>
    <row r="1079" spans="1:7" x14ac:dyDescent="0.25">
      <c r="A1079" s="37">
        <v>46133</v>
      </c>
      <c r="B1079" s="38">
        <v>70227.081298828096</v>
      </c>
      <c r="C1079" s="39">
        <f t="shared" si="67"/>
        <v>-6.5468928485404865E-3</v>
      </c>
      <c r="D1079" s="38">
        <f>MAX($B$2:B1079)</f>
        <v>70831.524658203096</v>
      </c>
      <c r="E1079" s="40">
        <f t="shared" si="64"/>
        <v>-8.5335359120354282E-3</v>
      </c>
      <c r="F1079" s="41">
        <f t="shared" si="65"/>
        <v>156.2384834255019</v>
      </c>
      <c r="G1079" s="42" t="str">
        <f t="shared" si="66"/>
        <v>2026-04</v>
      </c>
    </row>
    <row r="1080" spans="1:7" x14ac:dyDescent="0.25">
      <c r="A1080" s="31">
        <v>46134</v>
      </c>
      <c r="B1080" s="32">
        <v>70938.250732421904</v>
      </c>
      <c r="C1080" s="33">
        <f t="shared" si="67"/>
        <v>1.0126712095119839E-2</v>
      </c>
      <c r="D1080" s="32">
        <f>MAX($B$2:B1080)</f>
        <v>70938.250732421904</v>
      </c>
      <c r="E1080" s="34">
        <f t="shared" si="64"/>
        <v>0</v>
      </c>
      <c r="F1080" s="35">
        <f t="shared" si="65"/>
        <v>157.82066556533013</v>
      </c>
      <c r="G1080" s="36" t="str">
        <f t="shared" si="66"/>
        <v>2026-04</v>
      </c>
    </row>
    <row r="1081" spans="1:7" x14ac:dyDescent="0.25">
      <c r="A1081" s="37">
        <v>46135</v>
      </c>
      <c r="B1081" s="38">
        <v>70662.957763671904</v>
      </c>
      <c r="C1081" s="39">
        <f t="shared" si="67"/>
        <v>-3.8807408683984024E-3</v>
      </c>
      <c r="D1081" s="38">
        <f>MAX($B$2:B1081)</f>
        <v>70938.250732421904</v>
      </c>
      <c r="E1081" s="40">
        <f t="shared" si="64"/>
        <v>-3.8807408683984024E-3</v>
      </c>
      <c r="F1081" s="41">
        <f t="shared" si="65"/>
        <v>157.20820445859292</v>
      </c>
      <c r="G1081" s="42" t="str">
        <f t="shared" si="66"/>
        <v>2026-04</v>
      </c>
    </row>
    <row r="1082" spans="1:7" x14ac:dyDescent="0.25">
      <c r="A1082" s="31">
        <v>46136</v>
      </c>
      <c r="B1082" s="32">
        <v>71210.546875</v>
      </c>
      <c r="C1082" s="33">
        <f t="shared" si="67"/>
        <v>7.7493092372311612E-3</v>
      </c>
      <c r="D1082" s="32">
        <f>MAX($B$2:B1082)</f>
        <v>71210.546875</v>
      </c>
      <c r="E1082" s="34">
        <f t="shared" si="64"/>
        <v>0</v>
      </c>
      <c r="F1082" s="35">
        <f t="shared" si="65"/>
        <v>158.42645944957238</v>
      </c>
      <c r="G1082" s="36" t="str">
        <f t="shared" si="66"/>
        <v>2026-04</v>
      </c>
    </row>
    <row r="1083" spans="1:7" x14ac:dyDescent="0.25">
      <c r="A1083" s="37">
        <v>46139</v>
      </c>
      <c r="B1083" s="38">
        <v>71333.2275390625</v>
      </c>
      <c r="C1083" s="39">
        <f t="shared" si="67"/>
        <v>1.722787837563633E-3</v>
      </c>
      <c r="D1083" s="38">
        <f>MAX($B$2:B1083)</f>
        <v>71333.2275390625</v>
      </c>
      <c r="E1083" s="40">
        <f t="shared" si="64"/>
        <v>0</v>
      </c>
      <c r="F1083" s="41">
        <f t="shared" si="65"/>
        <v>158.69939462706037</v>
      </c>
      <c r="G1083" s="42" t="str">
        <f t="shared" si="66"/>
        <v>2026-04</v>
      </c>
    </row>
    <row r="1084" spans="1:7" x14ac:dyDescent="0.25">
      <c r="A1084" s="31">
        <v>46140</v>
      </c>
      <c r="B1084" s="32">
        <v>70986.120605468794</v>
      </c>
      <c r="C1084" s="33">
        <f t="shared" si="67"/>
        <v>-4.8659922671188127E-3</v>
      </c>
      <c r="D1084" s="32">
        <f>MAX($B$2:B1084)</f>
        <v>71333.2275390625</v>
      </c>
      <c r="E1084" s="34">
        <f t="shared" si="64"/>
        <v>-4.8659922671188127E-3</v>
      </c>
      <c r="F1084" s="35">
        <f t="shared" si="65"/>
        <v>157.92716460000867</v>
      </c>
      <c r="G1084" s="36" t="str">
        <f t="shared" si="66"/>
        <v>2026-04</v>
      </c>
    </row>
    <row r="1085" spans="1:7" x14ac:dyDescent="0.25">
      <c r="A1085" s="37">
        <v>46141</v>
      </c>
      <c r="B1085" s="38">
        <v>70975.152587890596</v>
      </c>
      <c r="C1085" s="39">
        <f t="shared" si="67"/>
        <v>-1.5450932498706216E-4</v>
      </c>
      <c r="D1085" s="38">
        <f>MAX($B$2:B1085)</f>
        <v>71333.2275390625</v>
      </c>
      <c r="E1085" s="40">
        <f t="shared" si="64"/>
        <v>-5.0197497509252287E-3</v>
      </c>
      <c r="F1085" s="41">
        <f t="shared" si="65"/>
        <v>157.9027633804092</v>
      </c>
      <c r="G1085" s="42" t="str">
        <f t="shared" si="66"/>
        <v>2026-04</v>
      </c>
    </row>
    <row r="1086" spans="1:7" x14ac:dyDescent="0.25">
      <c r="A1086" s="31">
        <v>46142</v>
      </c>
      <c r="B1086" s="32">
        <v>71681.329345703096</v>
      </c>
      <c r="C1086" s="33">
        <f t="shared" si="67"/>
        <v>9.9496335275648384E-3</v>
      </c>
      <c r="D1086" s="32">
        <f>MAX($B$2:B1086)</f>
        <v>71681.329345703096</v>
      </c>
      <c r="E1086" s="34">
        <f t="shared" si="64"/>
        <v>0</v>
      </c>
      <c r="F1086" s="35">
        <f t="shared" si="65"/>
        <v>159.47383800903404</v>
      </c>
      <c r="G1086" s="36" t="str">
        <f t="shared" si="66"/>
        <v>2026-04</v>
      </c>
    </row>
    <row r="1087" spans="1:7" x14ac:dyDescent="0.25">
      <c r="A1087" s="37">
        <v>46143</v>
      </c>
      <c r="B1087" s="38">
        <v>71879.821777343794</v>
      </c>
      <c r="C1087" s="39">
        <f t="shared" si="67"/>
        <v>2.7690952923515866E-3</v>
      </c>
      <c r="D1087" s="38">
        <f>MAX($B$2:B1087)</f>
        <v>71879.821777343794</v>
      </c>
      <c r="E1087" s="40">
        <f t="shared" si="64"/>
        <v>0</v>
      </c>
      <c r="F1087" s="41">
        <f t="shared" si="65"/>
        <v>159.91543626311812</v>
      </c>
      <c r="G1087" s="42" t="str">
        <f t="shared" si="66"/>
        <v>2026-05</v>
      </c>
    </row>
    <row r="1088" spans="1:7" x14ac:dyDescent="0.25">
      <c r="A1088" s="31">
        <v>46146</v>
      </c>
      <c r="B1088" s="32">
        <v>71616.497802734404</v>
      </c>
      <c r="C1088" s="33">
        <f t="shared" si="67"/>
        <v>-3.6633921467567054E-3</v>
      </c>
      <c r="D1088" s="32">
        <f>MAX($B$2:B1088)</f>
        <v>71879.821777343794</v>
      </c>
      <c r="E1088" s="34">
        <f t="shared" si="64"/>
        <v>-3.6633921467567054E-3</v>
      </c>
      <c r="F1088" s="35">
        <f t="shared" si="65"/>
        <v>159.32960330976664</v>
      </c>
      <c r="G1088" s="36" t="str">
        <f t="shared" si="66"/>
        <v>2026-05</v>
      </c>
    </row>
    <row r="1089" spans="1:7" x14ac:dyDescent="0.25">
      <c r="A1089" s="37">
        <v>46147</v>
      </c>
      <c r="B1089" s="38">
        <v>72191.021728515596</v>
      </c>
      <c r="C1089" s="39">
        <f t="shared" si="67"/>
        <v>8.022228723941538E-3</v>
      </c>
      <c r="D1089" s="38">
        <f>MAX($B$2:B1089)</f>
        <v>72191.021728515596</v>
      </c>
      <c r="E1089" s="40">
        <f t="shared" si="64"/>
        <v>0</v>
      </c>
      <c r="F1089" s="41">
        <f t="shared" si="65"/>
        <v>160.60778183001247</v>
      </c>
      <c r="G1089" s="42" t="str">
        <f t="shared" si="66"/>
        <v>2026-05</v>
      </c>
    </row>
    <row r="1090" spans="1:7" x14ac:dyDescent="0.25">
      <c r="A1090" s="31">
        <v>46148</v>
      </c>
      <c r="B1090" s="32">
        <v>73194.43359375</v>
      </c>
      <c r="C1090" s="33">
        <f t="shared" si="67"/>
        <v>1.3899399692774539E-2</v>
      </c>
      <c r="D1090" s="32">
        <f>MAX($B$2:B1090)</f>
        <v>73194.43359375</v>
      </c>
      <c r="E1090" s="34">
        <f t="shared" ref="E1090:E1130" si="68">B1090/D1090-1</f>
        <v>0</v>
      </c>
      <c r="F1090" s="35">
        <f t="shared" ref="F1090:F1130" si="69">B1090/$B$2*100</f>
        <v>162.84013358343771</v>
      </c>
      <c r="G1090" s="36" t="str">
        <f t="shared" ref="G1090:G1130" si="70">TEXT(A1090,"YYYY-MM")</f>
        <v>2026-05</v>
      </c>
    </row>
    <row r="1091" spans="1:7" x14ac:dyDescent="0.25">
      <c r="A1091" s="37">
        <v>46149</v>
      </c>
      <c r="B1091" s="38">
        <v>72970.013427734404</v>
      </c>
      <c r="C1091" s="39">
        <f t="shared" ref="C1091:C1130" si="71">B1091/B1090-1</f>
        <v>-3.0660824190701375E-3</v>
      </c>
      <c r="D1091" s="38">
        <f>MAX($B$2:B1091)</f>
        <v>73194.43359375</v>
      </c>
      <c r="E1091" s="40">
        <f t="shared" si="68"/>
        <v>-3.0660824190701375E-3</v>
      </c>
      <c r="F1091" s="41">
        <f t="shared" si="69"/>
        <v>162.34085231273852</v>
      </c>
      <c r="G1091" s="42" t="str">
        <f t="shared" si="70"/>
        <v>2026-05</v>
      </c>
    </row>
    <row r="1092" spans="1:7" x14ac:dyDescent="0.25">
      <c r="A1092" s="31">
        <v>46150</v>
      </c>
      <c r="B1092" s="32">
        <v>73572.4609375</v>
      </c>
      <c r="C1092" s="33">
        <f t="shared" si="71"/>
        <v>8.2560970111678067E-3</v>
      </c>
      <c r="D1092" s="32">
        <f>MAX($B$2:B1092)</f>
        <v>73572.4609375</v>
      </c>
      <c r="E1092" s="34">
        <f t="shared" si="68"/>
        <v>0</v>
      </c>
      <c r="F1092" s="35">
        <f t="shared" si="69"/>
        <v>163.68115413830816</v>
      </c>
      <c r="G1092" s="36" t="str">
        <f t="shared" si="70"/>
        <v>2026-05</v>
      </c>
    </row>
    <row r="1093" spans="1:7" x14ac:dyDescent="0.25">
      <c r="A1093" s="37">
        <v>46153</v>
      </c>
      <c r="B1093" s="38">
        <v>73740.026855468794</v>
      </c>
      <c r="C1093" s="39">
        <f t="shared" si="71"/>
        <v>2.277563042388131E-3</v>
      </c>
      <c r="D1093" s="38">
        <f>MAX($B$2:B1093)</f>
        <v>73740.026855468794</v>
      </c>
      <c r="E1093" s="40">
        <f t="shared" si="68"/>
        <v>0</v>
      </c>
      <c r="F1093" s="41">
        <f t="shared" si="69"/>
        <v>164.053948285709</v>
      </c>
      <c r="G1093" s="42" t="str">
        <f t="shared" si="70"/>
        <v>2026-05</v>
      </c>
    </row>
    <row r="1094" spans="1:7" x14ac:dyDescent="0.25">
      <c r="A1094" s="31">
        <v>46154</v>
      </c>
      <c r="B1094" s="32">
        <v>73628.314208984404</v>
      </c>
      <c r="C1094" s="33">
        <f t="shared" si="71"/>
        <v>-1.5149526145867842E-3</v>
      </c>
      <c r="D1094" s="32">
        <f>MAX($B$2:B1094)</f>
        <v>73740.026855468794</v>
      </c>
      <c r="E1094" s="34">
        <f t="shared" si="68"/>
        <v>-1.5149526145867842E-3</v>
      </c>
      <c r="F1094" s="35">
        <f t="shared" si="69"/>
        <v>163.80541432782027</v>
      </c>
      <c r="G1094" s="36" t="str">
        <f t="shared" si="70"/>
        <v>2026-05</v>
      </c>
    </row>
    <row r="1095" spans="1:7" x14ac:dyDescent="0.25">
      <c r="A1095" s="37">
        <v>46155</v>
      </c>
      <c r="B1095" s="38">
        <v>74040.252685546904</v>
      </c>
      <c r="C1095" s="39">
        <f t="shared" si="71"/>
        <v>5.59483781461112E-3</v>
      </c>
      <c r="D1095" s="38">
        <f>MAX($B$2:B1095)</f>
        <v>74040.252685546904</v>
      </c>
      <c r="E1095" s="40">
        <f t="shared" si="68"/>
        <v>0</v>
      </c>
      <c r="F1095" s="41">
        <f t="shared" si="69"/>
        <v>164.72187905413961</v>
      </c>
      <c r="G1095" s="42" t="str">
        <f t="shared" si="70"/>
        <v>2026-05</v>
      </c>
    </row>
    <row r="1096" spans="1:7" x14ac:dyDescent="0.25">
      <c r="A1096" s="31">
        <v>46156</v>
      </c>
      <c r="B1096" s="32">
        <v>74624.749755859404</v>
      </c>
      <c r="C1096" s="33">
        <f t="shared" si="71"/>
        <v>7.8943149045545002E-3</v>
      </c>
      <c r="D1096" s="32">
        <f>MAX($B$2:B1096)</f>
        <v>74624.749755859404</v>
      </c>
      <c r="E1096" s="34">
        <f t="shared" si="68"/>
        <v>0</v>
      </c>
      <c r="F1096" s="35">
        <f t="shared" si="69"/>
        <v>166.02224543906297</v>
      </c>
      <c r="G1096" s="36" t="str">
        <f t="shared" si="70"/>
        <v>2026-05</v>
      </c>
    </row>
    <row r="1097" spans="1:7" x14ac:dyDescent="0.25">
      <c r="A1097" s="37">
        <v>46157</v>
      </c>
      <c r="B1097" s="38">
        <v>73727.062988281294</v>
      </c>
      <c r="C1097" s="39">
        <f t="shared" si="71"/>
        <v>-1.2029343756795985E-2</v>
      </c>
      <c r="D1097" s="38">
        <f>MAX($B$2:B1097)</f>
        <v>74624.749755859404</v>
      </c>
      <c r="E1097" s="40">
        <f t="shared" si="68"/>
        <v>-1.2029343756795985E-2</v>
      </c>
      <c r="F1097" s="41">
        <f t="shared" si="69"/>
        <v>164.02510677740133</v>
      </c>
      <c r="G1097" s="42" t="str">
        <f t="shared" si="70"/>
        <v>2026-05</v>
      </c>
    </row>
    <row r="1098" spans="1:7" x14ac:dyDescent="0.25">
      <c r="A1098" s="31">
        <v>46160</v>
      </c>
      <c r="B1098" s="32">
        <v>73675.1953125</v>
      </c>
      <c r="C1098" s="33">
        <f t="shared" si="71"/>
        <v>-7.035093177323315E-4</v>
      </c>
      <c r="D1098" s="32">
        <f>MAX($B$2:B1098)</f>
        <v>74624.749755859404</v>
      </c>
      <c r="E1098" s="34">
        <f t="shared" si="68"/>
        <v>-1.2724390319109213E-2</v>
      </c>
      <c r="F1098" s="35">
        <f t="shared" si="69"/>
        <v>163.90971358644137</v>
      </c>
      <c r="G1098" s="36" t="str">
        <f t="shared" si="70"/>
        <v>2026-05</v>
      </c>
    </row>
    <row r="1099" spans="1:7" x14ac:dyDescent="0.25">
      <c r="A1099" s="37">
        <v>46161</v>
      </c>
      <c r="B1099" s="38">
        <v>73184.460449218794</v>
      </c>
      <c r="C1099" s="39">
        <f t="shared" si="71"/>
        <v>-6.6607880874928194E-3</v>
      </c>
      <c r="D1099" s="38">
        <f>MAX($B$2:B1099)</f>
        <v>74624.749755859404</v>
      </c>
      <c r="E1099" s="40">
        <f t="shared" si="68"/>
        <v>-1.9300423939143885E-2</v>
      </c>
      <c r="F1099" s="41">
        <f t="shared" si="69"/>
        <v>162.81794571876046</v>
      </c>
      <c r="G1099" s="42" t="str">
        <f t="shared" si="70"/>
        <v>2026-05</v>
      </c>
    </row>
    <row r="1100" spans="1:7" x14ac:dyDescent="0.25">
      <c r="A1100" s="31">
        <v>46162</v>
      </c>
      <c r="B1100" s="32">
        <v>73934.527587890596</v>
      </c>
      <c r="C1100" s="33">
        <f t="shared" si="71"/>
        <v>1.0248994582562565E-2</v>
      </c>
      <c r="D1100" s="32">
        <f>MAX($B$2:B1100)</f>
        <v>74624.749755859404</v>
      </c>
      <c r="E1100" s="34">
        <f t="shared" si="68"/>
        <v>-9.2492392969748538E-3</v>
      </c>
      <c r="F1100" s="35">
        <f t="shared" si="69"/>
        <v>164.48666596237598</v>
      </c>
      <c r="G1100" s="36" t="str">
        <f t="shared" si="70"/>
        <v>2026-05</v>
      </c>
    </row>
    <row r="1101" spans="1:7" x14ac:dyDescent="0.25">
      <c r="A1101" s="37">
        <v>46163</v>
      </c>
      <c r="B1101" s="38">
        <v>74081.146240234404</v>
      </c>
      <c r="C1101" s="39">
        <f t="shared" si="71"/>
        <v>1.9830877010678094E-3</v>
      </c>
      <c r="D1101" s="38">
        <f>MAX($B$2:B1101)</f>
        <v>74624.749755859404</v>
      </c>
      <c r="E1101" s="40">
        <f t="shared" si="68"/>
        <v>-7.2844936486010647E-3</v>
      </c>
      <c r="F1101" s="41">
        <f t="shared" si="69"/>
        <v>164.81285744663563</v>
      </c>
      <c r="G1101" s="42" t="str">
        <f t="shared" si="70"/>
        <v>2026-05</v>
      </c>
    </row>
    <row r="1102" spans="1:7" x14ac:dyDescent="0.25">
      <c r="A1102" s="31">
        <v>46164</v>
      </c>
      <c r="B1102" s="32">
        <v>74372.399902343794</v>
      </c>
      <c r="C1102" s="33">
        <f t="shared" si="71"/>
        <v>3.9315490768041528E-3</v>
      </c>
      <c r="D1102" s="32">
        <f>MAX($B$2:B1102)</f>
        <v>74624.749755859404</v>
      </c>
      <c r="E1102" s="34">
        <f t="shared" si="68"/>
        <v>-3.3815839160760142E-3</v>
      </c>
      <c r="F1102" s="35">
        <f t="shared" si="69"/>
        <v>165.46082728417539</v>
      </c>
      <c r="G1102" s="36" t="str">
        <f t="shared" si="70"/>
        <v>2026-05</v>
      </c>
    </row>
    <row r="1103" spans="1:7" x14ac:dyDescent="0.25">
      <c r="A1103" s="37">
        <v>46168</v>
      </c>
      <c r="B1103" s="38">
        <v>74866.131591796904</v>
      </c>
      <c r="C1103" s="39">
        <f t="shared" si="71"/>
        <v>6.63864135218728E-3</v>
      </c>
      <c r="D1103" s="38">
        <f>MAX($B$2:B1103)</f>
        <v>74866.131591796904</v>
      </c>
      <c r="E1103" s="40">
        <f t="shared" si="68"/>
        <v>0</v>
      </c>
      <c r="F1103" s="41">
        <f t="shared" si="69"/>
        <v>166.55926237435125</v>
      </c>
      <c r="G1103" s="42" t="str">
        <f t="shared" si="70"/>
        <v>2026-05</v>
      </c>
    </row>
    <row r="1104" spans="1:7" x14ac:dyDescent="0.25">
      <c r="A1104" s="31">
        <v>46169</v>
      </c>
      <c r="B1104" s="32">
        <v>74853.161621093794</v>
      </c>
      <c r="C1104" s="33">
        <f t="shared" si="71"/>
        <v>-1.7324216474590148E-4</v>
      </c>
      <c r="D1104" s="32">
        <f>MAX($B$2:B1104)</f>
        <v>74866.131591796904</v>
      </c>
      <c r="E1104" s="34">
        <f t="shared" si="68"/>
        <v>-1.7324216474590148E-4</v>
      </c>
      <c r="F1104" s="35">
        <f t="shared" si="69"/>
        <v>166.53040728717906</v>
      </c>
      <c r="G1104" s="36" t="str">
        <f t="shared" si="70"/>
        <v>2026-05</v>
      </c>
    </row>
    <row r="1105" spans="1:7" x14ac:dyDescent="0.25">
      <c r="A1105" s="37">
        <v>46170</v>
      </c>
      <c r="B1105" s="38">
        <v>75266.094970703096</v>
      </c>
      <c r="C1105" s="39">
        <f t="shared" si="71"/>
        <v>5.5165786009088169E-3</v>
      </c>
      <c r="D1105" s="38">
        <f>MAX($B$2:B1105)</f>
        <v>75266.094970703096</v>
      </c>
      <c r="E1105" s="40">
        <f t="shared" si="68"/>
        <v>0</v>
      </c>
      <c r="F1105" s="41">
        <f t="shared" si="69"/>
        <v>167.44908536842013</v>
      </c>
      <c r="G1105" s="42" t="str">
        <f t="shared" si="70"/>
        <v>2026-05</v>
      </c>
    </row>
    <row r="1106" spans="1:7" x14ac:dyDescent="0.25">
      <c r="A1106" s="31">
        <v>46171</v>
      </c>
      <c r="B1106" s="32">
        <v>75453.61328125</v>
      </c>
      <c r="C1106" s="33">
        <f t="shared" si="71"/>
        <v>2.4914048034496705E-3</v>
      </c>
      <c r="D1106" s="32">
        <f>MAX($B$2:B1106)</f>
        <v>75453.61328125</v>
      </c>
      <c r="E1106" s="34">
        <f t="shared" si="68"/>
        <v>0</v>
      </c>
      <c r="F1106" s="35">
        <f t="shared" si="69"/>
        <v>167.86626882404028</v>
      </c>
      <c r="G1106" s="36" t="str">
        <f t="shared" si="70"/>
        <v>2026-05</v>
      </c>
    </row>
    <row r="1107" spans="1:7" x14ac:dyDescent="0.25">
      <c r="A1107" s="37">
        <v>46174</v>
      </c>
      <c r="B1107" s="38">
        <v>75659.08203125</v>
      </c>
      <c r="C1107" s="39">
        <f t="shared" si="71"/>
        <v>2.7231134609038143E-3</v>
      </c>
      <c r="D1107" s="38">
        <f>MAX($B$2:B1107)</f>
        <v>75659.08203125</v>
      </c>
      <c r="E1107" s="40">
        <f t="shared" si="68"/>
        <v>0</v>
      </c>
      <c r="F1107" s="41">
        <f t="shared" si="69"/>
        <v>168.3233877203067</v>
      </c>
      <c r="G1107" s="42" t="str">
        <f t="shared" si="70"/>
        <v>2026-06</v>
      </c>
    </row>
    <row r="1108" spans="1:7" x14ac:dyDescent="0.25">
      <c r="A1108" s="31">
        <v>46175</v>
      </c>
      <c r="B1108" s="32">
        <v>75761.822509765596</v>
      </c>
      <c r="C1108" s="33">
        <f t="shared" si="71"/>
        <v>1.3579397972758311E-3</v>
      </c>
      <c r="D1108" s="32">
        <f>MAX($B$2:B1108)</f>
        <v>75761.822509765596</v>
      </c>
      <c r="E1108" s="34">
        <f t="shared" si="68"/>
        <v>0</v>
      </c>
      <c r="F1108" s="35">
        <f t="shared" si="69"/>
        <v>168.55196074730441</v>
      </c>
      <c r="G1108" s="36" t="str">
        <f t="shared" si="70"/>
        <v>2026-06</v>
      </c>
    </row>
    <row r="1109" spans="1:7" x14ac:dyDescent="0.25">
      <c r="A1109" s="37">
        <v>46176</v>
      </c>
      <c r="B1109" s="38">
        <v>75230.187988281294</v>
      </c>
      <c r="C1109" s="39">
        <f t="shared" si="71"/>
        <v>-7.0171823204988604E-3</v>
      </c>
      <c r="D1109" s="38">
        <f>MAX($B$2:B1109)</f>
        <v>75761.822509765596</v>
      </c>
      <c r="E1109" s="40">
        <f t="shared" si="68"/>
        <v>-7.0171823204988604E-3</v>
      </c>
      <c r="F1109" s="41">
        <f t="shared" si="69"/>
        <v>167.369200908263</v>
      </c>
      <c r="G1109" s="42" t="str">
        <f t="shared" si="70"/>
        <v>2026-06</v>
      </c>
    </row>
    <row r="1110" spans="1:7" x14ac:dyDescent="0.25">
      <c r="A1110" s="31">
        <v>46177</v>
      </c>
      <c r="B1110" s="32">
        <v>75514.459228515596</v>
      </c>
      <c r="C1110" s="33">
        <f t="shared" si="71"/>
        <v>3.7786857621382453E-3</v>
      </c>
      <c r="D1110" s="32">
        <f>MAX($B$2:B1110)</f>
        <v>75761.822509765596</v>
      </c>
      <c r="E1110" s="34">
        <f t="shared" si="68"/>
        <v>-3.265012285285418E-3</v>
      </c>
      <c r="F1110" s="35">
        <f t="shared" si="69"/>
        <v>168.0016365247555</v>
      </c>
      <c r="G1110" s="36" t="str">
        <f t="shared" si="70"/>
        <v>2026-06</v>
      </c>
    </row>
    <row r="1111" spans="1:7" x14ac:dyDescent="0.25">
      <c r="A1111" s="37">
        <v>46178</v>
      </c>
      <c r="B1111" s="38">
        <v>73565.478515625</v>
      </c>
      <c r="C1111" s="39">
        <f t="shared" si="71"/>
        <v>-2.580937124892535E-2</v>
      </c>
      <c r="D1111" s="38">
        <f>MAX($B$2:B1111)</f>
        <v>75761.822509765596</v>
      </c>
      <c r="E1111" s="40">
        <f t="shared" si="68"/>
        <v>-2.8990115620007528E-2</v>
      </c>
      <c r="F1111" s="41">
        <f t="shared" si="69"/>
        <v>163.66561991726107</v>
      </c>
      <c r="G1111" s="42" t="str">
        <f t="shared" si="70"/>
        <v>2026-06</v>
      </c>
    </row>
    <row r="1112" spans="1:7" x14ac:dyDescent="0.25">
      <c r="A1112" s="31">
        <v>46181</v>
      </c>
      <c r="B1112" s="32">
        <v>73732.043457031294</v>
      </c>
      <c r="C1112" s="33">
        <f t="shared" si="71"/>
        <v>2.2641726087722081E-3</v>
      </c>
      <c r="D1112" s="32">
        <f>MAX($B$2:B1112)</f>
        <v>75761.822509765596</v>
      </c>
      <c r="E1112" s="34">
        <f t="shared" si="68"/>
        <v>-2.6791581636947392E-2</v>
      </c>
      <c r="F1112" s="35">
        <f t="shared" si="69"/>
        <v>164.03618713087545</v>
      </c>
      <c r="G1112" s="36" t="str">
        <f t="shared" si="70"/>
        <v>2026-06</v>
      </c>
    </row>
    <row r="1113" spans="1:7" x14ac:dyDescent="0.25">
      <c r="A1113" s="37">
        <v>46182</v>
      </c>
      <c r="B1113" s="38">
        <v>73515.606689453096</v>
      </c>
      <c r="C1113" s="39">
        <f t="shared" si="71"/>
        <v>-2.9354505508087936E-3</v>
      </c>
      <c r="D1113" s="38">
        <f>MAX($B$2:B1113)</f>
        <v>75761.822509765596</v>
      </c>
      <c r="E1113" s="40">
        <f t="shared" si="68"/>
        <v>-2.964838682468296E-2</v>
      </c>
      <c r="F1113" s="41">
        <f t="shared" si="69"/>
        <v>163.55466701500956</v>
      </c>
      <c r="G1113" s="42" t="str">
        <f t="shared" si="70"/>
        <v>2026-06</v>
      </c>
    </row>
    <row r="1114" spans="1:7" x14ac:dyDescent="0.25">
      <c r="A1114" s="31">
        <v>46183</v>
      </c>
      <c r="B1114" s="32">
        <v>72356.591796875</v>
      </c>
      <c r="C1114" s="33">
        <f t="shared" si="71"/>
        <v>-1.5765562508026965E-2</v>
      </c>
      <c r="D1114" s="32">
        <f>MAX($B$2:B1114)</f>
        <v>75761.822509765596</v>
      </c>
      <c r="E1114" s="34">
        <f t="shared" si="68"/>
        <v>-4.4946525836963125E-2</v>
      </c>
      <c r="F1114" s="35">
        <f t="shared" si="69"/>
        <v>160.97613568870489</v>
      </c>
      <c r="G1114" s="36" t="str">
        <f t="shared" si="70"/>
        <v>2026-06</v>
      </c>
    </row>
    <row r="1115" spans="1:7" x14ac:dyDescent="0.25">
      <c r="A1115" s="37">
        <v>46184</v>
      </c>
      <c r="B1115" s="38">
        <v>73586.42578125</v>
      </c>
      <c r="C1115" s="39">
        <f t="shared" si="71"/>
        <v>1.6996847886747934E-2</v>
      </c>
      <c r="D1115" s="38">
        <f>MAX($B$2:B1115)</f>
        <v>75761.822509765596</v>
      </c>
      <c r="E1115" s="40">
        <f t="shared" si="68"/>
        <v>-2.8713627212903825E-2</v>
      </c>
      <c r="F1115" s="41">
        <f t="shared" si="69"/>
        <v>163.71222258040231</v>
      </c>
      <c r="G1115" s="42" t="str">
        <f t="shared" si="70"/>
        <v>2026-06</v>
      </c>
    </row>
    <row r="1116" spans="1:7" x14ac:dyDescent="0.25">
      <c r="A1116" s="31">
        <v>46185</v>
      </c>
      <c r="B1116" s="32">
        <v>73984.3994140625</v>
      </c>
      <c r="C1116" s="33">
        <f t="shared" si="71"/>
        <v>5.4082479015293838E-3</v>
      </c>
      <c r="D1116" s="32">
        <f>MAX($B$2:B1116)</f>
        <v>75761.822509765596</v>
      </c>
      <c r="E1116" s="34">
        <f t="shared" si="68"/>
        <v>-2.3460669725493877E-2</v>
      </c>
      <c r="F1116" s="35">
        <f t="shared" si="69"/>
        <v>164.59761886462749</v>
      </c>
      <c r="G1116" s="36" t="str">
        <f t="shared" si="70"/>
        <v>2026-06</v>
      </c>
    </row>
    <row r="1117" spans="1:7" x14ac:dyDescent="0.25">
      <c r="A1117" s="37">
        <v>46188</v>
      </c>
      <c r="B1117" s="38">
        <v>75289.0380859375</v>
      </c>
      <c r="C1117" s="39">
        <f t="shared" si="71"/>
        <v>1.7633969893753321E-2</v>
      </c>
      <c r="D1117" s="38">
        <f>MAX($B$2:B1117)</f>
        <v>75761.822509765596</v>
      </c>
      <c r="E1117" s="40">
        <f t="shared" si="68"/>
        <v>-6.24040457536712E-3</v>
      </c>
      <c r="F1117" s="41">
        <f t="shared" si="69"/>
        <v>167.50012832026982</v>
      </c>
      <c r="G1117" s="42" t="str">
        <f t="shared" si="70"/>
        <v>2026-06</v>
      </c>
    </row>
    <row r="1118" spans="1:7" x14ac:dyDescent="0.25">
      <c r="A1118" s="31">
        <v>46189</v>
      </c>
      <c r="B1118" s="32">
        <v>74840.197753906294</v>
      </c>
      <c r="C1118" s="33">
        <f t="shared" si="71"/>
        <v>-5.9615628442335478E-3</v>
      </c>
      <c r="D1118" s="32">
        <f>MAX($B$2:B1118)</f>
        <v>75761.822509765596</v>
      </c>
      <c r="E1118" s="34">
        <f t="shared" si="68"/>
        <v>-1.216476485555118E-2</v>
      </c>
      <c r="F1118" s="35">
        <f t="shared" si="69"/>
        <v>166.50156577887137</v>
      </c>
      <c r="G1118" s="36" t="str">
        <f t="shared" si="70"/>
        <v>2026-06</v>
      </c>
    </row>
    <row r="1119" spans="1:7" x14ac:dyDescent="0.25">
      <c r="A1119" s="37">
        <v>46190</v>
      </c>
      <c r="B1119" s="38">
        <v>73905.603027343794</v>
      </c>
      <c r="C1119" s="39">
        <f t="shared" si="71"/>
        <v>-1.2487870885051433E-2</v>
      </c>
      <c r="D1119" s="38">
        <f>MAX($B$2:B1119)</f>
        <v>75761.822509765596</v>
      </c>
      <c r="E1119" s="40">
        <f t="shared" si="68"/>
        <v>-2.4500723727739482E-2</v>
      </c>
      <c r="F1119" s="41">
        <f t="shared" si="69"/>
        <v>164.42231572326591</v>
      </c>
      <c r="G1119" s="42" t="str">
        <f t="shared" si="70"/>
        <v>2026-06</v>
      </c>
    </row>
    <row r="1120" spans="1:7" x14ac:dyDescent="0.25">
      <c r="A1120" s="31">
        <v>46191</v>
      </c>
      <c r="B1120" s="32">
        <v>74673.9990234375</v>
      </c>
      <c r="C1120" s="33">
        <f t="shared" si="71"/>
        <v>1.0396992441958908E-2</v>
      </c>
      <c r="D1120" s="32">
        <f>MAX($B$2:B1120)</f>
        <v>75761.822509765596</v>
      </c>
      <c r="E1120" s="34">
        <f t="shared" si="68"/>
        <v>-1.4358465125200448E-2</v>
      </c>
      <c r="F1120" s="35">
        <f t="shared" si="69"/>
        <v>166.13181329713007</v>
      </c>
      <c r="G1120" s="36" t="str">
        <f t="shared" si="70"/>
        <v>2026-06</v>
      </c>
    </row>
    <row r="1121" spans="1:7" x14ac:dyDescent="0.25">
      <c r="A1121" s="37">
        <v>46195</v>
      </c>
      <c r="B1121" s="38">
        <v>74439.001464843794</v>
      </c>
      <c r="C1121" s="39">
        <f t="shared" si="71"/>
        <v>-3.1469796939621597E-3</v>
      </c>
      <c r="D1121" s="38">
        <f>MAX($B$2:B1121)</f>
        <v>75761.822509765596</v>
      </c>
      <c r="E1121" s="40">
        <f t="shared" si="68"/>
        <v>-1.7460259020977142E-2</v>
      </c>
      <c r="F1121" s="41">
        <f t="shared" si="69"/>
        <v>165.6089998541629</v>
      </c>
      <c r="G1121" s="42" t="str">
        <f t="shared" si="70"/>
        <v>2026-06</v>
      </c>
    </row>
    <row r="1122" spans="1:7" x14ac:dyDescent="0.25">
      <c r="A1122" s="31">
        <v>46196</v>
      </c>
      <c r="B1122" s="32">
        <v>73358.001708984404</v>
      </c>
      <c r="C1122" s="33">
        <f t="shared" si="71"/>
        <v>-1.4521954010491722E-2</v>
      </c>
      <c r="D1122" s="32">
        <f>MAX($B$2:B1122)</f>
        <v>75761.822509765596</v>
      </c>
      <c r="E1122" s="34">
        <f t="shared" si="68"/>
        <v>-3.1728655952954932E-2</v>
      </c>
      <c r="F1122" s="35">
        <f t="shared" si="69"/>
        <v>163.20403357455723</v>
      </c>
      <c r="G1122" s="36" t="str">
        <f t="shared" si="70"/>
        <v>2026-06</v>
      </c>
    </row>
    <row r="1123" spans="1:7" x14ac:dyDescent="0.25">
      <c r="A1123" s="37">
        <v>46197</v>
      </c>
      <c r="B1123" s="38">
        <v>73323.9990234375</v>
      </c>
      <c r="C1123" s="39">
        <f t="shared" si="71"/>
        <v>-4.6351706364355927E-4</v>
      </c>
      <c r="D1123" s="38">
        <f>MAX($B$2:B1123)</f>
        <v>75761.822509765596</v>
      </c>
      <c r="E1123" s="40">
        <f t="shared" si="68"/>
        <v>-3.217746624315776E-2</v>
      </c>
      <c r="F1123" s="41">
        <f t="shared" si="69"/>
        <v>163.12838572013996</v>
      </c>
      <c r="G1123" s="42" t="str">
        <f t="shared" si="70"/>
        <v>2026-06</v>
      </c>
    </row>
    <row r="1124" spans="1:7" x14ac:dyDescent="0.25">
      <c r="A1124" s="31">
        <v>46198</v>
      </c>
      <c r="B1124" s="32">
        <v>73429.998779296904</v>
      </c>
      <c r="C1124" s="33">
        <f t="shared" si="71"/>
        <v>1.4456352254534899E-3</v>
      </c>
      <c r="D1124" s="32">
        <f>MAX($B$2:B1124)</f>
        <v>75761.822509765596</v>
      </c>
      <c r="E1124" s="34">
        <f t="shared" si="68"/>
        <v>-3.0778347896371239E-2</v>
      </c>
      <c r="F1124" s="35">
        <f t="shared" si="69"/>
        <v>163.36420986080839</v>
      </c>
      <c r="G1124" s="36" t="str">
        <f t="shared" si="70"/>
        <v>2026-06</v>
      </c>
    </row>
    <row r="1125" spans="1:7" x14ac:dyDescent="0.25">
      <c r="A1125" s="37">
        <v>46199</v>
      </c>
      <c r="B1125" s="38">
        <v>72898.9990234375</v>
      </c>
      <c r="C1125" s="39">
        <f t="shared" si="71"/>
        <v>-7.2313736168699849E-3</v>
      </c>
      <c r="D1125" s="38">
        <f>MAX($B$2:B1125)</f>
        <v>75761.822509765596</v>
      </c>
      <c r="E1125" s="40">
        <f t="shared" si="68"/>
        <v>-3.7787151780292572E-2</v>
      </c>
      <c r="F1125" s="41">
        <f t="shared" si="69"/>
        <v>162.1828622236801</v>
      </c>
      <c r="G1125" s="42" t="str">
        <f t="shared" si="70"/>
        <v>2026-06</v>
      </c>
    </row>
    <row r="1126" spans="1:7" x14ac:dyDescent="0.25">
      <c r="A1126" s="31">
        <v>46202</v>
      </c>
      <c r="B1126" s="32">
        <v>74100</v>
      </c>
      <c r="C1126" s="33">
        <f t="shared" si="71"/>
        <v>1.6474862380159383E-2</v>
      </c>
      <c r="D1126" s="32">
        <f>MAX($B$2:B1126)</f>
        <v>75761.822509765596</v>
      </c>
      <c r="E1126" s="34">
        <f t="shared" si="68"/>
        <v>-2.1934827525451728E-2</v>
      </c>
      <c r="F1126" s="35">
        <f t="shared" si="69"/>
        <v>164.85480255923557</v>
      </c>
      <c r="G1126" s="36" t="str">
        <f t="shared" si="70"/>
        <v>2026-06</v>
      </c>
    </row>
    <row r="1127" spans="1:7" x14ac:dyDescent="0.25">
      <c r="A1127" s="37">
        <v>46203</v>
      </c>
      <c r="B1127" s="38">
        <v>74677.001953125</v>
      </c>
      <c r="C1127" s="39">
        <f t="shared" si="71"/>
        <v>7.7868009868420351E-3</v>
      </c>
      <c r="D1127" s="38">
        <f>MAX($B$2:B1127)</f>
        <v>75761.822509765596</v>
      </c>
      <c r="E1127" s="40">
        <f t="shared" si="68"/>
        <v>-1.4318828675231043E-2</v>
      </c>
      <c r="F1127" s="41">
        <f t="shared" si="69"/>
        <v>166.13849409848947</v>
      </c>
      <c r="G1127" s="42" t="str">
        <f t="shared" si="70"/>
        <v>2026-06</v>
      </c>
    </row>
    <row r="1128" spans="1:7" x14ac:dyDescent="0.25">
      <c r="A1128" s="31">
        <v>46204</v>
      </c>
      <c r="B1128" s="32">
        <v>74576.0009765625</v>
      </c>
      <c r="C1128" s="33">
        <f t="shared" si="71"/>
        <v>-1.352504438058455E-3</v>
      </c>
      <c r="D1128" s="32">
        <f>MAX($B$2:B1128)</f>
        <v>75761.822509765596</v>
      </c>
      <c r="E1128" s="34">
        <f t="shared" si="68"/>
        <v>-1.5651966833958419E-2</v>
      </c>
      <c r="F1128" s="35">
        <f t="shared" si="69"/>
        <v>165.91379104788894</v>
      </c>
      <c r="G1128" s="36" t="str">
        <f t="shared" si="70"/>
        <v>2026-07</v>
      </c>
    </row>
    <row r="1129" spans="1:7" x14ac:dyDescent="0.25">
      <c r="A1129" s="37">
        <v>46205</v>
      </c>
      <c r="B1129" s="38">
        <v>74478.0029296875</v>
      </c>
      <c r="C1129" s="39">
        <f t="shared" si="71"/>
        <v>-1.3140694806872411E-3</v>
      </c>
      <c r="D1129" s="38">
        <f>MAX($B$2:B1129)</f>
        <v>75761.822509765596</v>
      </c>
      <c r="E1129" s="40">
        <f t="shared" si="68"/>
        <v>-1.6945468542716391E-2</v>
      </c>
      <c r="F1129" s="41">
        <f t="shared" si="69"/>
        <v>165.6957687986478</v>
      </c>
      <c r="G1129" s="42" t="str">
        <f t="shared" si="70"/>
        <v>2026-07</v>
      </c>
    </row>
    <row r="1130" spans="1:7" x14ac:dyDescent="0.25">
      <c r="A1130" s="31">
        <v>46209</v>
      </c>
      <c r="B1130" s="32">
        <v>75189.471435546904</v>
      </c>
      <c r="C1130" s="33">
        <f t="shared" si="71"/>
        <v>9.5527333960749861E-3</v>
      </c>
      <c r="D1130" s="32">
        <f>MAX($B$2:B1130)</f>
        <v>75761.822509765596</v>
      </c>
      <c r="E1130" s="34">
        <f t="shared" si="68"/>
        <v>-7.5546106899014864E-3</v>
      </c>
      <c r="F1130" s="35">
        <f t="shared" si="69"/>
        <v>167.27861630283897</v>
      </c>
      <c r="G1130" s="36" t="str">
        <f t="shared" si="70"/>
        <v>2026-07</v>
      </c>
    </row>
  </sheetData>
  <autoFilter ref="A1:G1130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6"/>
  <sheetViews>
    <sheetView showGridLines="0" workbookViewId="0">
      <pane ySplit="1" topLeftCell="A21" activePane="bottomLeft" state="frozen"/>
      <selection pane="bottomLeft" sqref="A1:E56"/>
    </sheetView>
  </sheetViews>
  <sheetFormatPr defaultRowHeight="15" x14ac:dyDescent="0.25"/>
  <cols>
    <col min="1" max="1" width="7.5703125" bestFit="1" customWidth="1"/>
    <col min="2" max="2" width="12.140625" bestFit="1" customWidth="1"/>
    <col min="3" max="3" width="11.5703125" bestFit="1" customWidth="1"/>
    <col min="4" max="4" width="12" customWidth="1"/>
    <col min="5" max="5" width="11.42578125" bestFit="1" customWidth="1"/>
  </cols>
  <sheetData>
    <row r="1" spans="1:5" x14ac:dyDescent="0.25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</row>
    <row r="2" spans="1:5" x14ac:dyDescent="0.25">
      <c r="A2" s="36" t="s">
        <v>70</v>
      </c>
      <c r="B2" s="32">
        <f>LOOKUP(2,1/('Tech Portfolio'!$G$2:$G$1130=$A2),'Tech Portfolio'!$B$2:$B$1130)</f>
        <v>57305.291213989258</v>
      </c>
      <c r="C2" s="32">
        <f>LOOKUP(2,1/('S&amp;P 500'!$G$2:$G$1130=$A2),'S&amp;P 500'!$B$2:$B$1130)</f>
        <v>42332.888793945298</v>
      </c>
      <c r="D2" s="34"/>
      <c r="E2" s="34"/>
    </row>
    <row r="3" spans="1:5" x14ac:dyDescent="0.25">
      <c r="A3" s="42" t="s">
        <v>71</v>
      </c>
      <c r="B3" s="38">
        <f>LOOKUP(2,1/('Tech Portfolio'!$G$2:$G$1130=$A3),'Tech Portfolio'!$B$2:$B$1130)</f>
        <v>54704.908447265581</v>
      </c>
      <c r="C3" s="38">
        <f>LOOKUP(2,1/('S&amp;P 500'!$G$2:$G$1130=$A3),'S&amp;P 500'!$B$2:$B$1130)</f>
        <v>41083.349609375</v>
      </c>
      <c r="D3" s="40">
        <f t="shared" ref="D3:D34" si="0">B3/B2-1</f>
        <v>-4.5377707915545407E-2</v>
      </c>
      <c r="E3" s="40">
        <f t="shared" ref="E3:E34" si="1">C3/C2-1</f>
        <v>-2.9516983607058123E-2</v>
      </c>
    </row>
    <row r="4" spans="1:5" x14ac:dyDescent="0.25">
      <c r="A4" s="36" t="s">
        <v>72</v>
      </c>
      <c r="B4" s="32">
        <f>LOOKUP(2,1/('Tech Portfolio'!$G$2:$G$1130=$A4),'Tech Portfolio'!$B$2:$B$1130)</f>
        <v>58880.527229309097</v>
      </c>
      <c r="C4" s="32">
        <f>LOOKUP(2,1/('S&amp;P 500'!$G$2:$G$1130=$A4),'S&amp;P 500'!$B$2:$B$1130)</f>
        <v>42627.688598632798</v>
      </c>
      <c r="D4" s="34">
        <f t="shared" si="0"/>
        <v>7.6329874239141171E-2</v>
      </c>
      <c r="E4" s="34">
        <f t="shared" si="1"/>
        <v>3.7590386469008585E-2</v>
      </c>
    </row>
    <row r="5" spans="1:5" x14ac:dyDescent="0.25">
      <c r="A5" s="42" t="s">
        <v>73</v>
      </c>
      <c r="B5" s="38">
        <f>LOOKUP(2,1/('Tech Portfolio'!$G$2:$G$1130=$A5),'Tech Portfolio'!$B$2:$B$1130)</f>
        <v>49875.926246643059</v>
      </c>
      <c r="C5" s="38">
        <f>LOOKUP(2,1/('S&amp;P 500'!$G$2:$G$1130=$A5),'S&amp;P 500'!$B$2:$B$1130)</f>
        <v>38886.294555664099</v>
      </c>
      <c r="D5" s="40">
        <f t="shared" si="0"/>
        <v>-0.15293003317714515</v>
      </c>
      <c r="E5" s="40">
        <f t="shared" si="1"/>
        <v>-8.7769104212905846E-2</v>
      </c>
    </row>
    <row r="6" spans="1:5" x14ac:dyDescent="0.25">
      <c r="A6" s="36" t="s">
        <v>74</v>
      </c>
      <c r="B6" s="32">
        <f>LOOKUP(2,1/('Tech Portfolio'!$G$2:$G$1130=$A6),'Tech Portfolio'!$B$2:$B$1130)</f>
        <v>47725.540142059333</v>
      </c>
      <c r="C6" s="32">
        <f>LOOKUP(2,1/('S&amp;P 500'!$G$2:$G$1130=$A6),'S&amp;P 500'!$B$2:$B$1130)</f>
        <v>38974.075317382798</v>
      </c>
      <c r="D6" s="34">
        <f t="shared" si="0"/>
        <v>-4.3114710169988246E-2</v>
      </c>
      <c r="E6" s="34">
        <f t="shared" si="1"/>
        <v>2.2573701794355028E-3</v>
      </c>
    </row>
    <row r="7" spans="1:5" x14ac:dyDescent="0.25">
      <c r="A7" s="42" t="s">
        <v>75</v>
      </c>
      <c r="B7" s="38">
        <f>LOOKUP(2,1/('Tech Portfolio'!$G$2:$G$1130=$A7),'Tech Portfolio'!$B$2:$B$1130)</f>
        <v>42848.642206192053</v>
      </c>
      <c r="C7" s="38">
        <f>LOOKUP(2,1/('S&amp;P 500'!$G$2:$G$1130=$A7),'S&amp;P 500'!$B$2:$B$1130)</f>
        <v>35760.25390625</v>
      </c>
      <c r="D7" s="40">
        <f t="shared" si="0"/>
        <v>-0.10218633296450408</v>
      </c>
      <c r="E7" s="40">
        <f t="shared" si="1"/>
        <v>-8.2460491620680032E-2</v>
      </c>
    </row>
    <row r="8" spans="1:5" x14ac:dyDescent="0.25">
      <c r="A8" s="36" t="s">
        <v>76</v>
      </c>
      <c r="B8" s="32">
        <f>LOOKUP(2,1/('Tech Portfolio'!$G$2:$G$1130=$A8),'Tech Portfolio'!$B$2:$B$1130)</f>
        <v>50504.928035736077</v>
      </c>
      <c r="C8" s="32">
        <f>LOOKUP(2,1/('S&amp;P 500'!$G$2:$G$1130=$A8),'S&amp;P 500'!$B$2:$B$1130)</f>
        <v>39053.329467773401</v>
      </c>
      <c r="D8" s="34">
        <f t="shared" si="0"/>
        <v>0.17868211068862339</v>
      </c>
      <c r="E8" s="34">
        <f t="shared" si="1"/>
        <v>9.2087588923630559E-2</v>
      </c>
    </row>
    <row r="9" spans="1:5" x14ac:dyDescent="0.25">
      <c r="A9" s="42" t="s">
        <v>77</v>
      </c>
      <c r="B9" s="38">
        <f>LOOKUP(2,1/('Tech Portfolio'!$G$2:$G$1130=$A9),'Tech Portfolio'!$B$2:$B$1130)</f>
        <v>47399.567213058457</v>
      </c>
      <c r="C9" s="38">
        <f>LOOKUP(2,1/('S&amp;P 500'!$G$2:$G$1130=$A9),'S&amp;P 500'!$B$2:$B$1130)</f>
        <v>37459.872436523401</v>
      </c>
      <c r="D9" s="40">
        <f t="shared" si="0"/>
        <v>-6.1486293386664004E-2</v>
      </c>
      <c r="E9" s="40">
        <f t="shared" si="1"/>
        <v>-4.0802078925560314E-2</v>
      </c>
    </row>
    <row r="10" spans="1:5" x14ac:dyDescent="0.25">
      <c r="A10" s="36" t="s">
        <v>78</v>
      </c>
      <c r="B10" s="32">
        <f>LOOKUP(2,1/('Tech Portfolio'!$G$2:$G$1130=$A10),'Tech Portfolio'!$B$2:$B$1130)</f>
        <v>42756.728267669627</v>
      </c>
      <c r="C10" s="32">
        <f>LOOKUP(2,1/('S&amp;P 500'!$G$2:$G$1130=$A10),'S&amp;P 500'!$B$2:$B$1130)</f>
        <v>33996.865844726599</v>
      </c>
      <c r="D10" s="34">
        <f t="shared" si="0"/>
        <v>-9.7951083066212918E-2</v>
      </c>
      <c r="E10" s="34">
        <f t="shared" si="1"/>
        <v>-9.2445765736787977E-2</v>
      </c>
    </row>
    <row r="11" spans="1:5" x14ac:dyDescent="0.25">
      <c r="A11" s="42" t="s">
        <v>79</v>
      </c>
      <c r="B11" s="38">
        <f>LOOKUP(2,1/('Tech Portfolio'!$G$2:$G$1130=$A11),'Tech Portfolio'!$B$2:$B$1130)</f>
        <v>41556.879539489782</v>
      </c>
      <c r="C11" s="38">
        <f>LOOKUP(2,1/('S&amp;P 500'!$G$2:$G$1130=$A11),'S&amp;P 500'!$B$2:$B$1130)</f>
        <v>36759.973144531301</v>
      </c>
      <c r="D11" s="40">
        <f t="shared" si="0"/>
        <v>-2.8062220305268504E-2</v>
      </c>
      <c r="E11" s="40">
        <f t="shared" si="1"/>
        <v>8.1275353805394968E-2</v>
      </c>
    </row>
    <row r="12" spans="1:5" x14ac:dyDescent="0.25">
      <c r="A12" s="36" t="s">
        <v>80</v>
      </c>
      <c r="B12" s="32">
        <f>LOOKUP(2,1/('Tech Portfolio'!$G$2:$G$1130=$A12),'Tech Portfolio'!$B$2:$B$1130)</f>
        <v>42005.153465271003</v>
      </c>
      <c r="C12" s="32">
        <f>LOOKUP(2,1/('S&amp;P 500'!$G$2:$G$1130=$A12),'S&amp;P 500'!$B$2:$B$1130)</f>
        <v>38803.518676757798</v>
      </c>
      <c r="D12" s="34">
        <f t="shared" si="0"/>
        <v>1.0786996780045577E-2</v>
      </c>
      <c r="E12" s="34">
        <f t="shared" si="1"/>
        <v>5.5591594808618972E-2</v>
      </c>
    </row>
    <row r="13" spans="1:5" x14ac:dyDescent="0.25">
      <c r="A13" s="42" t="s">
        <v>81</v>
      </c>
      <c r="B13" s="38">
        <f>LOOKUP(2,1/('Tech Portfolio'!$G$2:$G$1130=$A13),'Tech Portfolio'!$B$2:$B$1130)</f>
        <v>35356.921205520652</v>
      </c>
      <c r="C13" s="38">
        <f>LOOKUP(2,1/('S&amp;P 500'!$G$2:$G$1130=$A13),'S&amp;P 500'!$B$2:$B$1130)</f>
        <v>36567.343139648401</v>
      </c>
      <c r="D13" s="40">
        <f t="shared" si="0"/>
        <v>-0.15827182408098983</v>
      </c>
      <c r="E13" s="40">
        <f t="shared" si="1"/>
        <v>-5.7628163974954183E-2</v>
      </c>
    </row>
    <row r="14" spans="1:5" x14ac:dyDescent="0.25">
      <c r="A14" s="36" t="s">
        <v>82</v>
      </c>
      <c r="B14" s="32">
        <f>LOOKUP(2,1/('Tech Portfolio'!$G$2:$G$1130=$A14),'Tech Portfolio'!$B$2:$B$1130)</f>
        <v>41495.109844207742</v>
      </c>
      <c r="C14" s="32">
        <f>LOOKUP(2,1/('S&amp;P 500'!$G$2:$G$1130=$A14),'S&amp;P 500'!$B$2:$B$1130)</f>
        <v>38866.961669921897</v>
      </c>
      <c r="D14" s="34">
        <f t="shared" si="0"/>
        <v>0.17360642356293932</v>
      </c>
      <c r="E14" s="34">
        <f t="shared" si="1"/>
        <v>6.2887219382917525E-2</v>
      </c>
    </row>
    <row r="15" spans="1:5" x14ac:dyDescent="0.25">
      <c r="A15" s="42" t="s">
        <v>83</v>
      </c>
      <c r="B15" s="38">
        <f>LOOKUP(2,1/('Tech Portfolio'!$G$2:$G$1130=$A15),'Tech Portfolio'!$B$2:$B$1130)</f>
        <v>42432.866973876917</v>
      </c>
      <c r="C15" s="38">
        <f>LOOKUP(2,1/('S&amp;P 500'!$G$2:$G$1130=$A15),'S&amp;P 500'!$B$2:$B$1130)</f>
        <v>37889.74609375</v>
      </c>
      <c r="D15" s="40">
        <f t="shared" si="0"/>
        <v>2.2599220322345515E-2</v>
      </c>
      <c r="E15" s="40">
        <f t="shared" si="1"/>
        <v>-2.5142576990476173E-2</v>
      </c>
    </row>
    <row r="16" spans="1:5" x14ac:dyDescent="0.25">
      <c r="A16" s="36" t="s">
        <v>84</v>
      </c>
      <c r="B16" s="32">
        <f>LOOKUP(2,1/('Tech Portfolio'!$G$2:$G$1130=$A16),'Tech Portfolio'!$B$2:$B$1130)</f>
        <v>46441.359138488719</v>
      </c>
      <c r="C16" s="32">
        <f>LOOKUP(2,1/('S&amp;P 500'!$G$2:$G$1130=$A16),'S&amp;P 500'!$B$2:$B$1130)</f>
        <v>39294.619750976599</v>
      </c>
      <c r="D16" s="34">
        <f t="shared" si="0"/>
        <v>9.446668232621569E-2</v>
      </c>
      <c r="E16" s="34">
        <f t="shared" si="1"/>
        <v>3.7077938019181911E-2</v>
      </c>
    </row>
    <row r="17" spans="1:5" x14ac:dyDescent="0.25">
      <c r="A17" s="42" t="s">
        <v>85</v>
      </c>
      <c r="B17" s="38">
        <f>LOOKUP(2,1/('Tech Portfolio'!$G$2:$G$1130=$A17),'Tech Portfolio'!$B$2:$B$1130)</f>
        <v>45346.964187622078</v>
      </c>
      <c r="C17" s="38">
        <f>LOOKUP(2,1/('S&amp;P 500'!$G$2:$G$1130=$A17),'S&amp;P 500'!$B$2:$B$1130)</f>
        <v>39922.3388671875</v>
      </c>
      <c r="D17" s="40">
        <f t="shared" si="0"/>
        <v>-2.3565093080138766E-2</v>
      </c>
      <c r="E17" s="40">
        <f t="shared" si="1"/>
        <v>1.5974683561998271E-2</v>
      </c>
    </row>
    <row r="18" spans="1:5" x14ac:dyDescent="0.25">
      <c r="A18" s="36" t="s">
        <v>86</v>
      </c>
      <c r="B18" s="32">
        <f>LOOKUP(2,1/('Tech Portfolio'!$G$2:$G$1130=$A18),'Tech Portfolio'!$B$2:$B$1130)</f>
        <v>50846.763801574758</v>
      </c>
      <c r="C18" s="32">
        <f>LOOKUP(2,1/('S&amp;P 500'!$G$2:$G$1130=$A18),'S&amp;P 500'!$B$2:$B$1130)</f>
        <v>40106.631469726599</v>
      </c>
      <c r="D18" s="34">
        <f t="shared" si="0"/>
        <v>0.121282641792676</v>
      </c>
      <c r="E18" s="34">
        <f t="shared" si="1"/>
        <v>4.6162776973612818E-3</v>
      </c>
    </row>
    <row r="19" spans="1:5" x14ac:dyDescent="0.25">
      <c r="A19" s="42" t="s">
        <v>87</v>
      </c>
      <c r="B19" s="38">
        <f>LOOKUP(2,1/('Tech Portfolio'!$G$2:$G$1130=$A19),'Tech Portfolio'!$B$2:$B$1130)</f>
        <v>55348.538322448781</v>
      </c>
      <c r="C19" s="38">
        <f>LOOKUP(2,1/('S&amp;P 500'!$G$2:$G$1130=$A19),'S&amp;P 500'!$B$2:$B$1130)</f>
        <v>42705.535888671897</v>
      </c>
      <c r="D19" s="40">
        <f t="shared" si="0"/>
        <v>8.8536107006570219E-2</v>
      </c>
      <c r="E19" s="40">
        <f t="shared" si="1"/>
        <v>6.4799867844972381E-2</v>
      </c>
    </row>
    <row r="20" spans="1:5" x14ac:dyDescent="0.25">
      <c r="A20" s="36" t="s">
        <v>88</v>
      </c>
      <c r="B20" s="32">
        <f>LOOKUP(2,1/('Tech Portfolio'!$G$2:$G$1130=$A20),'Tech Portfolio'!$B$2:$B$1130)</f>
        <v>56811.04686737062</v>
      </c>
      <c r="C20" s="32">
        <f>LOOKUP(2,1/('S&amp;P 500'!$G$2:$G$1130=$A20),'S&amp;P 500'!$B$2:$B$1130)</f>
        <v>44103.424072265603</v>
      </c>
      <c r="D20" s="34">
        <f t="shared" si="0"/>
        <v>2.6423616399796845E-2</v>
      </c>
      <c r="E20" s="34">
        <f t="shared" si="1"/>
        <v>3.2733184457345965E-2</v>
      </c>
    </row>
    <row r="21" spans="1:5" x14ac:dyDescent="0.25">
      <c r="A21" s="42" t="s">
        <v>89</v>
      </c>
      <c r="B21" s="38">
        <f>LOOKUP(2,1/('Tech Portfolio'!$G$2:$G$1130=$A21),'Tech Portfolio'!$B$2:$B$1130)</f>
        <v>55477.414207458569</v>
      </c>
      <c r="C21" s="38">
        <f>LOOKUP(2,1/('S&amp;P 500'!$G$2:$G$1130=$A21),'S&amp;P 500'!$B$2:$B$1130)</f>
        <v>43386.654663085901</v>
      </c>
      <c r="D21" s="40">
        <f t="shared" si="0"/>
        <v>-2.3474882675996289E-2</v>
      </c>
      <c r="E21" s="40">
        <f t="shared" si="1"/>
        <v>-1.6252012723666054E-2</v>
      </c>
    </row>
    <row r="22" spans="1:5" x14ac:dyDescent="0.25">
      <c r="A22" s="36" t="s">
        <v>90</v>
      </c>
      <c r="B22" s="32">
        <f>LOOKUP(2,1/('Tech Portfolio'!$G$2:$G$1130=$A22),'Tech Portfolio'!$B$2:$B$1130)</f>
        <v>52373.554420471213</v>
      </c>
      <c r="C22" s="32">
        <f>LOOKUP(2,1/('S&amp;P 500'!$G$2:$G$1130=$A22),'S&amp;P 500'!$B$2:$B$1130)</f>
        <v>41328.634643554702</v>
      </c>
      <c r="D22" s="34">
        <f t="shared" si="0"/>
        <v>-5.5948169743103571E-2</v>
      </c>
      <c r="E22" s="34">
        <f t="shared" si="1"/>
        <v>-4.7434402018604938E-2</v>
      </c>
    </row>
    <row r="23" spans="1:5" x14ac:dyDescent="0.25">
      <c r="A23" s="42" t="s">
        <v>91</v>
      </c>
      <c r="B23" s="38">
        <f>LOOKUP(2,1/('Tech Portfolio'!$G$2:$G$1130=$A23),'Tech Portfolio'!$B$2:$B$1130)</f>
        <v>50682.809295654341</v>
      </c>
      <c r="C23" s="38">
        <f>LOOKUP(2,1/('S&amp;P 500'!$G$2:$G$1130=$A23),'S&amp;P 500'!$B$2:$B$1130)</f>
        <v>40431.442260742202</v>
      </c>
      <c r="D23" s="40">
        <f t="shared" si="0"/>
        <v>-3.2282420842455029E-2</v>
      </c>
      <c r="E23" s="40">
        <f t="shared" si="1"/>
        <v>-2.1708735131234724E-2</v>
      </c>
    </row>
    <row r="24" spans="1:5" x14ac:dyDescent="0.25">
      <c r="A24" s="36" t="s">
        <v>92</v>
      </c>
      <c r="B24" s="32">
        <f>LOOKUP(2,1/('Tech Portfolio'!$G$2:$G$1130=$A24),'Tech Portfolio'!$B$2:$B$1130)</f>
        <v>57131.950836181699</v>
      </c>
      <c r="C24" s="32">
        <f>LOOKUP(2,1/('S&amp;P 500'!$G$2:$G$1130=$A24),'S&amp;P 500'!$B$2:$B$1130)</f>
        <v>44124.609375</v>
      </c>
      <c r="D24" s="34">
        <f t="shared" si="0"/>
        <v>0.12724514742083026</v>
      </c>
      <c r="E24" s="34">
        <f t="shared" si="1"/>
        <v>9.1343936989449315E-2</v>
      </c>
    </row>
    <row r="25" spans="1:5" x14ac:dyDescent="0.25">
      <c r="A25" s="42" t="s">
        <v>93</v>
      </c>
      <c r="B25" s="38">
        <f>LOOKUP(2,1/('Tech Portfolio'!$G$2:$G$1130=$A25),'Tech Portfolio'!$B$2:$B$1130)</f>
        <v>59177.425193786621</v>
      </c>
      <c r="C25" s="38">
        <f>LOOKUP(2,1/('S&amp;P 500'!$G$2:$G$1130=$A25),'S&amp;P 500'!$B$2:$B$1130)</f>
        <v>46139.132690429702</v>
      </c>
      <c r="D25" s="40">
        <f t="shared" si="0"/>
        <v>3.5802634562051683E-2</v>
      </c>
      <c r="E25" s="40">
        <f t="shared" si="1"/>
        <v>4.5655323502333145E-2</v>
      </c>
    </row>
    <row r="26" spans="1:5" x14ac:dyDescent="0.25">
      <c r="A26" s="36" t="s">
        <v>94</v>
      </c>
      <c r="B26" s="32">
        <f>LOOKUP(2,1/('Tech Portfolio'!$G$2:$G$1130=$A26),'Tech Portfolio'!$B$2:$B$1130)</f>
        <v>57831.189155578599</v>
      </c>
      <c r="C26" s="32">
        <f>LOOKUP(2,1/('S&amp;P 500'!$G$2:$G$1130=$A26),'S&amp;P 500'!$B$2:$B$1130)</f>
        <v>46873.959350585901</v>
      </c>
      <c r="D26" s="34">
        <f t="shared" si="0"/>
        <v>-2.2749148578187439E-2</v>
      </c>
      <c r="E26" s="34">
        <f t="shared" si="1"/>
        <v>1.5926321482601757E-2</v>
      </c>
    </row>
    <row r="27" spans="1:5" x14ac:dyDescent="0.25">
      <c r="A27" s="42" t="s">
        <v>95</v>
      </c>
      <c r="B27" s="38">
        <f>LOOKUP(2,1/('Tech Portfolio'!$G$2:$G$1130=$A27),'Tech Portfolio'!$B$2:$B$1130)</f>
        <v>61887.443084716877</v>
      </c>
      <c r="C27" s="38">
        <f>LOOKUP(2,1/('S&amp;P 500'!$G$2:$G$1130=$A27),'S&amp;P 500'!$B$2:$B$1130)</f>
        <v>49320.169067382798</v>
      </c>
      <c r="D27" s="40">
        <f t="shared" si="0"/>
        <v>7.013955597949173E-2</v>
      </c>
      <c r="E27" s="40">
        <f t="shared" si="1"/>
        <v>5.2186965869490232E-2</v>
      </c>
    </row>
    <row r="28" spans="1:5" x14ac:dyDescent="0.25">
      <c r="A28" s="36" t="s">
        <v>96</v>
      </c>
      <c r="B28" s="32">
        <f>LOOKUP(2,1/('Tech Portfolio'!$G$2:$G$1130=$A28),'Tech Portfolio'!$B$2:$B$1130)</f>
        <v>63358.621826171962</v>
      </c>
      <c r="C28" s="32">
        <f>LOOKUP(2,1/('S&amp;P 500'!$G$2:$G$1130=$A28),'S&amp;P 500'!$B$2:$B$1130)</f>
        <v>50933.035278320298</v>
      </c>
      <c r="D28" s="34">
        <f t="shared" si="0"/>
        <v>2.377184559784129E-2</v>
      </c>
      <c r="E28" s="34">
        <f t="shared" si="1"/>
        <v>3.2701960302162547E-2</v>
      </c>
    </row>
    <row r="29" spans="1:5" x14ac:dyDescent="0.25">
      <c r="A29" s="42" t="s">
        <v>97</v>
      </c>
      <c r="B29" s="38">
        <f>LOOKUP(2,1/('Tech Portfolio'!$G$2:$G$1130=$A29),'Tech Portfolio'!$B$2:$B$1130)</f>
        <v>62027.684707641652</v>
      </c>
      <c r="C29" s="38">
        <f>LOOKUP(2,1/('S&amp;P 500'!$G$2:$G$1130=$A29),'S&amp;P 500'!$B$2:$B$1130)</f>
        <v>48879.434204101599</v>
      </c>
      <c r="D29" s="40">
        <f t="shared" si="0"/>
        <v>-2.1006408917507935E-2</v>
      </c>
      <c r="E29" s="40">
        <f t="shared" si="1"/>
        <v>-4.031962876347206E-2</v>
      </c>
    </row>
    <row r="30" spans="1:5" x14ac:dyDescent="0.25">
      <c r="A30" s="36" t="s">
        <v>98</v>
      </c>
      <c r="B30" s="32">
        <f>LOOKUP(2,1/('Tech Portfolio'!$G$2:$G$1130=$A30),'Tech Portfolio'!$B$2:$B$1130)</f>
        <v>67258.248596191392</v>
      </c>
      <c r="C30" s="32">
        <f>LOOKUP(2,1/('S&amp;P 500'!$G$2:$G$1130=$A30),'S&amp;P 500'!$B$2:$B$1130)</f>
        <v>51351.745605468786</v>
      </c>
      <c r="D30" s="34">
        <f t="shared" si="0"/>
        <v>8.4326279679843408E-2</v>
      </c>
      <c r="E30" s="34">
        <f t="shared" si="1"/>
        <v>5.0579787626914285E-2</v>
      </c>
    </row>
    <row r="31" spans="1:5" x14ac:dyDescent="0.25">
      <c r="A31" s="42" t="s">
        <v>99</v>
      </c>
      <c r="B31" s="38">
        <f>LOOKUP(2,1/('Tech Portfolio'!$G$2:$G$1130=$A31),'Tech Portfolio'!$B$2:$B$1130)</f>
        <v>73686.678695678798</v>
      </c>
      <c r="C31" s="38">
        <f>LOOKUP(2,1/('S&amp;P 500'!$G$2:$G$1130=$A31),'S&amp;P 500'!$B$2:$B$1130)</f>
        <v>53163.433837890603</v>
      </c>
      <c r="D31" s="40">
        <f t="shared" si="0"/>
        <v>9.5578315428383354E-2</v>
      </c>
      <c r="E31" s="40">
        <f t="shared" si="1"/>
        <v>3.5279973661282549E-2</v>
      </c>
    </row>
    <row r="32" spans="1:5" x14ac:dyDescent="0.25">
      <c r="A32" s="36" t="s">
        <v>100</v>
      </c>
      <c r="B32" s="32">
        <f>LOOKUP(2,1/('Tech Portfolio'!$G$2:$G$1130=$A32),'Tech Portfolio'!$B$2:$B$1130)</f>
        <v>72439.314651489316</v>
      </c>
      <c r="C32" s="32">
        <f>LOOKUP(2,1/('S&amp;P 500'!$G$2:$G$1130=$A32),'S&amp;P 500'!$B$2:$B$1130)</f>
        <v>53807.196044921897</v>
      </c>
      <c r="D32" s="34">
        <f t="shared" si="0"/>
        <v>-1.692794499995065E-2</v>
      </c>
      <c r="E32" s="34">
        <f t="shared" si="1"/>
        <v>1.2109116371118889E-2</v>
      </c>
    </row>
    <row r="33" spans="1:5" x14ac:dyDescent="0.25">
      <c r="A33" s="42" t="s">
        <v>101</v>
      </c>
      <c r="B33" s="38">
        <f>LOOKUP(2,1/('Tech Portfolio'!$G$2:$G$1130=$A33),'Tech Portfolio'!$B$2:$B$1130)</f>
        <v>71360.442199707017</v>
      </c>
      <c r="C33" s="38">
        <f>LOOKUP(2,1/('S&amp;P 500'!$G$2:$G$1130=$A33),'S&amp;P 500'!$B$2:$B$1130)</f>
        <v>55064.440917968786</v>
      </c>
      <c r="D33" s="40">
        <f t="shared" si="0"/>
        <v>-1.4893465750923096E-2</v>
      </c>
      <c r="E33" s="40">
        <f t="shared" si="1"/>
        <v>2.3365738515667145E-2</v>
      </c>
    </row>
    <row r="34" spans="1:5" x14ac:dyDescent="0.25">
      <c r="A34" s="36" t="s">
        <v>102</v>
      </c>
      <c r="B34" s="32">
        <f>LOOKUP(2,1/('Tech Portfolio'!$G$2:$G$1130=$A34),'Tech Portfolio'!$B$2:$B$1130)</f>
        <v>75389.409637451201</v>
      </c>
      <c r="C34" s="32">
        <f>LOOKUP(2,1/('S&amp;P 500'!$G$2:$G$1130=$A34),'S&amp;P 500'!$B$2:$B$1130)</f>
        <v>56221.038818359397</v>
      </c>
      <c r="D34" s="34">
        <f t="shared" si="0"/>
        <v>5.6459395619618657E-2</v>
      </c>
      <c r="E34" s="34">
        <f t="shared" si="1"/>
        <v>2.1004442814803737E-2</v>
      </c>
    </row>
    <row r="35" spans="1:5" x14ac:dyDescent="0.25">
      <c r="A35" s="42" t="s">
        <v>103</v>
      </c>
      <c r="B35" s="38">
        <f>LOOKUP(2,1/('Tech Portfolio'!$G$2:$G$1130=$A35),'Tech Portfolio'!$B$2:$B$1130)</f>
        <v>74998.922882080165</v>
      </c>
      <c r="C35" s="38">
        <f>LOOKUP(2,1/('S&amp;P 500'!$G$2:$G$1130=$A35),'S&amp;P 500'!$B$2:$B$1130)</f>
        <v>55719.348144531286</v>
      </c>
      <c r="D35" s="40">
        <f t="shared" ref="D35:D56" si="2">B35/B34-1</f>
        <v>-5.1795969387330443E-3</v>
      </c>
      <c r="E35" s="40">
        <f t="shared" ref="E35:E56" si="3">C35/C34-1</f>
        <v>-8.9235397348133016E-3</v>
      </c>
    </row>
    <row r="36" spans="1:5" x14ac:dyDescent="0.25">
      <c r="A36" s="36" t="s">
        <v>104</v>
      </c>
      <c r="B36" s="32">
        <f>LOOKUP(2,1/('Tech Portfolio'!$G$2:$G$1130=$A36),'Tech Portfolio'!$B$2:$B$1130)</f>
        <v>82275.522537231387</v>
      </c>
      <c r="C36" s="32">
        <f>LOOKUP(2,1/('S&amp;P 500'!$G$2:$G$1130=$A36),'S&amp;P 500'!$B$2:$B$1130)</f>
        <v>59042.095947265603</v>
      </c>
      <c r="D36" s="34">
        <f t="shared" si="2"/>
        <v>9.7022722134184836E-2</v>
      </c>
      <c r="E36" s="34">
        <f t="shared" si="3"/>
        <v>5.9633644566612576E-2</v>
      </c>
    </row>
    <row r="37" spans="1:5" x14ac:dyDescent="0.25">
      <c r="A37" s="42" t="s">
        <v>105</v>
      </c>
      <c r="B37" s="38">
        <f>LOOKUP(2,1/('Tech Portfolio'!$G$2:$G$1130=$A37),'Tech Portfolio'!$B$2:$B$1130)</f>
        <v>86639.457626342817</v>
      </c>
      <c r="C37" s="38">
        <f>LOOKUP(2,1/('S&amp;P 500'!$G$2:$G$1130=$A37),'S&amp;P 500'!$B$2:$B$1130)</f>
        <v>57621.527099609397</v>
      </c>
      <c r="D37" s="40">
        <f t="shared" si="2"/>
        <v>5.3040502868112016E-2</v>
      </c>
      <c r="E37" s="40">
        <f t="shared" si="3"/>
        <v>-2.4060271317688509E-2</v>
      </c>
    </row>
    <row r="38" spans="1:5" x14ac:dyDescent="0.25">
      <c r="A38" s="36" t="s">
        <v>106</v>
      </c>
      <c r="B38" s="32">
        <f>LOOKUP(2,1/('Tech Portfolio'!$G$2:$G$1130=$A38),'Tech Portfolio'!$B$2:$B$1130)</f>
        <v>88006.708984375029</v>
      </c>
      <c r="C38" s="32">
        <f>LOOKUP(2,1/('S&amp;P 500'!$G$2:$G$1130=$A38),'S&amp;P 500'!$B$2:$B$1130)</f>
        <v>59169.030761718786</v>
      </c>
      <c r="D38" s="34">
        <f t="shared" si="2"/>
        <v>1.5780931638894602E-2</v>
      </c>
      <c r="E38" s="34">
        <f t="shared" si="3"/>
        <v>2.6856345883271127E-2</v>
      </c>
    </row>
    <row r="39" spans="1:5" x14ac:dyDescent="0.25">
      <c r="A39" s="42" t="s">
        <v>107</v>
      </c>
      <c r="B39" s="38">
        <f>LOOKUP(2,1/('Tech Portfolio'!$G$2:$G$1130=$A39),'Tech Portfolio'!$B$2:$B$1130)</f>
        <v>79363.232421874985</v>
      </c>
      <c r="C39" s="38">
        <f>LOOKUP(2,1/('S&amp;P 500'!$G$2:$G$1130=$A39),'S&amp;P 500'!$B$2:$B$1130)</f>
        <v>58417.901611328103</v>
      </c>
      <c r="D39" s="40">
        <f t="shared" si="2"/>
        <v>-9.8213836902305118E-2</v>
      </c>
      <c r="E39" s="40">
        <f t="shared" si="3"/>
        <v>-1.2694633336408301E-2</v>
      </c>
    </row>
    <row r="40" spans="1:5" x14ac:dyDescent="0.25">
      <c r="A40" s="36" t="s">
        <v>108</v>
      </c>
      <c r="B40" s="32">
        <f>LOOKUP(2,1/('Tech Portfolio'!$G$2:$G$1130=$A40),'Tech Portfolio'!$B$2:$B$1130)</f>
        <v>72093.091735839858</v>
      </c>
      <c r="C40" s="32">
        <f>LOOKUP(2,1/('S&amp;P 500'!$G$2:$G$1130=$A40),'S&amp;P 500'!$B$2:$B$1130)</f>
        <v>55162.896728515603</v>
      </c>
      <c r="D40" s="34">
        <f t="shared" si="2"/>
        <v>-9.1605904449416631E-2</v>
      </c>
      <c r="E40" s="34">
        <f t="shared" si="3"/>
        <v>-5.5719305093651417E-2</v>
      </c>
    </row>
    <row r="41" spans="1:5" x14ac:dyDescent="0.25">
      <c r="A41" s="42" t="s">
        <v>109</v>
      </c>
      <c r="B41" s="38">
        <f>LOOKUP(2,1/('Tech Portfolio'!$G$2:$G$1130=$A41),'Tech Portfolio'!$B$2:$B$1130)</f>
        <v>73577.105102539019</v>
      </c>
      <c r="C41" s="38">
        <f>LOOKUP(2,1/('S&amp;P 500'!$G$2:$G$1130=$A41),'S&amp;P 500'!$B$2:$B$1130)</f>
        <v>54684.619140625</v>
      </c>
      <c r="D41" s="40">
        <f t="shared" si="2"/>
        <v>2.0584681985020392E-2</v>
      </c>
      <c r="E41" s="40">
        <f t="shared" si="3"/>
        <v>-8.6702768754955972E-3</v>
      </c>
    </row>
    <row r="42" spans="1:5" x14ac:dyDescent="0.25">
      <c r="A42" s="36" t="s">
        <v>110</v>
      </c>
      <c r="B42" s="32">
        <f>LOOKUP(2,1/('Tech Portfolio'!$G$2:$G$1130=$A42),'Tech Portfolio'!$B$2:$B$1130)</f>
        <v>84285.818252563491</v>
      </c>
      <c r="C42" s="32">
        <f>LOOKUP(2,1/('S&amp;P 500'!$G$2:$G$1130=$A42),'S&amp;P 500'!$B$2:$B$1130)</f>
        <v>58121.270751953103</v>
      </c>
      <c r="D42" s="34">
        <f t="shared" si="2"/>
        <v>0.14554409466233453</v>
      </c>
      <c r="E42" s="34">
        <f t="shared" si="3"/>
        <v>6.2844940045948539E-2</v>
      </c>
    </row>
    <row r="43" spans="1:5" x14ac:dyDescent="0.25">
      <c r="A43" s="42" t="s">
        <v>111</v>
      </c>
      <c r="B43" s="38">
        <f>LOOKUP(2,1/('Tech Portfolio'!$G$2:$G$1130=$A43),'Tech Portfolio'!$B$2:$B$1130)</f>
        <v>91645.50537109375</v>
      </c>
      <c r="C43" s="38">
        <f>LOOKUP(2,1/('S&amp;P 500'!$G$2:$G$1130=$A43),'S&amp;P 500'!$B$2:$B$1130)</f>
        <v>61107.904052734397</v>
      </c>
      <c r="D43" s="40">
        <f t="shared" si="2"/>
        <v>8.7318214037821473E-2</v>
      </c>
      <c r="E43" s="40">
        <f t="shared" si="3"/>
        <v>5.1386235402998803E-2</v>
      </c>
    </row>
    <row r="44" spans="1:5" x14ac:dyDescent="0.25">
      <c r="A44" s="36" t="s">
        <v>112</v>
      </c>
      <c r="B44" s="32">
        <f>LOOKUP(2,1/('Tech Portfolio'!$G$2:$G$1130=$A44),'Tech Portfolio'!$B$2:$B$1130)</f>
        <v>95797.408752441392</v>
      </c>
      <c r="C44" s="32">
        <f>LOOKUP(2,1/('S&amp;P 500'!$G$2:$G$1130=$A44),'S&amp;P 500'!$B$2:$B$1130)</f>
        <v>62515.313720703103</v>
      </c>
      <c r="D44" s="34">
        <f t="shared" si="2"/>
        <v>4.5303949872234739E-2</v>
      </c>
      <c r="E44" s="34">
        <f t="shared" si="3"/>
        <v>2.3031548697107107E-2</v>
      </c>
    </row>
    <row r="45" spans="1:5" x14ac:dyDescent="0.25">
      <c r="A45" s="42" t="s">
        <v>113</v>
      </c>
      <c r="B45" s="38">
        <f>LOOKUP(2,1/('Tech Portfolio'!$G$2:$G$1130=$A45),'Tech Portfolio'!$B$2:$B$1130)</f>
        <v>97686.231460571333</v>
      </c>
      <c r="C45" s="38">
        <f>LOOKUP(2,1/('S&amp;P 500'!$G$2:$G$1130=$A45),'S&amp;P 500'!$B$2:$B$1130)</f>
        <v>63798.101806640603</v>
      </c>
      <c r="D45" s="40">
        <f t="shared" si="2"/>
        <v>1.9716845504777814E-2</v>
      </c>
      <c r="E45" s="40">
        <f t="shared" si="3"/>
        <v>2.0519581676716081E-2</v>
      </c>
    </row>
    <row r="46" spans="1:5" x14ac:dyDescent="0.25">
      <c r="A46" s="36" t="s">
        <v>114</v>
      </c>
      <c r="B46" s="32">
        <f>LOOKUP(2,1/('Tech Portfolio'!$G$2:$G$1130=$A46),'Tech Portfolio'!$B$2:$B$1130)</f>
        <v>113609.1753387451</v>
      </c>
      <c r="C46" s="32">
        <f>LOOKUP(2,1/('S&amp;P 500'!$G$2:$G$1130=$A46),'S&amp;P 500'!$B$2:$B$1130)</f>
        <v>66070.611572265596</v>
      </c>
      <c r="D46" s="34">
        <f t="shared" si="2"/>
        <v>0.16300090237999076</v>
      </c>
      <c r="E46" s="34">
        <f t="shared" si="3"/>
        <v>3.5620335108284662E-2</v>
      </c>
    </row>
    <row r="47" spans="1:5" x14ac:dyDescent="0.25">
      <c r="A47" s="42" t="s">
        <v>115</v>
      </c>
      <c r="B47" s="38">
        <f>LOOKUP(2,1/('Tech Portfolio'!$G$2:$G$1130=$A47),'Tech Portfolio'!$B$2:$B$1130)</f>
        <v>121644.61135864261</v>
      </c>
      <c r="C47" s="38">
        <f>LOOKUP(2,1/('S&amp;P 500'!$G$2:$G$1130=$A47),'S&amp;P 500'!$B$2:$B$1130)</f>
        <v>67645.562744140596</v>
      </c>
      <c r="D47" s="40">
        <f t="shared" si="2"/>
        <v>7.0728759327215229E-2</v>
      </c>
      <c r="E47" s="40">
        <f t="shared" si="3"/>
        <v>2.3837393576300991E-2</v>
      </c>
    </row>
    <row r="48" spans="1:5" x14ac:dyDescent="0.25">
      <c r="A48" s="36" t="s">
        <v>116</v>
      </c>
      <c r="B48" s="32">
        <f>LOOKUP(2,1/('Tech Portfolio'!$G$2:$G$1130=$A48),'Tech Portfolio'!$B$2:$B$1130)</f>
        <v>118308.82385253911</v>
      </c>
      <c r="C48" s="32">
        <f>LOOKUP(2,1/('S&amp;P 500'!$G$2:$G$1130=$A48),'S&amp;P 500'!$B$2:$B$1130)</f>
        <v>67777.471923828096</v>
      </c>
      <c r="D48" s="34">
        <f t="shared" si="2"/>
        <v>-2.7422402594297068E-2</v>
      </c>
      <c r="E48" s="34">
        <f t="shared" si="3"/>
        <v>1.9500049129079766E-3</v>
      </c>
    </row>
    <row r="49" spans="1:5" x14ac:dyDescent="0.25">
      <c r="A49" s="42" t="s">
        <v>117</v>
      </c>
      <c r="B49" s="38">
        <f>LOOKUP(2,1/('Tech Portfolio'!$G$2:$G$1130=$A49),'Tech Portfolio'!$B$2:$B$1130)</f>
        <v>120044.4366455078</v>
      </c>
      <c r="C49" s="38">
        <f>LOOKUP(2,1/('S&amp;P 500'!$G$2:$G$1130=$A49),'S&amp;P 500'!$B$2:$B$1130)</f>
        <v>67831.524658203096</v>
      </c>
      <c r="D49" s="40">
        <f t="shared" si="2"/>
        <v>1.4670188887449198E-2</v>
      </c>
      <c r="E49" s="40">
        <f t="shared" si="3"/>
        <v>7.975029584423865E-4</v>
      </c>
    </row>
    <row r="50" spans="1:5" x14ac:dyDescent="0.25">
      <c r="A50" s="36" t="s">
        <v>118</v>
      </c>
      <c r="B50" s="32">
        <f>LOOKUP(2,1/('Tech Portfolio'!$G$2:$G$1130=$A50),'Tech Portfolio'!$B$2:$B$1130)</f>
        <v>123216.1381530762</v>
      </c>
      <c r="C50" s="32">
        <f>LOOKUP(2,1/('S&amp;P 500'!$G$2:$G$1130=$A50),'S&amp;P 500'!$B$2:$B$1130)</f>
        <v>68831.207275390596</v>
      </c>
      <c r="D50" s="34">
        <f t="shared" si="2"/>
        <v>2.6421062035006715E-2</v>
      </c>
      <c r="E50" s="34">
        <f t="shared" si="3"/>
        <v>1.4737728839574471E-2</v>
      </c>
    </row>
    <row r="51" spans="1:5" x14ac:dyDescent="0.25">
      <c r="A51" s="42" t="s">
        <v>119</v>
      </c>
      <c r="B51" s="38">
        <f>LOOKUP(2,1/('Tech Portfolio'!$G$2:$G$1130=$A51),'Tech Portfolio'!$B$2:$B$1130)</f>
        <v>118722.816619873</v>
      </c>
      <c r="C51" s="38">
        <f>LOOKUP(2,1/('S&amp;P 500'!$G$2:$G$1130=$A51),'S&amp;P 500'!$B$2:$B$1130)</f>
        <v>68236.370849609404</v>
      </c>
      <c r="D51" s="40">
        <f t="shared" si="2"/>
        <v>-3.6466988825935798E-2</v>
      </c>
      <c r="E51" s="40">
        <f t="shared" si="3"/>
        <v>-8.6419583402231881E-3</v>
      </c>
    </row>
    <row r="52" spans="1:5" x14ac:dyDescent="0.25">
      <c r="A52" s="36" t="s">
        <v>120</v>
      </c>
      <c r="B52" s="32">
        <f>LOOKUP(2,1/('Tech Portfolio'!$G$2:$G$1130=$A52),'Tech Portfolio'!$B$2:$B$1130)</f>
        <v>109334.89715576181</v>
      </c>
      <c r="C52" s="32">
        <f>LOOKUP(2,1/('S&amp;P 500'!$G$2:$G$1130=$A52),'S&amp;P 500'!$B$2:$B$1130)</f>
        <v>64866.888427734397</v>
      </c>
      <c r="D52" s="34">
        <f t="shared" si="2"/>
        <v>-7.9074265009812406E-2</v>
      </c>
      <c r="E52" s="34">
        <f t="shared" si="3"/>
        <v>-4.9379566643443451E-2</v>
      </c>
    </row>
    <row r="53" spans="1:5" x14ac:dyDescent="0.25">
      <c r="A53" s="42" t="s">
        <v>121</v>
      </c>
      <c r="B53" s="38">
        <f>LOOKUP(2,1/('Tech Portfolio'!$G$2:$G$1130=$A53),'Tech Portfolio'!$B$2:$B$1130)</f>
        <v>129343.9616394044</v>
      </c>
      <c r="C53" s="38">
        <f>LOOKUP(2,1/('S&amp;P 500'!$G$2:$G$1130=$A53),'S&amp;P 500'!$B$2:$B$1130)</f>
        <v>71681.329345703096</v>
      </c>
      <c r="D53" s="40">
        <f t="shared" si="2"/>
        <v>0.18300711853359197</v>
      </c>
      <c r="E53" s="40">
        <f t="shared" si="3"/>
        <v>0.10505268686597158</v>
      </c>
    </row>
    <row r="54" spans="1:5" x14ac:dyDescent="0.25">
      <c r="A54" s="36" t="s">
        <v>122</v>
      </c>
      <c r="B54" s="32">
        <f>LOOKUP(2,1/('Tech Portfolio'!$G$2:$G$1130=$A54),'Tech Portfolio'!$B$2:$B$1130)</f>
        <v>157656.59347534191</v>
      </c>
      <c r="C54" s="32">
        <f>LOOKUP(2,1/('S&amp;P 500'!$G$2:$G$1130=$A54),'S&amp;P 500'!$B$2:$B$1130)</f>
        <v>75453.61328125</v>
      </c>
      <c r="D54" s="34">
        <f t="shared" si="2"/>
        <v>0.21889411362603672</v>
      </c>
      <c r="E54" s="34">
        <f t="shared" si="3"/>
        <v>5.2625753037503165E-2</v>
      </c>
    </row>
    <row r="55" spans="1:5" x14ac:dyDescent="0.25">
      <c r="A55" s="42" t="s">
        <v>123</v>
      </c>
      <c r="B55" s="38">
        <f>LOOKUP(2,1/('Tech Portfolio'!$G$2:$G$1130=$A55),'Tech Portfolio'!$B$2:$B$1130)</f>
        <v>161332.40036010751</v>
      </c>
      <c r="C55" s="38">
        <f>LOOKUP(2,1/('S&amp;P 500'!$G$2:$G$1130=$A55),'S&amp;P 500'!$B$2:$B$1130)</f>
        <v>74677.001953125</v>
      </c>
      <c r="D55" s="40">
        <f t="shared" si="2"/>
        <v>2.3315275331891039E-2</v>
      </c>
      <c r="E55" s="40">
        <f t="shared" si="3"/>
        <v>-1.0292566443839024E-2</v>
      </c>
    </row>
    <row r="56" spans="1:5" x14ac:dyDescent="0.25">
      <c r="A56" s="36" t="s">
        <v>124</v>
      </c>
      <c r="B56" s="32">
        <f>LOOKUP(2,1/('Tech Portfolio'!$G$2:$G$1130=$A56),'Tech Portfolio'!$B$2:$B$1130)</f>
        <v>157256.61926269531</v>
      </c>
      <c r="C56" s="32">
        <f>LOOKUP(2,1/('S&amp;P 500'!$G$2:$G$1130=$A56),'S&amp;P 500'!$B$2:$B$1130)</f>
        <v>75189.471435546904</v>
      </c>
      <c r="D56" s="34">
        <f t="shared" si="2"/>
        <v>-2.5263252070351072E-2</v>
      </c>
      <c r="E56" s="34">
        <f t="shared" si="3"/>
        <v>6.8624806703352359E-3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Charts</vt:lpstr>
      <vt:lpstr>Holdings</vt:lpstr>
      <vt:lpstr>Tech Portfolio</vt:lpstr>
      <vt:lpstr>S&amp;P 500</vt:lpstr>
      <vt:lpstr>Monthly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Bo-sen Huang</cp:lastModifiedBy>
  <dcterms:created xsi:type="dcterms:W3CDTF">2026-07-15T14:42:20Z</dcterms:created>
  <dcterms:modified xsi:type="dcterms:W3CDTF">2026-07-15T15:03:27Z</dcterms:modified>
</cp:coreProperties>
</file>