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13_ncr:1_{AFA6E379-A3C6-4687-8CC2-F0FBBCF053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Charts" sheetId="2" r:id="rId2"/>
    <sheet name="Holdings" sheetId="3" r:id="rId3"/>
    <sheet name="Tech Portfolio" sheetId="4" r:id="rId4"/>
    <sheet name="S&amp;P 500" sheetId="5" r:id="rId5"/>
    <sheet name="Monthly Returns" sheetId="6" r:id="rId6"/>
  </sheets>
  <definedNames>
    <definedName name="_xlnm._FilterDatabase" localSheetId="4" hidden="1">'S&amp;P 500'!$A$1:$G$1130</definedName>
    <definedName name="_xlnm._FilterDatabase" localSheetId="3" hidden="1">'Tech Portfolio'!$A$1:$G$1130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0" i="5" l="1"/>
  <c r="F1130" i="5"/>
  <c r="D1130" i="5"/>
  <c r="E1130" i="5" s="1"/>
  <c r="C1130" i="5"/>
  <c r="G1129" i="5"/>
  <c r="F1129" i="5"/>
  <c r="D1129" i="5"/>
  <c r="E1129" i="5" s="1"/>
  <c r="C1129" i="5"/>
  <c r="G1128" i="5"/>
  <c r="F1128" i="5"/>
  <c r="E1128" i="5"/>
  <c r="D1128" i="5"/>
  <c r="C1128" i="5"/>
  <c r="G1127" i="5"/>
  <c r="F1127" i="5"/>
  <c r="E1127" i="5"/>
  <c r="D1127" i="5"/>
  <c r="C1127" i="5"/>
  <c r="G1126" i="5"/>
  <c r="F1126" i="5"/>
  <c r="D1126" i="5"/>
  <c r="E1126" i="5" s="1"/>
  <c r="C1126" i="5"/>
  <c r="G1125" i="5"/>
  <c r="F1125" i="5"/>
  <c r="D1125" i="5"/>
  <c r="E1125" i="5" s="1"/>
  <c r="C1125" i="5"/>
  <c r="G1124" i="5"/>
  <c r="F1124" i="5"/>
  <c r="E1124" i="5"/>
  <c r="D1124" i="5"/>
  <c r="C1124" i="5"/>
  <c r="G1123" i="5"/>
  <c r="F1123" i="5"/>
  <c r="E1123" i="5"/>
  <c r="D1123" i="5"/>
  <c r="C1123" i="5"/>
  <c r="G1122" i="5"/>
  <c r="F1122" i="5"/>
  <c r="D1122" i="5"/>
  <c r="E1122" i="5" s="1"/>
  <c r="C1122" i="5"/>
  <c r="G1121" i="5"/>
  <c r="F1121" i="5"/>
  <c r="D1121" i="5"/>
  <c r="E1121" i="5" s="1"/>
  <c r="C1121" i="5"/>
  <c r="G1120" i="5"/>
  <c r="F1120" i="5"/>
  <c r="E1120" i="5"/>
  <c r="D1120" i="5"/>
  <c r="C1120" i="5"/>
  <c r="G1119" i="5"/>
  <c r="F1119" i="5"/>
  <c r="E1119" i="5"/>
  <c r="D1119" i="5"/>
  <c r="C1119" i="5"/>
  <c r="G1118" i="5"/>
  <c r="F1118" i="5"/>
  <c r="E1118" i="5"/>
  <c r="D1118" i="5"/>
  <c r="C1118" i="5"/>
  <c r="G1117" i="5"/>
  <c r="F1117" i="5"/>
  <c r="D1117" i="5"/>
  <c r="E1117" i="5" s="1"/>
  <c r="C1117" i="5"/>
  <c r="G1116" i="5"/>
  <c r="F1116" i="5"/>
  <c r="E1116" i="5"/>
  <c r="D1116" i="5"/>
  <c r="C1116" i="5"/>
  <c r="G1115" i="5"/>
  <c r="F1115" i="5"/>
  <c r="E1115" i="5"/>
  <c r="D1115" i="5"/>
  <c r="C1115" i="5"/>
  <c r="G1114" i="5"/>
  <c r="F1114" i="5"/>
  <c r="D1114" i="5"/>
  <c r="E1114" i="5" s="1"/>
  <c r="C1114" i="5"/>
  <c r="G1113" i="5"/>
  <c r="F1113" i="5"/>
  <c r="D1113" i="5"/>
  <c r="E1113" i="5" s="1"/>
  <c r="C1113" i="5"/>
  <c r="G1112" i="5"/>
  <c r="F1112" i="5"/>
  <c r="E1112" i="5"/>
  <c r="D1112" i="5"/>
  <c r="C1112" i="5"/>
  <c r="G1111" i="5"/>
  <c r="F1111" i="5"/>
  <c r="E1111" i="5"/>
  <c r="D1111" i="5"/>
  <c r="C1111" i="5"/>
  <c r="G1110" i="5"/>
  <c r="F1110" i="5"/>
  <c r="D1110" i="5"/>
  <c r="E1110" i="5" s="1"/>
  <c r="C1110" i="5"/>
  <c r="G1109" i="5"/>
  <c r="F1109" i="5"/>
  <c r="D1109" i="5"/>
  <c r="E1109" i="5" s="1"/>
  <c r="C1109" i="5"/>
  <c r="G1108" i="5"/>
  <c r="F1108" i="5"/>
  <c r="E1108" i="5"/>
  <c r="D1108" i="5"/>
  <c r="C1108" i="5"/>
  <c r="G1107" i="5"/>
  <c r="F1107" i="5"/>
  <c r="E1107" i="5"/>
  <c r="D1107" i="5"/>
  <c r="C1107" i="5"/>
  <c r="G1106" i="5"/>
  <c r="F1106" i="5"/>
  <c r="D1106" i="5"/>
  <c r="E1106" i="5" s="1"/>
  <c r="C1106" i="5"/>
  <c r="G1105" i="5"/>
  <c r="F1105" i="5"/>
  <c r="D1105" i="5"/>
  <c r="E1105" i="5" s="1"/>
  <c r="C1105" i="5"/>
  <c r="G1104" i="5"/>
  <c r="F1104" i="5"/>
  <c r="E1104" i="5"/>
  <c r="D1104" i="5"/>
  <c r="C1104" i="5"/>
  <c r="G1103" i="5"/>
  <c r="F1103" i="5"/>
  <c r="E1103" i="5"/>
  <c r="D1103" i="5"/>
  <c r="C1103" i="5"/>
  <c r="G1102" i="5"/>
  <c r="F1102" i="5"/>
  <c r="E1102" i="5"/>
  <c r="D1102" i="5"/>
  <c r="C1102" i="5"/>
  <c r="G1101" i="5"/>
  <c r="F1101" i="5"/>
  <c r="D1101" i="5"/>
  <c r="E1101" i="5" s="1"/>
  <c r="C1101" i="5"/>
  <c r="G1100" i="5"/>
  <c r="F1100" i="5"/>
  <c r="E1100" i="5"/>
  <c r="D1100" i="5"/>
  <c r="C1100" i="5"/>
  <c r="G1099" i="5"/>
  <c r="F1099" i="5"/>
  <c r="E1099" i="5"/>
  <c r="D1099" i="5"/>
  <c r="C1099" i="5"/>
  <c r="G1098" i="5"/>
  <c r="F1098" i="5"/>
  <c r="D1098" i="5"/>
  <c r="E1098" i="5" s="1"/>
  <c r="C1098" i="5"/>
  <c r="G1097" i="5"/>
  <c r="F1097" i="5"/>
  <c r="D1097" i="5"/>
  <c r="E1097" i="5" s="1"/>
  <c r="C1097" i="5"/>
  <c r="G1096" i="5"/>
  <c r="F1096" i="5"/>
  <c r="E1096" i="5"/>
  <c r="D1096" i="5"/>
  <c r="C1096" i="5"/>
  <c r="G1095" i="5"/>
  <c r="F1095" i="5"/>
  <c r="E1095" i="5"/>
  <c r="D1095" i="5"/>
  <c r="C1095" i="5"/>
  <c r="G1094" i="5"/>
  <c r="F1094" i="5"/>
  <c r="D1094" i="5"/>
  <c r="E1094" i="5" s="1"/>
  <c r="C1094" i="5"/>
  <c r="G1093" i="5"/>
  <c r="F1093" i="5"/>
  <c r="D1093" i="5"/>
  <c r="E1093" i="5" s="1"/>
  <c r="C1093" i="5"/>
  <c r="G1092" i="5"/>
  <c r="F1092" i="5"/>
  <c r="E1092" i="5"/>
  <c r="D1092" i="5"/>
  <c r="C1092" i="5"/>
  <c r="G1091" i="5"/>
  <c r="F1091" i="5"/>
  <c r="E1091" i="5"/>
  <c r="D1091" i="5"/>
  <c r="C1091" i="5"/>
  <c r="G1090" i="5"/>
  <c r="F1090" i="5"/>
  <c r="D1090" i="5"/>
  <c r="E1090" i="5" s="1"/>
  <c r="C1090" i="5"/>
  <c r="G1089" i="5"/>
  <c r="F1089" i="5"/>
  <c r="D1089" i="5"/>
  <c r="E1089" i="5" s="1"/>
  <c r="C1089" i="5"/>
  <c r="G1088" i="5"/>
  <c r="F1088" i="5"/>
  <c r="E1088" i="5"/>
  <c r="D1088" i="5"/>
  <c r="C1088" i="5"/>
  <c r="G1087" i="5"/>
  <c r="F1087" i="5"/>
  <c r="E1087" i="5"/>
  <c r="D1087" i="5"/>
  <c r="C1087" i="5"/>
  <c r="G1086" i="5"/>
  <c r="F1086" i="5"/>
  <c r="E1086" i="5"/>
  <c r="D1086" i="5"/>
  <c r="C1086" i="5"/>
  <c r="G1085" i="5"/>
  <c r="F1085" i="5"/>
  <c r="D1085" i="5"/>
  <c r="E1085" i="5" s="1"/>
  <c r="C1085" i="5"/>
  <c r="G1084" i="5"/>
  <c r="F1084" i="5"/>
  <c r="E1084" i="5"/>
  <c r="D1084" i="5"/>
  <c r="C1084" i="5"/>
  <c r="G1083" i="5"/>
  <c r="F1083" i="5"/>
  <c r="E1083" i="5"/>
  <c r="D1083" i="5"/>
  <c r="C1083" i="5"/>
  <c r="G1082" i="5"/>
  <c r="F1082" i="5"/>
  <c r="D1082" i="5"/>
  <c r="E1082" i="5" s="1"/>
  <c r="C1082" i="5"/>
  <c r="G1081" i="5"/>
  <c r="F1081" i="5"/>
  <c r="D1081" i="5"/>
  <c r="E1081" i="5" s="1"/>
  <c r="C1081" i="5"/>
  <c r="G1080" i="5"/>
  <c r="F1080" i="5"/>
  <c r="E1080" i="5"/>
  <c r="D1080" i="5"/>
  <c r="C1080" i="5"/>
  <c r="G1079" i="5"/>
  <c r="F1079" i="5"/>
  <c r="E1079" i="5"/>
  <c r="D1079" i="5"/>
  <c r="C1079" i="5"/>
  <c r="G1078" i="5"/>
  <c r="F1078" i="5"/>
  <c r="D1078" i="5"/>
  <c r="E1078" i="5" s="1"/>
  <c r="C1078" i="5"/>
  <c r="G1077" i="5"/>
  <c r="F1077" i="5"/>
  <c r="D1077" i="5"/>
  <c r="E1077" i="5" s="1"/>
  <c r="C1077" i="5"/>
  <c r="G1076" i="5"/>
  <c r="F1076" i="5"/>
  <c r="E1076" i="5"/>
  <c r="D1076" i="5"/>
  <c r="C1076" i="5"/>
  <c r="G1075" i="5"/>
  <c r="F1075" i="5"/>
  <c r="E1075" i="5"/>
  <c r="D1075" i="5"/>
  <c r="C1075" i="5"/>
  <c r="G1074" i="5"/>
  <c r="F1074" i="5"/>
  <c r="D1074" i="5"/>
  <c r="E1074" i="5" s="1"/>
  <c r="C1074" i="5"/>
  <c r="G1073" i="5"/>
  <c r="F1073" i="5"/>
  <c r="D1073" i="5"/>
  <c r="E1073" i="5" s="1"/>
  <c r="C1073" i="5"/>
  <c r="G1072" i="5"/>
  <c r="F1072" i="5"/>
  <c r="E1072" i="5"/>
  <c r="D1072" i="5"/>
  <c r="C1072" i="5"/>
  <c r="G1071" i="5"/>
  <c r="F1071" i="5"/>
  <c r="E1071" i="5"/>
  <c r="D1071" i="5"/>
  <c r="C1071" i="5"/>
  <c r="G1070" i="5"/>
  <c r="F1070" i="5"/>
  <c r="E1070" i="5"/>
  <c r="D1070" i="5"/>
  <c r="C1070" i="5"/>
  <c r="G1069" i="5"/>
  <c r="F1069" i="5"/>
  <c r="D1069" i="5"/>
  <c r="E1069" i="5" s="1"/>
  <c r="C1069" i="5"/>
  <c r="G1068" i="5"/>
  <c r="F1068" i="5"/>
  <c r="E1068" i="5"/>
  <c r="D1068" i="5"/>
  <c r="C1068" i="5"/>
  <c r="G1067" i="5"/>
  <c r="F1067" i="5"/>
  <c r="E1067" i="5"/>
  <c r="D1067" i="5"/>
  <c r="C1067" i="5"/>
  <c r="G1066" i="5"/>
  <c r="F1066" i="5"/>
  <c r="D1066" i="5"/>
  <c r="E1066" i="5" s="1"/>
  <c r="C1066" i="5"/>
  <c r="G1065" i="5"/>
  <c r="F1065" i="5"/>
  <c r="E1065" i="5"/>
  <c r="D1065" i="5"/>
  <c r="C1065" i="5"/>
  <c r="G1064" i="5"/>
  <c r="F1064" i="5"/>
  <c r="E1064" i="5"/>
  <c r="D1064" i="5"/>
  <c r="C1064" i="5"/>
  <c r="G1063" i="5"/>
  <c r="F1063" i="5"/>
  <c r="E1063" i="5"/>
  <c r="D1063" i="5"/>
  <c r="C1063" i="5"/>
  <c r="G1062" i="5"/>
  <c r="F1062" i="5"/>
  <c r="D1062" i="5"/>
  <c r="E1062" i="5" s="1"/>
  <c r="C1062" i="5"/>
  <c r="G1061" i="5"/>
  <c r="F1061" i="5"/>
  <c r="D1061" i="5"/>
  <c r="E1061" i="5" s="1"/>
  <c r="C1061" i="5"/>
  <c r="G1060" i="5"/>
  <c r="F1060" i="5"/>
  <c r="E1060" i="5"/>
  <c r="D1060" i="5"/>
  <c r="C1060" i="5"/>
  <c r="G1059" i="5"/>
  <c r="F1059" i="5"/>
  <c r="E1059" i="5"/>
  <c r="D1059" i="5"/>
  <c r="C1059" i="5"/>
  <c r="G1058" i="5"/>
  <c r="F1058" i="5"/>
  <c r="D1058" i="5"/>
  <c r="E1058" i="5" s="1"/>
  <c r="C1058" i="5"/>
  <c r="G1057" i="5"/>
  <c r="F1057" i="5"/>
  <c r="D1057" i="5"/>
  <c r="E1057" i="5" s="1"/>
  <c r="C1057" i="5"/>
  <c r="G1056" i="5"/>
  <c r="F1056" i="5"/>
  <c r="E1056" i="5"/>
  <c r="D1056" i="5"/>
  <c r="C1056" i="5"/>
  <c r="G1055" i="5"/>
  <c r="F1055" i="5"/>
  <c r="E1055" i="5"/>
  <c r="D1055" i="5"/>
  <c r="C1055" i="5"/>
  <c r="G1054" i="5"/>
  <c r="F1054" i="5"/>
  <c r="E1054" i="5"/>
  <c r="D1054" i="5"/>
  <c r="C1054" i="5"/>
  <c r="G1053" i="5"/>
  <c r="F1053" i="5"/>
  <c r="D1053" i="5"/>
  <c r="E1053" i="5" s="1"/>
  <c r="C1053" i="5"/>
  <c r="G1052" i="5"/>
  <c r="F1052" i="5"/>
  <c r="E1052" i="5"/>
  <c r="D1052" i="5"/>
  <c r="C1052" i="5"/>
  <c r="G1051" i="5"/>
  <c r="F1051" i="5"/>
  <c r="E1051" i="5"/>
  <c r="D1051" i="5"/>
  <c r="C1051" i="5"/>
  <c r="G1050" i="5"/>
  <c r="F1050" i="5"/>
  <c r="D1050" i="5"/>
  <c r="E1050" i="5" s="1"/>
  <c r="C1050" i="5"/>
  <c r="G1049" i="5"/>
  <c r="F1049" i="5"/>
  <c r="D1049" i="5"/>
  <c r="E1049" i="5" s="1"/>
  <c r="C1049" i="5"/>
  <c r="G1048" i="5"/>
  <c r="F1048" i="5"/>
  <c r="E1048" i="5"/>
  <c r="D1048" i="5"/>
  <c r="C1048" i="5"/>
  <c r="G1047" i="5"/>
  <c r="F1047" i="5"/>
  <c r="E1047" i="5"/>
  <c r="D1047" i="5"/>
  <c r="C1047" i="5"/>
  <c r="G1046" i="5"/>
  <c r="F1046" i="5"/>
  <c r="D1046" i="5"/>
  <c r="E1046" i="5" s="1"/>
  <c r="C1046" i="5"/>
  <c r="G1045" i="5"/>
  <c r="F1045" i="5"/>
  <c r="D1045" i="5"/>
  <c r="E1045" i="5" s="1"/>
  <c r="C1045" i="5"/>
  <c r="G1044" i="5"/>
  <c r="F1044" i="5"/>
  <c r="E1044" i="5"/>
  <c r="D1044" i="5"/>
  <c r="C1044" i="5"/>
  <c r="G1043" i="5"/>
  <c r="F1043" i="5"/>
  <c r="E1043" i="5"/>
  <c r="D1043" i="5"/>
  <c r="C1043" i="5"/>
  <c r="G1042" i="5"/>
  <c r="F1042" i="5"/>
  <c r="D1042" i="5"/>
  <c r="E1042" i="5" s="1"/>
  <c r="C1042" i="5"/>
  <c r="G1041" i="5"/>
  <c r="F1041" i="5"/>
  <c r="D1041" i="5"/>
  <c r="E1041" i="5" s="1"/>
  <c r="C1041" i="5"/>
  <c r="G1040" i="5"/>
  <c r="F1040" i="5"/>
  <c r="E1040" i="5"/>
  <c r="D1040" i="5"/>
  <c r="C1040" i="5"/>
  <c r="G1039" i="5"/>
  <c r="F1039" i="5"/>
  <c r="E1039" i="5"/>
  <c r="D1039" i="5"/>
  <c r="C1039" i="5"/>
  <c r="G1038" i="5"/>
  <c r="F1038" i="5"/>
  <c r="E1038" i="5"/>
  <c r="D1038" i="5"/>
  <c r="C1038" i="5"/>
  <c r="G1037" i="5"/>
  <c r="F1037" i="5"/>
  <c r="D1037" i="5"/>
  <c r="E1037" i="5" s="1"/>
  <c r="C1037" i="5"/>
  <c r="G1036" i="5"/>
  <c r="F1036" i="5"/>
  <c r="E1036" i="5"/>
  <c r="D1036" i="5"/>
  <c r="C1036" i="5"/>
  <c r="G1035" i="5"/>
  <c r="F1035" i="5"/>
  <c r="E1035" i="5"/>
  <c r="D1035" i="5"/>
  <c r="C1035" i="5"/>
  <c r="G1034" i="5"/>
  <c r="F1034" i="5"/>
  <c r="D1034" i="5"/>
  <c r="E1034" i="5" s="1"/>
  <c r="C1034" i="5"/>
  <c r="G1033" i="5"/>
  <c r="F1033" i="5"/>
  <c r="D1033" i="5"/>
  <c r="E1033" i="5" s="1"/>
  <c r="C1033" i="5"/>
  <c r="G1032" i="5"/>
  <c r="F1032" i="5"/>
  <c r="E1032" i="5"/>
  <c r="D1032" i="5"/>
  <c r="C1032" i="5"/>
  <c r="G1031" i="5"/>
  <c r="F1031" i="5"/>
  <c r="E1031" i="5"/>
  <c r="D1031" i="5"/>
  <c r="C1031" i="5"/>
  <c r="G1030" i="5"/>
  <c r="F1030" i="5"/>
  <c r="D1030" i="5"/>
  <c r="E1030" i="5" s="1"/>
  <c r="C1030" i="5"/>
  <c r="G1029" i="5"/>
  <c r="F1029" i="5"/>
  <c r="D1029" i="5"/>
  <c r="E1029" i="5" s="1"/>
  <c r="C1029" i="5"/>
  <c r="G1028" i="5"/>
  <c r="F1028" i="5"/>
  <c r="E1028" i="5"/>
  <c r="D1028" i="5"/>
  <c r="C1028" i="5"/>
  <c r="G1027" i="5"/>
  <c r="F1027" i="5"/>
  <c r="E1027" i="5"/>
  <c r="D1027" i="5"/>
  <c r="C1027" i="5"/>
  <c r="G1026" i="5"/>
  <c r="F1026" i="5"/>
  <c r="D1026" i="5"/>
  <c r="E1026" i="5" s="1"/>
  <c r="C1026" i="5"/>
  <c r="G1025" i="5"/>
  <c r="F1025" i="5"/>
  <c r="D1025" i="5"/>
  <c r="E1025" i="5" s="1"/>
  <c r="C1025" i="5"/>
  <c r="G1024" i="5"/>
  <c r="F1024" i="5"/>
  <c r="E1024" i="5"/>
  <c r="D1024" i="5"/>
  <c r="C1024" i="5"/>
  <c r="G1023" i="5"/>
  <c r="F1023" i="5"/>
  <c r="E1023" i="5"/>
  <c r="D1023" i="5"/>
  <c r="C1023" i="5"/>
  <c r="G1022" i="5"/>
  <c r="F1022" i="5"/>
  <c r="E1022" i="5"/>
  <c r="D1022" i="5"/>
  <c r="C1022" i="5"/>
  <c r="G1021" i="5"/>
  <c r="F1021" i="5"/>
  <c r="D1021" i="5"/>
  <c r="E1021" i="5" s="1"/>
  <c r="C1021" i="5"/>
  <c r="G1020" i="5"/>
  <c r="F1020" i="5"/>
  <c r="E1020" i="5"/>
  <c r="D1020" i="5"/>
  <c r="C1020" i="5"/>
  <c r="G1019" i="5"/>
  <c r="F1019" i="5"/>
  <c r="E1019" i="5"/>
  <c r="D1019" i="5"/>
  <c r="C1019" i="5"/>
  <c r="G1018" i="5"/>
  <c r="F1018" i="5"/>
  <c r="D1018" i="5"/>
  <c r="E1018" i="5" s="1"/>
  <c r="C1018" i="5"/>
  <c r="G1017" i="5"/>
  <c r="F1017" i="5"/>
  <c r="E1017" i="5"/>
  <c r="D1017" i="5"/>
  <c r="C1017" i="5"/>
  <c r="G1016" i="5"/>
  <c r="F1016" i="5"/>
  <c r="E1016" i="5"/>
  <c r="D1016" i="5"/>
  <c r="C1016" i="5"/>
  <c r="G1015" i="5"/>
  <c r="F1015" i="5"/>
  <c r="E1015" i="5"/>
  <c r="D1015" i="5"/>
  <c r="C1015" i="5"/>
  <c r="G1014" i="5"/>
  <c r="F1014" i="5"/>
  <c r="D1014" i="5"/>
  <c r="E1014" i="5" s="1"/>
  <c r="C1014" i="5"/>
  <c r="G1013" i="5"/>
  <c r="F1013" i="5"/>
  <c r="D1013" i="5"/>
  <c r="E1013" i="5" s="1"/>
  <c r="C1013" i="5"/>
  <c r="G1012" i="5"/>
  <c r="F1012" i="5"/>
  <c r="E1012" i="5"/>
  <c r="D1012" i="5"/>
  <c r="C1012" i="5"/>
  <c r="G1011" i="5"/>
  <c r="F1011" i="5"/>
  <c r="E1011" i="5"/>
  <c r="D1011" i="5"/>
  <c r="C1011" i="5"/>
  <c r="G1010" i="5"/>
  <c r="F1010" i="5"/>
  <c r="D1010" i="5"/>
  <c r="E1010" i="5" s="1"/>
  <c r="C1010" i="5"/>
  <c r="G1009" i="5"/>
  <c r="F1009" i="5"/>
  <c r="D1009" i="5"/>
  <c r="E1009" i="5" s="1"/>
  <c r="C1009" i="5"/>
  <c r="G1008" i="5"/>
  <c r="F1008" i="5"/>
  <c r="E1008" i="5"/>
  <c r="D1008" i="5"/>
  <c r="C1008" i="5"/>
  <c r="G1007" i="5"/>
  <c r="F1007" i="5"/>
  <c r="E1007" i="5"/>
  <c r="D1007" i="5"/>
  <c r="C1007" i="5"/>
  <c r="G1006" i="5"/>
  <c r="F1006" i="5"/>
  <c r="E1006" i="5"/>
  <c r="D1006" i="5"/>
  <c r="C1006" i="5"/>
  <c r="G1005" i="5"/>
  <c r="F1005" i="5"/>
  <c r="D1005" i="5"/>
  <c r="E1005" i="5" s="1"/>
  <c r="C1005" i="5"/>
  <c r="G1004" i="5"/>
  <c r="F1004" i="5"/>
  <c r="E1004" i="5"/>
  <c r="D1004" i="5"/>
  <c r="C1004" i="5"/>
  <c r="G1003" i="5"/>
  <c r="F1003" i="5"/>
  <c r="E1003" i="5"/>
  <c r="D1003" i="5"/>
  <c r="C1003" i="5"/>
  <c r="G1002" i="5"/>
  <c r="F1002" i="5"/>
  <c r="D1002" i="5"/>
  <c r="E1002" i="5" s="1"/>
  <c r="C1002" i="5"/>
  <c r="G1001" i="5"/>
  <c r="F1001" i="5"/>
  <c r="D1001" i="5"/>
  <c r="E1001" i="5" s="1"/>
  <c r="C1001" i="5"/>
  <c r="G1000" i="5"/>
  <c r="F1000" i="5"/>
  <c r="E1000" i="5"/>
  <c r="D1000" i="5"/>
  <c r="C1000" i="5"/>
  <c r="G999" i="5"/>
  <c r="F999" i="5"/>
  <c r="E999" i="5"/>
  <c r="D999" i="5"/>
  <c r="C999" i="5"/>
  <c r="G998" i="5"/>
  <c r="F998" i="5"/>
  <c r="D998" i="5"/>
  <c r="E998" i="5" s="1"/>
  <c r="C998" i="5"/>
  <c r="G997" i="5"/>
  <c r="F997" i="5"/>
  <c r="D997" i="5"/>
  <c r="E997" i="5" s="1"/>
  <c r="C997" i="5"/>
  <c r="G996" i="5"/>
  <c r="F996" i="5"/>
  <c r="E996" i="5"/>
  <c r="D996" i="5"/>
  <c r="C996" i="5"/>
  <c r="G995" i="5"/>
  <c r="F995" i="5"/>
  <c r="E995" i="5"/>
  <c r="D995" i="5"/>
  <c r="C995" i="5"/>
  <c r="G994" i="5"/>
  <c r="F994" i="5"/>
  <c r="D994" i="5"/>
  <c r="E994" i="5" s="1"/>
  <c r="C994" i="5"/>
  <c r="G993" i="5"/>
  <c r="F993" i="5"/>
  <c r="D993" i="5"/>
  <c r="E993" i="5" s="1"/>
  <c r="C993" i="5"/>
  <c r="G992" i="5"/>
  <c r="F992" i="5"/>
  <c r="E992" i="5"/>
  <c r="D992" i="5"/>
  <c r="C992" i="5"/>
  <c r="G991" i="5"/>
  <c r="F991" i="5"/>
  <c r="E991" i="5"/>
  <c r="D991" i="5"/>
  <c r="C991" i="5"/>
  <c r="G990" i="5"/>
  <c r="F990" i="5"/>
  <c r="E990" i="5"/>
  <c r="D990" i="5"/>
  <c r="C990" i="5"/>
  <c r="G989" i="5"/>
  <c r="F989" i="5"/>
  <c r="D989" i="5"/>
  <c r="E989" i="5" s="1"/>
  <c r="C989" i="5"/>
  <c r="G988" i="5"/>
  <c r="F988" i="5"/>
  <c r="E988" i="5"/>
  <c r="D988" i="5"/>
  <c r="C988" i="5"/>
  <c r="G987" i="5"/>
  <c r="F987" i="5"/>
  <c r="E987" i="5"/>
  <c r="D987" i="5"/>
  <c r="C987" i="5"/>
  <c r="G986" i="5"/>
  <c r="F986" i="5"/>
  <c r="D986" i="5"/>
  <c r="E986" i="5" s="1"/>
  <c r="C986" i="5"/>
  <c r="G985" i="5"/>
  <c r="F985" i="5"/>
  <c r="D985" i="5"/>
  <c r="E985" i="5" s="1"/>
  <c r="C985" i="5"/>
  <c r="G984" i="5"/>
  <c r="F984" i="5"/>
  <c r="E984" i="5"/>
  <c r="D984" i="5"/>
  <c r="C984" i="5"/>
  <c r="G983" i="5"/>
  <c r="F983" i="5"/>
  <c r="E983" i="5"/>
  <c r="D983" i="5"/>
  <c r="C983" i="5"/>
  <c r="G982" i="5"/>
  <c r="F982" i="5"/>
  <c r="D982" i="5"/>
  <c r="E982" i="5" s="1"/>
  <c r="C982" i="5"/>
  <c r="G981" i="5"/>
  <c r="F981" i="5"/>
  <c r="D981" i="5"/>
  <c r="E981" i="5" s="1"/>
  <c r="C981" i="5"/>
  <c r="G980" i="5"/>
  <c r="F980" i="5"/>
  <c r="E980" i="5"/>
  <c r="D980" i="5"/>
  <c r="C980" i="5"/>
  <c r="G979" i="5"/>
  <c r="F979" i="5"/>
  <c r="E979" i="5"/>
  <c r="D979" i="5"/>
  <c r="C979" i="5"/>
  <c r="G978" i="5"/>
  <c r="F978" i="5"/>
  <c r="D978" i="5"/>
  <c r="E978" i="5" s="1"/>
  <c r="C978" i="5"/>
  <c r="G977" i="5"/>
  <c r="F977" i="5"/>
  <c r="D977" i="5"/>
  <c r="E977" i="5" s="1"/>
  <c r="C977" i="5"/>
  <c r="G976" i="5"/>
  <c r="F976" i="5"/>
  <c r="E976" i="5"/>
  <c r="D976" i="5"/>
  <c r="C976" i="5"/>
  <c r="G975" i="5"/>
  <c r="F975" i="5"/>
  <c r="E975" i="5"/>
  <c r="D975" i="5"/>
  <c r="C975" i="5"/>
  <c r="G974" i="5"/>
  <c r="F974" i="5"/>
  <c r="E974" i="5"/>
  <c r="D974" i="5"/>
  <c r="C974" i="5"/>
  <c r="G973" i="5"/>
  <c r="F973" i="5"/>
  <c r="D973" i="5"/>
  <c r="E973" i="5" s="1"/>
  <c r="C973" i="5"/>
  <c r="G972" i="5"/>
  <c r="F972" i="5"/>
  <c r="E972" i="5"/>
  <c r="D972" i="5"/>
  <c r="C972" i="5"/>
  <c r="G971" i="5"/>
  <c r="F971" i="5"/>
  <c r="E971" i="5"/>
  <c r="D971" i="5"/>
  <c r="C971" i="5"/>
  <c r="G970" i="5"/>
  <c r="F970" i="5"/>
  <c r="D970" i="5"/>
  <c r="E970" i="5" s="1"/>
  <c r="C970" i="5"/>
  <c r="G969" i="5"/>
  <c r="F969" i="5"/>
  <c r="D969" i="5"/>
  <c r="E969" i="5" s="1"/>
  <c r="C969" i="5"/>
  <c r="G968" i="5"/>
  <c r="F968" i="5"/>
  <c r="E968" i="5"/>
  <c r="D968" i="5"/>
  <c r="C968" i="5"/>
  <c r="G967" i="5"/>
  <c r="F967" i="5"/>
  <c r="E967" i="5"/>
  <c r="D967" i="5"/>
  <c r="C967" i="5"/>
  <c r="G966" i="5"/>
  <c r="F966" i="5"/>
  <c r="D966" i="5"/>
  <c r="E966" i="5" s="1"/>
  <c r="C966" i="5"/>
  <c r="G965" i="5"/>
  <c r="F965" i="5"/>
  <c r="D965" i="5"/>
  <c r="E965" i="5" s="1"/>
  <c r="C965" i="5"/>
  <c r="G964" i="5"/>
  <c r="F964" i="5"/>
  <c r="E964" i="5"/>
  <c r="D964" i="5"/>
  <c r="C964" i="5"/>
  <c r="G963" i="5"/>
  <c r="F963" i="5"/>
  <c r="E963" i="5"/>
  <c r="D963" i="5"/>
  <c r="C963" i="5"/>
  <c r="G962" i="5"/>
  <c r="F962" i="5"/>
  <c r="D962" i="5"/>
  <c r="E962" i="5" s="1"/>
  <c r="C962" i="5"/>
  <c r="G961" i="5"/>
  <c r="F961" i="5"/>
  <c r="D961" i="5"/>
  <c r="E961" i="5" s="1"/>
  <c r="C961" i="5"/>
  <c r="G960" i="5"/>
  <c r="F960" i="5"/>
  <c r="E960" i="5"/>
  <c r="D960" i="5"/>
  <c r="C960" i="5"/>
  <c r="G959" i="5"/>
  <c r="F959" i="5"/>
  <c r="E959" i="5"/>
  <c r="D959" i="5"/>
  <c r="C959" i="5"/>
  <c r="G958" i="5"/>
  <c r="F958" i="5"/>
  <c r="E958" i="5"/>
  <c r="D958" i="5"/>
  <c r="C958" i="5"/>
  <c r="G957" i="5"/>
  <c r="F957" i="5"/>
  <c r="D957" i="5"/>
  <c r="E957" i="5" s="1"/>
  <c r="C957" i="5"/>
  <c r="G956" i="5"/>
  <c r="F956" i="5"/>
  <c r="E956" i="5"/>
  <c r="D956" i="5"/>
  <c r="C956" i="5"/>
  <c r="G955" i="5"/>
  <c r="F955" i="5"/>
  <c r="E955" i="5"/>
  <c r="D955" i="5"/>
  <c r="C955" i="5"/>
  <c r="G954" i="5"/>
  <c r="F954" i="5"/>
  <c r="D954" i="5"/>
  <c r="E954" i="5" s="1"/>
  <c r="C954" i="5"/>
  <c r="G953" i="5"/>
  <c r="F953" i="5"/>
  <c r="D953" i="5"/>
  <c r="E953" i="5" s="1"/>
  <c r="C953" i="5"/>
  <c r="G952" i="5"/>
  <c r="F952" i="5"/>
  <c r="E952" i="5"/>
  <c r="D952" i="5"/>
  <c r="C952" i="5"/>
  <c r="G951" i="5"/>
  <c r="F951" i="5"/>
  <c r="E951" i="5"/>
  <c r="D951" i="5"/>
  <c r="C951" i="5"/>
  <c r="G950" i="5"/>
  <c r="F950" i="5"/>
  <c r="D950" i="5"/>
  <c r="E950" i="5" s="1"/>
  <c r="C950" i="5"/>
  <c r="G949" i="5"/>
  <c r="F949" i="5"/>
  <c r="D949" i="5"/>
  <c r="E949" i="5" s="1"/>
  <c r="C949" i="5"/>
  <c r="G948" i="5"/>
  <c r="F948" i="5"/>
  <c r="E948" i="5"/>
  <c r="D948" i="5"/>
  <c r="C948" i="5"/>
  <c r="G947" i="5"/>
  <c r="F947" i="5"/>
  <c r="E947" i="5"/>
  <c r="D947" i="5"/>
  <c r="C947" i="5"/>
  <c r="G946" i="5"/>
  <c r="F946" i="5"/>
  <c r="D946" i="5"/>
  <c r="E946" i="5" s="1"/>
  <c r="C946" i="5"/>
  <c r="G945" i="5"/>
  <c r="F945" i="5"/>
  <c r="D945" i="5"/>
  <c r="E945" i="5" s="1"/>
  <c r="C945" i="5"/>
  <c r="G944" i="5"/>
  <c r="F944" i="5"/>
  <c r="E944" i="5"/>
  <c r="D944" i="5"/>
  <c r="C944" i="5"/>
  <c r="G943" i="5"/>
  <c r="F943" i="5"/>
  <c r="E943" i="5"/>
  <c r="D943" i="5"/>
  <c r="C943" i="5"/>
  <c r="G942" i="5"/>
  <c r="F942" i="5"/>
  <c r="E942" i="5"/>
  <c r="D942" i="5"/>
  <c r="C942" i="5"/>
  <c r="G941" i="5"/>
  <c r="F941" i="5"/>
  <c r="D941" i="5"/>
  <c r="E941" i="5" s="1"/>
  <c r="C941" i="5"/>
  <c r="G940" i="5"/>
  <c r="F940" i="5"/>
  <c r="E940" i="5"/>
  <c r="D940" i="5"/>
  <c r="C940" i="5"/>
  <c r="G939" i="5"/>
  <c r="F939" i="5"/>
  <c r="E939" i="5"/>
  <c r="D939" i="5"/>
  <c r="C939" i="5"/>
  <c r="G938" i="5"/>
  <c r="F938" i="5"/>
  <c r="D938" i="5"/>
  <c r="E938" i="5" s="1"/>
  <c r="C938" i="5"/>
  <c r="G937" i="5"/>
  <c r="F937" i="5"/>
  <c r="E937" i="5"/>
  <c r="D937" i="5"/>
  <c r="C937" i="5"/>
  <c r="G936" i="5"/>
  <c r="F936" i="5"/>
  <c r="E936" i="5"/>
  <c r="D936" i="5"/>
  <c r="C936" i="5"/>
  <c r="G935" i="5"/>
  <c r="F935" i="5"/>
  <c r="E935" i="5"/>
  <c r="D935" i="5"/>
  <c r="C935" i="5"/>
  <c r="G934" i="5"/>
  <c r="F934" i="5"/>
  <c r="D934" i="5"/>
  <c r="E934" i="5" s="1"/>
  <c r="C934" i="5"/>
  <c r="G933" i="5"/>
  <c r="F933" i="5"/>
  <c r="D933" i="5"/>
  <c r="E933" i="5" s="1"/>
  <c r="C933" i="5"/>
  <c r="G932" i="5"/>
  <c r="F932" i="5"/>
  <c r="E932" i="5"/>
  <c r="D932" i="5"/>
  <c r="C932" i="5"/>
  <c r="G931" i="5"/>
  <c r="F931" i="5"/>
  <c r="E931" i="5"/>
  <c r="D931" i="5"/>
  <c r="C931" i="5"/>
  <c r="G930" i="5"/>
  <c r="F930" i="5"/>
  <c r="D930" i="5"/>
  <c r="E930" i="5" s="1"/>
  <c r="C930" i="5"/>
  <c r="G929" i="5"/>
  <c r="F929" i="5"/>
  <c r="D929" i="5"/>
  <c r="E929" i="5" s="1"/>
  <c r="C929" i="5"/>
  <c r="G928" i="5"/>
  <c r="F928" i="5"/>
  <c r="E928" i="5"/>
  <c r="D928" i="5"/>
  <c r="C928" i="5"/>
  <c r="G927" i="5"/>
  <c r="F927" i="5"/>
  <c r="E927" i="5"/>
  <c r="D927" i="5"/>
  <c r="C927" i="5"/>
  <c r="G926" i="5"/>
  <c r="F926" i="5"/>
  <c r="E926" i="5"/>
  <c r="D926" i="5"/>
  <c r="C926" i="5"/>
  <c r="G925" i="5"/>
  <c r="F925" i="5"/>
  <c r="D925" i="5"/>
  <c r="E925" i="5" s="1"/>
  <c r="C925" i="5"/>
  <c r="G924" i="5"/>
  <c r="F924" i="5"/>
  <c r="E924" i="5"/>
  <c r="D924" i="5"/>
  <c r="C924" i="5"/>
  <c r="G923" i="5"/>
  <c r="F923" i="5"/>
  <c r="E923" i="5"/>
  <c r="D923" i="5"/>
  <c r="C923" i="5"/>
  <c r="G922" i="5"/>
  <c r="F922" i="5"/>
  <c r="D922" i="5"/>
  <c r="E922" i="5" s="1"/>
  <c r="C922" i="5"/>
  <c r="G921" i="5"/>
  <c r="F921" i="5"/>
  <c r="D921" i="5"/>
  <c r="E921" i="5" s="1"/>
  <c r="C921" i="5"/>
  <c r="G920" i="5"/>
  <c r="F920" i="5"/>
  <c r="E920" i="5"/>
  <c r="D920" i="5"/>
  <c r="C920" i="5"/>
  <c r="G919" i="5"/>
  <c r="F919" i="5"/>
  <c r="E919" i="5"/>
  <c r="D919" i="5"/>
  <c r="C919" i="5"/>
  <c r="G918" i="5"/>
  <c r="F918" i="5"/>
  <c r="D918" i="5"/>
  <c r="E918" i="5" s="1"/>
  <c r="C918" i="5"/>
  <c r="G917" i="5"/>
  <c r="F917" i="5"/>
  <c r="D917" i="5"/>
  <c r="E917" i="5" s="1"/>
  <c r="C917" i="5"/>
  <c r="G916" i="5"/>
  <c r="F916" i="5"/>
  <c r="E916" i="5"/>
  <c r="D916" i="5"/>
  <c r="C916" i="5"/>
  <c r="G915" i="5"/>
  <c r="F915" i="5"/>
  <c r="E915" i="5"/>
  <c r="D915" i="5"/>
  <c r="C915" i="5"/>
  <c r="G914" i="5"/>
  <c r="F914" i="5"/>
  <c r="D914" i="5"/>
  <c r="E914" i="5" s="1"/>
  <c r="C914" i="5"/>
  <c r="G913" i="5"/>
  <c r="F913" i="5"/>
  <c r="D913" i="5"/>
  <c r="E913" i="5" s="1"/>
  <c r="C913" i="5"/>
  <c r="G912" i="5"/>
  <c r="F912" i="5"/>
  <c r="E912" i="5"/>
  <c r="D912" i="5"/>
  <c r="C912" i="5"/>
  <c r="G911" i="5"/>
  <c r="F911" i="5"/>
  <c r="E911" i="5"/>
  <c r="D911" i="5"/>
  <c r="C911" i="5"/>
  <c r="G910" i="5"/>
  <c r="F910" i="5"/>
  <c r="E910" i="5"/>
  <c r="D910" i="5"/>
  <c r="C910" i="5"/>
  <c r="G909" i="5"/>
  <c r="F909" i="5"/>
  <c r="D909" i="5"/>
  <c r="E909" i="5" s="1"/>
  <c r="C909" i="5"/>
  <c r="G908" i="5"/>
  <c r="F908" i="5"/>
  <c r="E908" i="5"/>
  <c r="D908" i="5"/>
  <c r="C908" i="5"/>
  <c r="G907" i="5"/>
  <c r="F907" i="5"/>
  <c r="E907" i="5"/>
  <c r="D907" i="5"/>
  <c r="C907" i="5"/>
  <c r="G906" i="5"/>
  <c r="F906" i="5"/>
  <c r="D906" i="5"/>
  <c r="E906" i="5" s="1"/>
  <c r="C906" i="5"/>
  <c r="G905" i="5"/>
  <c r="F905" i="5"/>
  <c r="D905" i="5"/>
  <c r="E905" i="5" s="1"/>
  <c r="C905" i="5"/>
  <c r="G904" i="5"/>
  <c r="F904" i="5"/>
  <c r="E904" i="5"/>
  <c r="D904" i="5"/>
  <c r="C904" i="5"/>
  <c r="G903" i="5"/>
  <c r="F903" i="5"/>
  <c r="E903" i="5"/>
  <c r="D903" i="5"/>
  <c r="C903" i="5"/>
  <c r="G902" i="5"/>
  <c r="F902" i="5"/>
  <c r="D902" i="5"/>
  <c r="E902" i="5" s="1"/>
  <c r="C902" i="5"/>
  <c r="G901" i="5"/>
  <c r="F901" i="5"/>
  <c r="D901" i="5"/>
  <c r="E901" i="5" s="1"/>
  <c r="C901" i="5"/>
  <c r="G900" i="5"/>
  <c r="F900" i="5"/>
  <c r="E900" i="5"/>
  <c r="D900" i="5"/>
  <c r="C900" i="5"/>
  <c r="G899" i="5"/>
  <c r="F899" i="5"/>
  <c r="E899" i="5"/>
  <c r="D899" i="5"/>
  <c r="C899" i="5"/>
  <c r="G898" i="5"/>
  <c r="F898" i="5"/>
  <c r="D898" i="5"/>
  <c r="E898" i="5" s="1"/>
  <c r="C898" i="5"/>
  <c r="G897" i="5"/>
  <c r="F897" i="5"/>
  <c r="D897" i="5"/>
  <c r="E897" i="5" s="1"/>
  <c r="C897" i="5"/>
  <c r="G896" i="5"/>
  <c r="F896" i="5"/>
  <c r="E896" i="5"/>
  <c r="D896" i="5"/>
  <c r="C896" i="5"/>
  <c r="G895" i="5"/>
  <c r="F895" i="5"/>
  <c r="E895" i="5"/>
  <c r="D895" i="5"/>
  <c r="C895" i="5"/>
  <c r="G894" i="5"/>
  <c r="F894" i="5"/>
  <c r="E894" i="5"/>
  <c r="D894" i="5"/>
  <c r="C894" i="5"/>
  <c r="G893" i="5"/>
  <c r="F893" i="5"/>
  <c r="D893" i="5"/>
  <c r="E893" i="5" s="1"/>
  <c r="C893" i="5"/>
  <c r="G892" i="5"/>
  <c r="F892" i="5"/>
  <c r="E892" i="5"/>
  <c r="D892" i="5"/>
  <c r="C892" i="5"/>
  <c r="G891" i="5"/>
  <c r="F891" i="5"/>
  <c r="E891" i="5"/>
  <c r="D891" i="5"/>
  <c r="C891" i="5"/>
  <c r="G890" i="5"/>
  <c r="F890" i="5"/>
  <c r="D890" i="5"/>
  <c r="E890" i="5" s="1"/>
  <c r="C890" i="5"/>
  <c r="G889" i="5"/>
  <c r="F889" i="5"/>
  <c r="E889" i="5"/>
  <c r="D889" i="5"/>
  <c r="C889" i="5"/>
  <c r="G888" i="5"/>
  <c r="F888" i="5"/>
  <c r="E888" i="5"/>
  <c r="D888" i="5"/>
  <c r="C888" i="5"/>
  <c r="G887" i="5"/>
  <c r="F887" i="5"/>
  <c r="E887" i="5"/>
  <c r="D887" i="5"/>
  <c r="C887" i="5"/>
  <c r="G886" i="5"/>
  <c r="F886" i="5"/>
  <c r="D886" i="5"/>
  <c r="E886" i="5" s="1"/>
  <c r="C886" i="5"/>
  <c r="G885" i="5"/>
  <c r="F885" i="5"/>
  <c r="D885" i="5"/>
  <c r="E885" i="5" s="1"/>
  <c r="C885" i="5"/>
  <c r="G884" i="5"/>
  <c r="F884" i="5"/>
  <c r="E884" i="5"/>
  <c r="D884" i="5"/>
  <c r="C884" i="5"/>
  <c r="G883" i="5"/>
  <c r="F883" i="5"/>
  <c r="E883" i="5"/>
  <c r="D883" i="5"/>
  <c r="C883" i="5"/>
  <c r="G882" i="5"/>
  <c r="F882" i="5"/>
  <c r="D882" i="5"/>
  <c r="E882" i="5" s="1"/>
  <c r="C882" i="5"/>
  <c r="G881" i="5"/>
  <c r="F881" i="5"/>
  <c r="D881" i="5"/>
  <c r="E881" i="5" s="1"/>
  <c r="C881" i="5"/>
  <c r="G880" i="5"/>
  <c r="F880" i="5"/>
  <c r="E880" i="5"/>
  <c r="D880" i="5"/>
  <c r="C880" i="5"/>
  <c r="G879" i="5"/>
  <c r="F879" i="5"/>
  <c r="E879" i="5"/>
  <c r="D879" i="5"/>
  <c r="C879" i="5"/>
  <c r="G878" i="5"/>
  <c r="F878" i="5"/>
  <c r="E878" i="5"/>
  <c r="D878" i="5"/>
  <c r="C878" i="5"/>
  <c r="G877" i="5"/>
  <c r="F877" i="5"/>
  <c r="D877" i="5"/>
  <c r="E877" i="5" s="1"/>
  <c r="C877" i="5"/>
  <c r="G876" i="5"/>
  <c r="F876" i="5"/>
  <c r="E876" i="5"/>
  <c r="D876" i="5"/>
  <c r="C876" i="5"/>
  <c r="G875" i="5"/>
  <c r="F875" i="5"/>
  <c r="E875" i="5"/>
  <c r="D875" i="5"/>
  <c r="C875" i="5"/>
  <c r="G874" i="5"/>
  <c r="F874" i="5"/>
  <c r="D874" i="5"/>
  <c r="E874" i="5" s="1"/>
  <c r="C874" i="5"/>
  <c r="G873" i="5"/>
  <c r="F873" i="5"/>
  <c r="D873" i="5"/>
  <c r="E873" i="5" s="1"/>
  <c r="C873" i="5"/>
  <c r="G872" i="5"/>
  <c r="F872" i="5"/>
  <c r="E872" i="5"/>
  <c r="D872" i="5"/>
  <c r="C872" i="5"/>
  <c r="G871" i="5"/>
  <c r="F871" i="5"/>
  <c r="E871" i="5"/>
  <c r="D871" i="5"/>
  <c r="C871" i="5"/>
  <c r="G870" i="5"/>
  <c r="F870" i="5"/>
  <c r="D870" i="5"/>
  <c r="E870" i="5" s="1"/>
  <c r="C870" i="5"/>
  <c r="G869" i="5"/>
  <c r="F869" i="5"/>
  <c r="D869" i="5"/>
  <c r="E869" i="5" s="1"/>
  <c r="C869" i="5"/>
  <c r="G868" i="5"/>
  <c r="F868" i="5"/>
  <c r="E868" i="5"/>
  <c r="D868" i="5"/>
  <c r="C868" i="5"/>
  <c r="G867" i="5"/>
  <c r="F867" i="5"/>
  <c r="E867" i="5"/>
  <c r="D867" i="5"/>
  <c r="C867" i="5"/>
  <c r="G866" i="5"/>
  <c r="F866" i="5"/>
  <c r="D866" i="5"/>
  <c r="E866" i="5" s="1"/>
  <c r="C866" i="5"/>
  <c r="G865" i="5"/>
  <c r="F865" i="5"/>
  <c r="D865" i="5"/>
  <c r="E865" i="5" s="1"/>
  <c r="C865" i="5"/>
  <c r="G864" i="5"/>
  <c r="F864" i="5"/>
  <c r="E864" i="5"/>
  <c r="D864" i="5"/>
  <c r="C864" i="5"/>
  <c r="G863" i="5"/>
  <c r="F863" i="5"/>
  <c r="E863" i="5"/>
  <c r="D863" i="5"/>
  <c r="C863" i="5"/>
  <c r="G862" i="5"/>
  <c r="F862" i="5"/>
  <c r="E862" i="5"/>
  <c r="D862" i="5"/>
  <c r="C862" i="5"/>
  <c r="G861" i="5"/>
  <c r="F861" i="5"/>
  <c r="D861" i="5"/>
  <c r="E861" i="5" s="1"/>
  <c r="C861" i="5"/>
  <c r="G860" i="5"/>
  <c r="F860" i="5"/>
  <c r="E860" i="5"/>
  <c r="D860" i="5"/>
  <c r="C860" i="5"/>
  <c r="G859" i="5"/>
  <c r="F859" i="5"/>
  <c r="E859" i="5"/>
  <c r="D859" i="5"/>
  <c r="C859" i="5"/>
  <c r="G858" i="5"/>
  <c r="F858" i="5"/>
  <c r="D858" i="5"/>
  <c r="E858" i="5" s="1"/>
  <c r="C858" i="5"/>
  <c r="G857" i="5"/>
  <c r="F857" i="5"/>
  <c r="D857" i="5"/>
  <c r="E857" i="5" s="1"/>
  <c r="C857" i="5"/>
  <c r="G856" i="5"/>
  <c r="F856" i="5"/>
  <c r="E856" i="5"/>
  <c r="D856" i="5"/>
  <c r="C856" i="5"/>
  <c r="G855" i="5"/>
  <c r="F855" i="5"/>
  <c r="E855" i="5"/>
  <c r="D855" i="5"/>
  <c r="C855" i="5"/>
  <c r="G854" i="5"/>
  <c r="F854" i="5"/>
  <c r="D854" i="5"/>
  <c r="E854" i="5" s="1"/>
  <c r="C854" i="5"/>
  <c r="G853" i="5"/>
  <c r="F853" i="5"/>
  <c r="D853" i="5"/>
  <c r="E853" i="5" s="1"/>
  <c r="C853" i="5"/>
  <c r="G852" i="5"/>
  <c r="F852" i="5"/>
  <c r="E852" i="5"/>
  <c r="D852" i="5"/>
  <c r="C852" i="5"/>
  <c r="G851" i="5"/>
  <c r="F851" i="5"/>
  <c r="E851" i="5"/>
  <c r="D851" i="5"/>
  <c r="C851" i="5"/>
  <c r="G850" i="5"/>
  <c r="F850" i="5"/>
  <c r="D850" i="5"/>
  <c r="E850" i="5" s="1"/>
  <c r="C850" i="5"/>
  <c r="G849" i="5"/>
  <c r="F849" i="5"/>
  <c r="D849" i="5"/>
  <c r="E849" i="5" s="1"/>
  <c r="C849" i="5"/>
  <c r="G848" i="5"/>
  <c r="F848" i="5"/>
  <c r="E848" i="5"/>
  <c r="D848" i="5"/>
  <c r="C848" i="5"/>
  <c r="G847" i="5"/>
  <c r="F847" i="5"/>
  <c r="E847" i="5"/>
  <c r="D847" i="5"/>
  <c r="C847" i="5"/>
  <c r="G846" i="5"/>
  <c r="F846" i="5"/>
  <c r="E846" i="5"/>
  <c r="D846" i="5"/>
  <c r="C846" i="5"/>
  <c r="G845" i="5"/>
  <c r="F845" i="5"/>
  <c r="D845" i="5"/>
  <c r="E845" i="5" s="1"/>
  <c r="C845" i="5"/>
  <c r="G844" i="5"/>
  <c r="F844" i="5"/>
  <c r="E844" i="5"/>
  <c r="D844" i="5"/>
  <c r="C844" i="5"/>
  <c r="G843" i="5"/>
  <c r="F843" i="5"/>
  <c r="E843" i="5"/>
  <c r="D843" i="5"/>
  <c r="C843" i="5"/>
  <c r="G842" i="5"/>
  <c r="F842" i="5"/>
  <c r="D842" i="5"/>
  <c r="E842" i="5" s="1"/>
  <c r="C842" i="5"/>
  <c r="G841" i="5"/>
  <c r="F841" i="5"/>
  <c r="D841" i="5"/>
  <c r="E841" i="5" s="1"/>
  <c r="C841" i="5"/>
  <c r="G840" i="5"/>
  <c r="F840" i="5"/>
  <c r="E840" i="5"/>
  <c r="D840" i="5"/>
  <c r="C840" i="5"/>
  <c r="G839" i="5"/>
  <c r="F839" i="5"/>
  <c r="E839" i="5"/>
  <c r="D839" i="5"/>
  <c r="C839" i="5"/>
  <c r="G838" i="5"/>
  <c r="F838" i="5"/>
  <c r="D838" i="5"/>
  <c r="E838" i="5" s="1"/>
  <c r="C838" i="5"/>
  <c r="G837" i="5"/>
  <c r="F837" i="5"/>
  <c r="D837" i="5"/>
  <c r="E837" i="5" s="1"/>
  <c r="C837" i="5"/>
  <c r="G836" i="5"/>
  <c r="F836" i="5"/>
  <c r="E836" i="5"/>
  <c r="D836" i="5"/>
  <c r="C836" i="5"/>
  <c r="G835" i="5"/>
  <c r="F835" i="5"/>
  <c r="E835" i="5"/>
  <c r="D835" i="5"/>
  <c r="C835" i="5"/>
  <c r="G834" i="5"/>
  <c r="F834" i="5"/>
  <c r="D834" i="5"/>
  <c r="E834" i="5" s="1"/>
  <c r="C834" i="5"/>
  <c r="G833" i="5"/>
  <c r="F833" i="5"/>
  <c r="D833" i="5"/>
  <c r="E833" i="5" s="1"/>
  <c r="C833" i="5"/>
  <c r="G832" i="5"/>
  <c r="F832" i="5"/>
  <c r="E832" i="5"/>
  <c r="D832" i="5"/>
  <c r="C832" i="5"/>
  <c r="G831" i="5"/>
  <c r="F831" i="5"/>
  <c r="E831" i="5"/>
  <c r="D831" i="5"/>
  <c r="C831" i="5"/>
  <c r="G830" i="5"/>
  <c r="F830" i="5"/>
  <c r="E830" i="5"/>
  <c r="D830" i="5"/>
  <c r="C830" i="5"/>
  <c r="G829" i="5"/>
  <c r="F829" i="5"/>
  <c r="D829" i="5"/>
  <c r="E829" i="5" s="1"/>
  <c r="C829" i="5"/>
  <c r="G828" i="5"/>
  <c r="F828" i="5"/>
  <c r="E828" i="5"/>
  <c r="D828" i="5"/>
  <c r="C828" i="5"/>
  <c r="G827" i="5"/>
  <c r="F827" i="5"/>
  <c r="E827" i="5"/>
  <c r="D827" i="5"/>
  <c r="C827" i="5"/>
  <c r="G826" i="5"/>
  <c r="F826" i="5"/>
  <c r="D826" i="5"/>
  <c r="E826" i="5" s="1"/>
  <c r="C826" i="5"/>
  <c r="G825" i="5"/>
  <c r="F825" i="5"/>
  <c r="D825" i="5"/>
  <c r="E825" i="5" s="1"/>
  <c r="C825" i="5"/>
  <c r="G824" i="5"/>
  <c r="F824" i="5"/>
  <c r="E824" i="5"/>
  <c r="D824" i="5"/>
  <c r="C824" i="5"/>
  <c r="G823" i="5"/>
  <c r="F823" i="5"/>
  <c r="E823" i="5"/>
  <c r="D823" i="5"/>
  <c r="C823" i="5"/>
  <c r="G822" i="5"/>
  <c r="F822" i="5"/>
  <c r="D822" i="5"/>
  <c r="E822" i="5" s="1"/>
  <c r="C822" i="5"/>
  <c r="G821" i="5"/>
  <c r="F821" i="5"/>
  <c r="D821" i="5"/>
  <c r="E821" i="5" s="1"/>
  <c r="C821" i="5"/>
  <c r="G820" i="5"/>
  <c r="F820" i="5"/>
  <c r="E820" i="5"/>
  <c r="D820" i="5"/>
  <c r="C820" i="5"/>
  <c r="G819" i="5"/>
  <c r="F819" i="5"/>
  <c r="E819" i="5"/>
  <c r="D819" i="5"/>
  <c r="C819" i="5"/>
  <c r="G818" i="5"/>
  <c r="F818" i="5"/>
  <c r="D818" i="5"/>
  <c r="E818" i="5" s="1"/>
  <c r="C818" i="5"/>
  <c r="G817" i="5"/>
  <c r="F817" i="5"/>
  <c r="D817" i="5"/>
  <c r="E817" i="5" s="1"/>
  <c r="C817" i="5"/>
  <c r="G816" i="5"/>
  <c r="F816" i="5"/>
  <c r="E816" i="5"/>
  <c r="D816" i="5"/>
  <c r="C816" i="5"/>
  <c r="G815" i="5"/>
  <c r="F815" i="5"/>
  <c r="E815" i="5"/>
  <c r="D815" i="5"/>
  <c r="C815" i="5"/>
  <c r="G814" i="5"/>
  <c r="F814" i="5"/>
  <c r="E814" i="5"/>
  <c r="D814" i="5"/>
  <c r="C814" i="5"/>
  <c r="G813" i="5"/>
  <c r="F813" i="5"/>
  <c r="D813" i="5"/>
  <c r="E813" i="5" s="1"/>
  <c r="C813" i="5"/>
  <c r="G812" i="5"/>
  <c r="F812" i="5"/>
  <c r="E812" i="5"/>
  <c r="D812" i="5"/>
  <c r="C812" i="5"/>
  <c r="G811" i="5"/>
  <c r="F811" i="5"/>
  <c r="E811" i="5"/>
  <c r="D811" i="5"/>
  <c r="C811" i="5"/>
  <c r="G810" i="5"/>
  <c r="F810" i="5"/>
  <c r="D810" i="5"/>
  <c r="E810" i="5" s="1"/>
  <c r="C810" i="5"/>
  <c r="G809" i="5"/>
  <c r="F809" i="5"/>
  <c r="E809" i="5"/>
  <c r="D809" i="5"/>
  <c r="C809" i="5"/>
  <c r="G808" i="5"/>
  <c r="F808" i="5"/>
  <c r="E808" i="5"/>
  <c r="D808" i="5"/>
  <c r="C808" i="5"/>
  <c r="G807" i="5"/>
  <c r="F807" i="5"/>
  <c r="E807" i="5"/>
  <c r="D807" i="5"/>
  <c r="C807" i="5"/>
  <c r="G806" i="5"/>
  <c r="F806" i="5"/>
  <c r="D806" i="5"/>
  <c r="E806" i="5" s="1"/>
  <c r="C806" i="5"/>
  <c r="G805" i="5"/>
  <c r="F805" i="5"/>
  <c r="D805" i="5"/>
  <c r="E805" i="5" s="1"/>
  <c r="C805" i="5"/>
  <c r="G804" i="5"/>
  <c r="F804" i="5"/>
  <c r="E804" i="5"/>
  <c r="D804" i="5"/>
  <c r="C804" i="5"/>
  <c r="G803" i="5"/>
  <c r="F803" i="5"/>
  <c r="E803" i="5"/>
  <c r="D803" i="5"/>
  <c r="C803" i="5"/>
  <c r="G802" i="5"/>
  <c r="F802" i="5"/>
  <c r="D802" i="5"/>
  <c r="E802" i="5" s="1"/>
  <c r="C802" i="5"/>
  <c r="G801" i="5"/>
  <c r="F801" i="5"/>
  <c r="D801" i="5"/>
  <c r="E801" i="5" s="1"/>
  <c r="C801" i="5"/>
  <c r="G800" i="5"/>
  <c r="F800" i="5"/>
  <c r="E800" i="5"/>
  <c r="D800" i="5"/>
  <c r="C800" i="5"/>
  <c r="G799" i="5"/>
  <c r="F799" i="5"/>
  <c r="E799" i="5"/>
  <c r="D799" i="5"/>
  <c r="C799" i="5"/>
  <c r="G798" i="5"/>
  <c r="F798" i="5"/>
  <c r="E798" i="5"/>
  <c r="D798" i="5"/>
  <c r="C798" i="5"/>
  <c r="G797" i="5"/>
  <c r="F797" i="5"/>
  <c r="D797" i="5"/>
  <c r="E797" i="5" s="1"/>
  <c r="C797" i="5"/>
  <c r="G796" i="5"/>
  <c r="F796" i="5"/>
  <c r="E796" i="5"/>
  <c r="D796" i="5"/>
  <c r="C796" i="5"/>
  <c r="G795" i="5"/>
  <c r="F795" i="5"/>
  <c r="E795" i="5"/>
  <c r="D795" i="5"/>
  <c r="C795" i="5"/>
  <c r="G794" i="5"/>
  <c r="F794" i="5"/>
  <c r="D794" i="5"/>
  <c r="E794" i="5" s="1"/>
  <c r="C794" i="5"/>
  <c r="G793" i="5"/>
  <c r="F793" i="5"/>
  <c r="D793" i="5"/>
  <c r="E793" i="5" s="1"/>
  <c r="C793" i="5"/>
  <c r="G792" i="5"/>
  <c r="F792" i="5"/>
  <c r="E792" i="5"/>
  <c r="D792" i="5"/>
  <c r="C792" i="5"/>
  <c r="G791" i="5"/>
  <c r="F791" i="5"/>
  <c r="E791" i="5"/>
  <c r="D791" i="5"/>
  <c r="C791" i="5"/>
  <c r="G790" i="5"/>
  <c r="F790" i="5"/>
  <c r="D790" i="5"/>
  <c r="E790" i="5" s="1"/>
  <c r="C790" i="5"/>
  <c r="G789" i="5"/>
  <c r="F789" i="5"/>
  <c r="D789" i="5"/>
  <c r="E789" i="5" s="1"/>
  <c r="C789" i="5"/>
  <c r="G788" i="5"/>
  <c r="F788" i="5"/>
  <c r="E788" i="5"/>
  <c r="D788" i="5"/>
  <c r="C788" i="5"/>
  <c r="G787" i="5"/>
  <c r="F787" i="5"/>
  <c r="E787" i="5"/>
  <c r="D787" i="5"/>
  <c r="C787" i="5"/>
  <c r="G786" i="5"/>
  <c r="F786" i="5"/>
  <c r="D786" i="5"/>
  <c r="E786" i="5" s="1"/>
  <c r="C786" i="5"/>
  <c r="G785" i="5"/>
  <c r="F785" i="5"/>
  <c r="D785" i="5"/>
  <c r="E785" i="5" s="1"/>
  <c r="C785" i="5"/>
  <c r="G784" i="5"/>
  <c r="F784" i="5"/>
  <c r="E784" i="5"/>
  <c r="D784" i="5"/>
  <c r="C784" i="5"/>
  <c r="G783" i="5"/>
  <c r="F783" i="5"/>
  <c r="E783" i="5"/>
  <c r="D783" i="5"/>
  <c r="C783" i="5"/>
  <c r="G782" i="5"/>
  <c r="F782" i="5"/>
  <c r="E782" i="5"/>
  <c r="D782" i="5"/>
  <c r="C782" i="5"/>
  <c r="G781" i="5"/>
  <c r="F781" i="5"/>
  <c r="D781" i="5"/>
  <c r="E781" i="5" s="1"/>
  <c r="C781" i="5"/>
  <c r="G780" i="5"/>
  <c r="F780" i="5"/>
  <c r="E780" i="5"/>
  <c r="D780" i="5"/>
  <c r="C780" i="5"/>
  <c r="G779" i="5"/>
  <c r="F779" i="5"/>
  <c r="E779" i="5"/>
  <c r="D779" i="5"/>
  <c r="C779" i="5"/>
  <c r="G778" i="5"/>
  <c r="F778" i="5"/>
  <c r="D778" i="5"/>
  <c r="E778" i="5" s="1"/>
  <c r="C778" i="5"/>
  <c r="G777" i="5"/>
  <c r="F777" i="5"/>
  <c r="D777" i="5"/>
  <c r="E777" i="5" s="1"/>
  <c r="C777" i="5"/>
  <c r="G776" i="5"/>
  <c r="F776" i="5"/>
  <c r="E776" i="5"/>
  <c r="D776" i="5"/>
  <c r="C776" i="5"/>
  <c r="G775" i="5"/>
  <c r="F775" i="5"/>
  <c r="E775" i="5"/>
  <c r="D775" i="5"/>
  <c r="C775" i="5"/>
  <c r="G774" i="5"/>
  <c r="F774" i="5"/>
  <c r="D774" i="5"/>
  <c r="E774" i="5" s="1"/>
  <c r="C774" i="5"/>
  <c r="G773" i="5"/>
  <c r="F773" i="5"/>
  <c r="D773" i="5"/>
  <c r="E773" i="5" s="1"/>
  <c r="C773" i="5"/>
  <c r="G772" i="5"/>
  <c r="F772" i="5"/>
  <c r="E772" i="5"/>
  <c r="D772" i="5"/>
  <c r="C772" i="5"/>
  <c r="G771" i="5"/>
  <c r="F771" i="5"/>
  <c r="E771" i="5"/>
  <c r="D771" i="5"/>
  <c r="C771" i="5"/>
  <c r="G770" i="5"/>
  <c r="F770" i="5"/>
  <c r="D770" i="5"/>
  <c r="E770" i="5" s="1"/>
  <c r="C770" i="5"/>
  <c r="G769" i="5"/>
  <c r="F769" i="5"/>
  <c r="D769" i="5"/>
  <c r="E769" i="5" s="1"/>
  <c r="C769" i="5"/>
  <c r="G768" i="5"/>
  <c r="F768" i="5"/>
  <c r="E768" i="5"/>
  <c r="D768" i="5"/>
  <c r="C768" i="5"/>
  <c r="G767" i="5"/>
  <c r="F767" i="5"/>
  <c r="E767" i="5"/>
  <c r="D767" i="5"/>
  <c r="C767" i="5"/>
  <c r="G766" i="5"/>
  <c r="F766" i="5"/>
  <c r="E766" i="5"/>
  <c r="D766" i="5"/>
  <c r="C766" i="5"/>
  <c r="G765" i="5"/>
  <c r="F765" i="5"/>
  <c r="D765" i="5"/>
  <c r="E765" i="5" s="1"/>
  <c r="C765" i="5"/>
  <c r="G764" i="5"/>
  <c r="F764" i="5"/>
  <c r="E764" i="5"/>
  <c r="D764" i="5"/>
  <c r="C764" i="5"/>
  <c r="G763" i="5"/>
  <c r="F763" i="5"/>
  <c r="E763" i="5"/>
  <c r="D763" i="5"/>
  <c r="C763" i="5"/>
  <c r="G762" i="5"/>
  <c r="F762" i="5"/>
  <c r="D762" i="5"/>
  <c r="E762" i="5" s="1"/>
  <c r="C762" i="5"/>
  <c r="G761" i="5"/>
  <c r="F761" i="5"/>
  <c r="E761" i="5"/>
  <c r="D761" i="5"/>
  <c r="C761" i="5"/>
  <c r="G760" i="5"/>
  <c r="F760" i="5"/>
  <c r="E760" i="5"/>
  <c r="D760" i="5"/>
  <c r="C760" i="5"/>
  <c r="G759" i="5"/>
  <c r="F759" i="5"/>
  <c r="E759" i="5"/>
  <c r="D759" i="5"/>
  <c r="C759" i="5"/>
  <c r="G758" i="5"/>
  <c r="F758" i="5"/>
  <c r="D758" i="5"/>
  <c r="E758" i="5" s="1"/>
  <c r="C758" i="5"/>
  <c r="G757" i="5"/>
  <c r="F757" i="5"/>
  <c r="D757" i="5"/>
  <c r="E757" i="5" s="1"/>
  <c r="C757" i="5"/>
  <c r="G756" i="5"/>
  <c r="F756" i="5"/>
  <c r="E756" i="5"/>
  <c r="D756" i="5"/>
  <c r="C756" i="5"/>
  <c r="G755" i="5"/>
  <c r="F755" i="5"/>
  <c r="E755" i="5"/>
  <c r="D755" i="5"/>
  <c r="C755" i="5"/>
  <c r="G754" i="5"/>
  <c r="F754" i="5"/>
  <c r="D754" i="5"/>
  <c r="E754" i="5" s="1"/>
  <c r="C754" i="5"/>
  <c r="G753" i="5"/>
  <c r="F753" i="5"/>
  <c r="D753" i="5"/>
  <c r="E753" i="5" s="1"/>
  <c r="C753" i="5"/>
  <c r="G752" i="5"/>
  <c r="F752" i="5"/>
  <c r="E752" i="5"/>
  <c r="D752" i="5"/>
  <c r="C752" i="5"/>
  <c r="G751" i="5"/>
  <c r="F751" i="5"/>
  <c r="E751" i="5"/>
  <c r="D751" i="5"/>
  <c r="C751" i="5"/>
  <c r="G750" i="5"/>
  <c r="F750" i="5"/>
  <c r="E750" i="5"/>
  <c r="D750" i="5"/>
  <c r="C750" i="5"/>
  <c r="G749" i="5"/>
  <c r="F749" i="5"/>
  <c r="D749" i="5"/>
  <c r="E749" i="5" s="1"/>
  <c r="C749" i="5"/>
  <c r="G748" i="5"/>
  <c r="F748" i="5"/>
  <c r="E748" i="5"/>
  <c r="D748" i="5"/>
  <c r="C748" i="5"/>
  <c r="G747" i="5"/>
  <c r="F747" i="5"/>
  <c r="E747" i="5"/>
  <c r="D747" i="5"/>
  <c r="C747" i="5"/>
  <c r="G746" i="5"/>
  <c r="F746" i="5"/>
  <c r="D746" i="5"/>
  <c r="E746" i="5" s="1"/>
  <c r="C746" i="5"/>
  <c r="G745" i="5"/>
  <c r="F745" i="5"/>
  <c r="D745" i="5"/>
  <c r="E745" i="5" s="1"/>
  <c r="C745" i="5"/>
  <c r="G744" i="5"/>
  <c r="F744" i="5"/>
  <c r="E744" i="5"/>
  <c r="D744" i="5"/>
  <c r="C744" i="5"/>
  <c r="G743" i="5"/>
  <c r="F743" i="5"/>
  <c r="E743" i="5"/>
  <c r="D743" i="5"/>
  <c r="C743" i="5"/>
  <c r="G742" i="5"/>
  <c r="F742" i="5"/>
  <c r="D742" i="5"/>
  <c r="E742" i="5" s="1"/>
  <c r="C742" i="5"/>
  <c r="G741" i="5"/>
  <c r="F741" i="5"/>
  <c r="D741" i="5"/>
  <c r="E741" i="5" s="1"/>
  <c r="C741" i="5"/>
  <c r="G740" i="5"/>
  <c r="F740" i="5"/>
  <c r="E740" i="5"/>
  <c r="D740" i="5"/>
  <c r="C740" i="5"/>
  <c r="G739" i="5"/>
  <c r="F739" i="5"/>
  <c r="E739" i="5"/>
  <c r="D739" i="5"/>
  <c r="C739" i="5"/>
  <c r="G738" i="5"/>
  <c r="F738" i="5"/>
  <c r="D738" i="5"/>
  <c r="E738" i="5" s="1"/>
  <c r="C738" i="5"/>
  <c r="G737" i="5"/>
  <c r="F737" i="5"/>
  <c r="D737" i="5"/>
  <c r="E737" i="5" s="1"/>
  <c r="C737" i="5"/>
  <c r="G736" i="5"/>
  <c r="F736" i="5"/>
  <c r="E736" i="5"/>
  <c r="D736" i="5"/>
  <c r="C736" i="5"/>
  <c r="G735" i="5"/>
  <c r="F735" i="5"/>
  <c r="E735" i="5"/>
  <c r="D735" i="5"/>
  <c r="C735" i="5"/>
  <c r="G734" i="5"/>
  <c r="F734" i="5"/>
  <c r="E734" i="5"/>
  <c r="D734" i="5"/>
  <c r="C734" i="5"/>
  <c r="G733" i="5"/>
  <c r="F733" i="5"/>
  <c r="D733" i="5"/>
  <c r="E733" i="5" s="1"/>
  <c r="C733" i="5"/>
  <c r="G732" i="5"/>
  <c r="F732" i="5"/>
  <c r="E732" i="5"/>
  <c r="D732" i="5"/>
  <c r="C732" i="5"/>
  <c r="G731" i="5"/>
  <c r="F731" i="5"/>
  <c r="E731" i="5"/>
  <c r="D731" i="5"/>
  <c r="C731" i="5"/>
  <c r="G730" i="5"/>
  <c r="F730" i="5"/>
  <c r="D730" i="5"/>
  <c r="E730" i="5" s="1"/>
  <c r="C730" i="5"/>
  <c r="G729" i="5"/>
  <c r="F729" i="5"/>
  <c r="D729" i="5"/>
  <c r="E729" i="5" s="1"/>
  <c r="C729" i="5"/>
  <c r="G728" i="5"/>
  <c r="F728" i="5"/>
  <c r="E728" i="5"/>
  <c r="D728" i="5"/>
  <c r="C728" i="5"/>
  <c r="G727" i="5"/>
  <c r="F727" i="5"/>
  <c r="E727" i="5"/>
  <c r="D727" i="5"/>
  <c r="C727" i="5"/>
  <c r="G726" i="5"/>
  <c r="F726" i="5"/>
  <c r="D726" i="5"/>
  <c r="E726" i="5" s="1"/>
  <c r="C726" i="5"/>
  <c r="G725" i="5"/>
  <c r="F725" i="5"/>
  <c r="D725" i="5"/>
  <c r="E725" i="5" s="1"/>
  <c r="C725" i="5"/>
  <c r="G724" i="5"/>
  <c r="F724" i="5"/>
  <c r="E724" i="5"/>
  <c r="D724" i="5"/>
  <c r="C724" i="5"/>
  <c r="G723" i="5"/>
  <c r="F723" i="5"/>
  <c r="E723" i="5"/>
  <c r="D723" i="5"/>
  <c r="C723" i="5"/>
  <c r="G722" i="5"/>
  <c r="F722" i="5"/>
  <c r="D722" i="5"/>
  <c r="E722" i="5" s="1"/>
  <c r="C722" i="5"/>
  <c r="G721" i="5"/>
  <c r="F721" i="5"/>
  <c r="D721" i="5"/>
  <c r="E721" i="5" s="1"/>
  <c r="C721" i="5"/>
  <c r="G720" i="5"/>
  <c r="F720" i="5"/>
  <c r="E720" i="5"/>
  <c r="D720" i="5"/>
  <c r="C720" i="5"/>
  <c r="G719" i="5"/>
  <c r="F719" i="5"/>
  <c r="E719" i="5"/>
  <c r="D719" i="5"/>
  <c r="C719" i="5"/>
  <c r="G718" i="5"/>
  <c r="F718" i="5"/>
  <c r="E718" i="5"/>
  <c r="D718" i="5"/>
  <c r="C718" i="5"/>
  <c r="G717" i="5"/>
  <c r="F717" i="5"/>
  <c r="D717" i="5"/>
  <c r="E717" i="5" s="1"/>
  <c r="C717" i="5"/>
  <c r="G716" i="5"/>
  <c r="F716" i="5"/>
  <c r="E716" i="5"/>
  <c r="D716" i="5"/>
  <c r="C716" i="5"/>
  <c r="G715" i="5"/>
  <c r="F715" i="5"/>
  <c r="E715" i="5"/>
  <c r="D715" i="5"/>
  <c r="C715" i="5"/>
  <c r="G714" i="5"/>
  <c r="F714" i="5"/>
  <c r="D714" i="5"/>
  <c r="E714" i="5" s="1"/>
  <c r="C714" i="5"/>
  <c r="G713" i="5"/>
  <c r="F713" i="5"/>
  <c r="D713" i="5"/>
  <c r="E713" i="5" s="1"/>
  <c r="C713" i="5"/>
  <c r="G712" i="5"/>
  <c r="F712" i="5"/>
  <c r="E712" i="5"/>
  <c r="D712" i="5"/>
  <c r="C712" i="5"/>
  <c r="G711" i="5"/>
  <c r="F711" i="5"/>
  <c r="E711" i="5"/>
  <c r="D711" i="5"/>
  <c r="C711" i="5"/>
  <c r="G710" i="5"/>
  <c r="F710" i="5"/>
  <c r="D710" i="5"/>
  <c r="E710" i="5" s="1"/>
  <c r="C710" i="5"/>
  <c r="G709" i="5"/>
  <c r="F709" i="5"/>
  <c r="D709" i="5"/>
  <c r="E709" i="5" s="1"/>
  <c r="C709" i="5"/>
  <c r="G708" i="5"/>
  <c r="F708" i="5"/>
  <c r="E708" i="5"/>
  <c r="D708" i="5"/>
  <c r="C708" i="5"/>
  <c r="G707" i="5"/>
  <c r="F707" i="5"/>
  <c r="E707" i="5"/>
  <c r="D707" i="5"/>
  <c r="C707" i="5"/>
  <c r="G706" i="5"/>
  <c r="F706" i="5"/>
  <c r="D706" i="5"/>
  <c r="E706" i="5" s="1"/>
  <c r="C706" i="5"/>
  <c r="G705" i="5"/>
  <c r="F705" i="5"/>
  <c r="D705" i="5"/>
  <c r="E705" i="5" s="1"/>
  <c r="C705" i="5"/>
  <c r="G704" i="5"/>
  <c r="F704" i="5"/>
  <c r="E704" i="5"/>
  <c r="D704" i="5"/>
  <c r="C704" i="5"/>
  <c r="G703" i="5"/>
  <c r="F703" i="5"/>
  <c r="E703" i="5"/>
  <c r="D703" i="5"/>
  <c r="C703" i="5"/>
  <c r="G702" i="5"/>
  <c r="F702" i="5"/>
  <c r="E702" i="5"/>
  <c r="D702" i="5"/>
  <c r="C702" i="5"/>
  <c r="G701" i="5"/>
  <c r="F701" i="5"/>
  <c r="D701" i="5"/>
  <c r="E701" i="5" s="1"/>
  <c r="C701" i="5"/>
  <c r="G700" i="5"/>
  <c r="F700" i="5"/>
  <c r="D700" i="5"/>
  <c r="E700" i="5" s="1"/>
  <c r="C700" i="5"/>
  <c r="G699" i="5"/>
  <c r="F699" i="5"/>
  <c r="E699" i="5"/>
  <c r="D699" i="5"/>
  <c r="C699" i="5"/>
  <c r="G698" i="5"/>
  <c r="F698" i="5"/>
  <c r="D698" i="5"/>
  <c r="E698" i="5" s="1"/>
  <c r="C698" i="5"/>
  <c r="G697" i="5"/>
  <c r="F697" i="5"/>
  <c r="D697" i="5"/>
  <c r="E697" i="5" s="1"/>
  <c r="C697" i="5"/>
  <c r="G696" i="5"/>
  <c r="F696" i="5"/>
  <c r="E696" i="5"/>
  <c r="D696" i="5"/>
  <c r="C696" i="5"/>
  <c r="G695" i="5"/>
  <c r="F695" i="5"/>
  <c r="E695" i="5"/>
  <c r="D695" i="5"/>
  <c r="C695" i="5"/>
  <c r="G694" i="5"/>
  <c r="F694" i="5"/>
  <c r="D694" i="5"/>
  <c r="E694" i="5" s="1"/>
  <c r="C694" i="5"/>
  <c r="G693" i="5"/>
  <c r="F693" i="5"/>
  <c r="D693" i="5"/>
  <c r="E693" i="5" s="1"/>
  <c r="C693" i="5"/>
  <c r="G692" i="5"/>
  <c r="F692" i="5"/>
  <c r="E692" i="5"/>
  <c r="D692" i="5"/>
  <c r="C692" i="5"/>
  <c r="G691" i="5"/>
  <c r="F691" i="5"/>
  <c r="E691" i="5"/>
  <c r="D691" i="5"/>
  <c r="C691" i="5"/>
  <c r="G690" i="5"/>
  <c r="F690" i="5"/>
  <c r="D690" i="5"/>
  <c r="E690" i="5" s="1"/>
  <c r="C690" i="5"/>
  <c r="G689" i="5"/>
  <c r="F689" i="5"/>
  <c r="D689" i="5"/>
  <c r="E689" i="5" s="1"/>
  <c r="C689" i="5"/>
  <c r="G688" i="5"/>
  <c r="F688" i="5"/>
  <c r="D688" i="5"/>
  <c r="E688" i="5" s="1"/>
  <c r="C688" i="5"/>
  <c r="G687" i="5"/>
  <c r="F687" i="5"/>
  <c r="E687" i="5"/>
  <c r="D687" i="5"/>
  <c r="C687" i="5"/>
  <c r="G686" i="5"/>
  <c r="F686" i="5"/>
  <c r="E686" i="5"/>
  <c r="D686" i="5"/>
  <c r="C686" i="5"/>
  <c r="G685" i="5"/>
  <c r="F685" i="5"/>
  <c r="D685" i="5"/>
  <c r="E685" i="5" s="1"/>
  <c r="C685" i="5"/>
  <c r="G684" i="5"/>
  <c r="F684" i="5"/>
  <c r="D684" i="5"/>
  <c r="E684" i="5" s="1"/>
  <c r="C684" i="5"/>
  <c r="G683" i="5"/>
  <c r="F683" i="5"/>
  <c r="E683" i="5"/>
  <c r="D683" i="5"/>
  <c r="C683" i="5"/>
  <c r="G682" i="5"/>
  <c r="F682" i="5"/>
  <c r="D682" i="5"/>
  <c r="E682" i="5" s="1"/>
  <c r="C682" i="5"/>
  <c r="G681" i="5"/>
  <c r="F681" i="5"/>
  <c r="E681" i="5"/>
  <c r="D681" i="5"/>
  <c r="C681" i="5"/>
  <c r="G680" i="5"/>
  <c r="F680" i="5"/>
  <c r="E680" i="5"/>
  <c r="D680" i="5"/>
  <c r="C680" i="5"/>
  <c r="G679" i="5"/>
  <c r="F679" i="5"/>
  <c r="E679" i="5"/>
  <c r="D679" i="5"/>
  <c r="C679" i="5"/>
  <c r="G678" i="5"/>
  <c r="F678" i="5"/>
  <c r="D678" i="5"/>
  <c r="E678" i="5" s="1"/>
  <c r="C678" i="5"/>
  <c r="G677" i="5"/>
  <c r="F677" i="5"/>
  <c r="D677" i="5"/>
  <c r="E677" i="5" s="1"/>
  <c r="C677" i="5"/>
  <c r="G676" i="5"/>
  <c r="F676" i="5"/>
  <c r="E676" i="5"/>
  <c r="D676" i="5"/>
  <c r="C676" i="5"/>
  <c r="G675" i="5"/>
  <c r="F675" i="5"/>
  <c r="E675" i="5"/>
  <c r="D675" i="5"/>
  <c r="C675" i="5"/>
  <c r="G674" i="5"/>
  <c r="F674" i="5"/>
  <c r="D674" i="5"/>
  <c r="E674" i="5" s="1"/>
  <c r="C674" i="5"/>
  <c r="G673" i="5"/>
  <c r="F673" i="5"/>
  <c r="D673" i="5"/>
  <c r="E673" i="5" s="1"/>
  <c r="C673" i="5"/>
  <c r="G672" i="5"/>
  <c r="F672" i="5"/>
  <c r="E672" i="5"/>
  <c r="D672" i="5"/>
  <c r="C672" i="5"/>
  <c r="G671" i="5"/>
  <c r="F671" i="5"/>
  <c r="E671" i="5"/>
  <c r="D671" i="5"/>
  <c r="C671" i="5"/>
  <c r="G670" i="5"/>
  <c r="F670" i="5"/>
  <c r="E670" i="5"/>
  <c r="D670" i="5"/>
  <c r="C670" i="5"/>
  <c r="G669" i="5"/>
  <c r="F669" i="5"/>
  <c r="D669" i="5"/>
  <c r="E669" i="5" s="1"/>
  <c r="C669" i="5"/>
  <c r="G668" i="5"/>
  <c r="F668" i="5"/>
  <c r="D668" i="5"/>
  <c r="E668" i="5" s="1"/>
  <c r="C668" i="5"/>
  <c r="G667" i="5"/>
  <c r="F667" i="5"/>
  <c r="E667" i="5"/>
  <c r="D667" i="5"/>
  <c r="C667" i="5"/>
  <c r="G666" i="5"/>
  <c r="F666" i="5"/>
  <c r="D666" i="5"/>
  <c r="E666" i="5" s="1"/>
  <c r="C666" i="5"/>
  <c r="G665" i="5"/>
  <c r="F665" i="5"/>
  <c r="D665" i="5"/>
  <c r="E665" i="5" s="1"/>
  <c r="C665" i="5"/>
  <c r="G664" i="5"/>
  <c r="F664" i="5"/>
  <c r="D664" i="5"/>
  <c r="E664" i="5" s="1"/>
  <c r="C664" i="5"/>
  <c r="G663" i="5"/>
  <c r="F663" i="5"/>
  <c r="E663" i="5"/>
  <c r="D663" i="5"/>
  <c r="C663" i="5"/>
  <c r="G662" i="5"/>
  <c r="F662" i="5"/>
  <c r="D662" i="5"/>
  <c r="E662" i="5" s="1"/>
  <c r="C662" i="5"/>
  <c r="G661" i="5"/>
  <c r="F661" i="5"/>
  <c r="D661" i="5"/>
  <c r="E661" i="5" s="1"/>
  <c r="C661" i="5"/>
  <c r="G660" i="5"/>
  <c r="F660" i="5"/>
  <c r="E660" i="5"/>
  <c r="D660" i="5"/>
  <c r="C660" i="5"/>
  <c r="G659" i="5"/>
  <c r="F659" i="5"/>
  <c r="E659" i="5"/>
  <c r="D659" i="5"/>
  <c r="C659" i="5"/>
  <c r="G658" i="5"/>
  <c r="F658" i="5"/>
  <c r="D658" i="5"/>
  <c r="E658" i="5" s="1"/>
  <c r="C658" i="5"/>
  <c r="G657" i="5"/>
  <c r="F657" i="5"/>
  <c r="D657" i="5"/>
  <c r="E657" i="5" s="1"/>
  <c r="C657" i="5"/>
  <c r="G656" i="5"/>
  <c r="F656" i="5"/>
  <c r="E656" i="5"/>
  <c r="D656" i="5"/>
  <c r="C656" i="5"/>
  <c r="G655" i="5"/>
  <c r="F655" i="5"/>
  <c r="E655" i="5"/>
  <c r="D655" i="5"/>
  <c r="C655" i="5"/>
  <c r="G654" i="5"/>
  <c r="F654" i="5"/>
  <c r="E654" i="5"/>
  <c r="D654" i="5"/>
  <c r="C654" i="5"/>
  <c r="G653" i="5"/>
  <c r="F653" i="5"/>
  <c r="D653" i="5"/>
  <c r="E653" i="5" s="1"/>
  <c r="C653" i="5"/>
  <c r="G652" i="5"/>
  <c r="F652" i="5"/>
  <c r="D652" i="5"/>
  <c r="E652" i="5" s="1"/>
  <c r="C652" i="5"/>
  <c r="G651" i="5"/>
  <c r="F651" i="5"/>
  <c r="E651" i="5"/>
  <c r="D651" i="5"/>
  <c r="C651" i="5"/>
  <c r="G650" i="5"/>
  <c r="F650" i="5"/>
  <c r="D650" i="5"/>
  <c r="E650" i="5" s="1"/>
  <c r="C650" i="5"/>
  <c r="G649" i="5"/>
  <c r="F649" i="5"/>
  <c r="D649" i="5"/>
  <c r="E649" i="5" s="1"/>
  <c r="C649" i="5"/>
  <c r="G648" i="5"/>
  <c r="F648" i="5"/>
  <c r="E648" i="5"/>
  <c r="D648" i="5"/>
  <c r="C648" i="5"/>
  <c r="G647" i="5"/>
  <c r="F647" i="5"/>
  <c r="E647" i="5"/>
  <c r="D647" i="5"/>
  <c r="C647" i="5"/>
  <c r="G646" i="5"/>
  <c r="F646" i="5"/>
  <c r="D646" i="5"/>
  <c r="E646" i="5" s="1"/>
  <c r="C646" i="5"/>
  <c r="G645" i="5"/>
  <c r="F645" i="5"/>
  <c r="D645" i="5"/>
  <c r="E645" i="5" s="1"/>
  <c r="C645" i="5"/>
  <c r="G644" i="5"/>
  <c r="F644" i="5"/>
  <c r="E644" i="5"/>
  <c r="D644" i="5"/>
  <c r="C644" i="5"/>
  <c r="G643" i="5"/>
  <c r="F643" i="5"/>
  <c r="E643" i="5"/>
  <c r="D643" i="5"/>
  <c r="C643" i="5"/>
  <c r="G642" i="5"/>
  <c r="F642" i="5"/>
  <c r="D642" i="5"/>
  <c r="E642" i="5" s="1"/>
  <c r="C642" i="5"/>
  <c r="G641" i="5"/>
  <c r="F641" i="5"/>
  <c r="D641" i="5"/>
  <c r="E641" i="5" s="1"/>
  <c r="C641" i="5"/>
  <c r="G640" i="5"/>
  <c r="F640" i="5"/>
  <c r="D640" i="5"/>
  <c r="E640" i="5" s="1"/>
  <c r="C640" i="5"/>
  <c r="G639" i="5"/>
  <c r="F639" i="5"/>
  <c r="E639" i="5"/>
  <c r="D639" i="5"/>
  <c r="C639" i="5"/>
  <c r="G638" i="5"/>
  <c r="F638" i="5"/>
  <c r="E638" i="5"/>
  <c r="D638" i="5"/>
  <c r="C638" i="5"/>
  <c r="G637" i="5"/>
  <c r="F637" i="5"/>
  <c r="D637" i="5"/>
  <c r="E637" i="5" s="1"/>
  <c r="C637" i="5"/>
  <c r="G636" i="5"/>
  <c r="F636" i="5"/>
  <c r="E636" i="5"/>
  <c r="D636" i="5"/>
  <c r="C636" i="5"/>
  <c r="G635" i="5"/>
  <c r="F635" i="5"/>
  <c r="E635" i="5"/>
  <c r="D635" i="5"/>
  <c r="C635" i="5"/>
  <c r="G634" i="5"/>
  <c r="F634" i="5"/>
  <c r="D634" i="5"/>
  <c r="E634" i="5" s="1"/>
  <c r="C634" i="5"/>
  <c r="G633" i="5"/>
  <c r="F633" i="5"/>
  <c r="E633" i="5"/>
  <c r="D633" i="5"/>
  <c r="C633" i="5"/>
  <c r="G632" i="5"/>
  <c r="F632" i="5"/>
  <c r="E632" i="5"/>
  <c r="D632" i="5"/>
  <c r="C632" i="5"/>
  <c r="G631" i="5"/>
  <c r="F631" i="5"/>
  <c r="E631" i="5"/>
  <c r="D631" i="5"/>
  <c r="C631" i="5"/>
  <c r="G630" i="5"/>
  <c r="F630" i="5"/>
  <c r="D630" i="5"/>
  <c r="E630" i="5" s="1"/>
  <c r="C630" i="5"/>
  <c r="G629" i="5"/>
  <c r="F629" i="5"/>
  <c r="D629" i="5"/>
  <c r="E629" i="5" s="1"/>
  <c r="C629" i="5"/>
  <c r="G628" i="5"/>
  <c r="F628" i="5"/>
  <c r="E628" i="5"/>
  <c r="D628" i="5"/>
  <c r="C628" i="5"/>
  <c r="G627" i="5"/>
  <c r="F627" i="5"/>
  <c r="E627" i="5"/>
  <c r="D627" i="5"/>
  <c r="C627" i="5"/>
  <c r="G626" i="5"/>
  <c r="F626" i="5"/>
  <c r="D626" i="5"/>
  <c r="E626" i="5" s="1"/>
  <c r="C626" i="5"/>
  <c r="G625" i="5"/>
  <c r="F625" i="5"/>
  <c r="D625" i="5"/>
  <c r="E625" i="5" s="1"/>
  <c r="C625" i="5"/>
  <c r="G624" i="5"/>
  <c r="F624" i="5"/>
  <c r="E624" i="5"/>
  <c r="D624" i="5"/>
  <c r="C624" i="5"/>
  <c r="G623" i="5"/>
  <c r="F623" i="5"/>
  <c r="E623" i="5"/>
  <c r="D623" i="5"/>
  <c r="C623" i="5"/>
  <c r="G622" i="5"/>
  <c r="F622" i="5"/>
  <c r="E622" i="5"/>
  <c r="D622" i="5"/>
  <c r="C622" i="5"/>
  <c r="G621" i="5"/>
  <c r="F621" i="5"/>
  <c r="D621" i="5"/>
  <c r="E621" i="5" s="1"/>
  <c r="C621" i="5"/>
  <c r="G620" i="5"/>
  <c r="F620" i="5"/>
  <c r="D620" i="5"/>
  <c r="E620" i="5" s="1"/>
  <c r="C620" i="5"/>
  <c r="G619" i="5"/>
  <c r="F619" i="5"/>
  <c r="E619" i="5"/>
  <c r="D619" i="5"/>
  <c r="C619" i="5"/>
  <c r="G618" i="5"/>
  <c r="F618" i="5"/>
  <c r="D618" i="5"/>
  <c r="E618" i="5" s="1"/>
  <c r="C618" i="5"/>
  <c r="G617" i="5"/>
  <c r="F617" i="5"/>
  <c r="D617" i="5"/>
  <c r="E617" i="5" s="1"/>
  <c r="C617" i="5"/>
  <c r="G616" i="5"/>
  <c r="F616" i="5"/>
  <c r="D616" i="5"/>
  <c r="E616" i="5" s="1"/>
  <c r="C616" i="5"/>
  <c r="G615" i="5"/>
  <c r="F615" i="5"/>
  <c r="E615" i="5"/>
  <c r="D615" i="5"/>
  <c r="C615" i="5"/>
  <c r="G614" i="5"/>
  <c r="F614" i="5"/>
  <c r="D614" i="5"/>
  <c r="E614" i="5" s="1"/>
  <c r="C614" i="5"/>
  <c r="G613" i="5"/>
  <c r="F613" i="5"/>
  <c r="D613" i="5"/>
  <c r="E613" i="5" s="1"/>
  <c r="C613" i="5"/>
  <c r="G612" i="5"/>
  <c r="F612" i="5"/>
  <c r="D612" i="5"/>
  <c r="E612" i="5" s="1"/>
  <c r="C612" i="5"/>
  <c r="G611" i="5"/>
  <c r="F611" i="5"/>
  <c r="E611" i="5"/>
  <c r="D611" i="5"/>
  <c r="C611" i="5"/>
  <c r="G610" i="5"/>
  <c r="F610" i="5"/>
  <c r="D610" i="5"/>
  <c r="E610" i="5" s="1"/>
  <c r="C610" i="5"/>
  <c r="G609" i="5"/>
  <c r="F609" i="5"/>
  <c r="D609" i="5"/>
  <c r="E609" i="5" s="1"/>
  <c r="C609" i="5"/>
  <c r="G608" i="5"/>
  <c r="F608" i="5"/>
  <c r="E608" i="5"/>
  <c r="D608" i="5"/>
  <c r="C608" i="5"/>
  <c r="G607" i="5"/>
  <c r="F607" i="5"/>
  <c r="E607" i="5"/>
  <c r="D607" i="5"/>
  <c r="C607" i="5"/>
  <c r="G606" i="5"/>
  <c r="F606" i="5"/>
  <c r="E606" i="5"/>
  <c r="D606" i="5"/>
  <c r="C606" i="5"/>
  <c r="G605" i="5"/>
  <c r="F605" i="5"/>
  <c r="D605" i="5"/>
  <c r="E605" i="5" s="1"/>
  <c r="C605" i="5"/>
  <c r="G604" i="5"/>
  <c r="F604" i="5"/>
  <c r="D604" i="5"/>
  <c r="E604" i="5" s="1"/>
  <c r="C604" i="5"/>
  <c r="G603" i="5"/>
  <c r="F603" i="5"/>
  <c r="E603" i="5"/>
  <c r="D603" i="5"/>
  <c r="C603" i="5"/>
  <c r="G602" i="5"/>
  <c r="F602" i="5"/>
  <c r="D602" i="5"/>
  <c r="E602" i="5" s="1"/>
  <c r="C602" i="5"/>
  <c r="G601" i="5"/>
  <c r="F601" i="5"/>
  <c r="D601" i="5"/>
  <c r="E601" i="5" s="1"/>
  <c r="C601" i="5"/>
  <c r="G600" i="5"/>
  <c r="F600" i="5"/>
  <c r="E600" i="5"/>
  <c r="D600" i="5"/>
  <c r="C600" i="5"/>
  <c r="G599" i="5"/>
  <c r="F599" i="5"/>
  <c r="E599" i="5"/>
  <c r="D599" i="5"/>
  <c r="C599" i="5"/>
  <c r="G598" i="5"/>
  <c r="F598" i="5"/>
  <c r="D598" i="5"/>
  <c r="E598" i="5" s="1"/>
  <c r="C598" i="5"/>
  <c r="G597" i="5"/>
  <c r="F597" i="5"/>
  <c r="D597" i="5"/>
  <c r="E597" i="5" s="1"/>
  <c r="C597" i="5"/>
  <c r="G596" i="5"/>
  <c r="F596" i="5"/>
  <c r="E596" i="5"/>
  <c r="D596" i="5"/>
  <c r="C596" i="5"/>
  <c r="G595" i="5"/>
  <c r="F595" i="5"/>
  <c r="E595" i="5"/>
  <c r="D595" i="5"/>
  <c r="C595" i="5"/>
  <c r="G594" i="5"/>
  <c r="F594" i="5"/>
  <c r="D594" i="5"/>
  <c r="E594" i="5" s="1"/>
  <c r="C594" i="5"/>
  <c r="G593" i="5"/>
  <c r="F593" i="5"/>
  <c r="D593" i="5"/>
  <c r="E593" i="5" s="1"/>
  <c r="C593" i="5"/>
  <c r="G592" i="5"/>
  <c r="F592" i="5"/>
  <c r="E592" i="5"/>
  <c r="D592" i="5"/>
  <c r="C592" i="5"/>
  <c r="G591" i="5"/>
  <c r="F591" i="5"/>
  <c r="E591" i="5"/>
  <c r="D591" i="5"/>
  <c r="C591" i="5"/>
  <c r="G590" i="5"/>
  <c r="F590" i="5"/>
  <c r="E590" i="5"/>
  <c r="D590" i="5"/>
  <c r="C590" i="5"/>
  <c r="G589" i="5"/>
  <c r="F589" i="5"/>
  <c r="D589" i="5"/>
  <c r="E589" i="5" s="1"/>
  <c r="C589" i="5"/>
  <c r="G588" i="5"/>
  <c r="F588" i="5"/>
  <c r="E588" i="5"/>
  <c r="D588" i="5"/>
  <c r="C588" i="5"/>
  <c r="G587" i="5"/>
  <c r="F587" i="5"/>
  <c r="E587" i="5"/>
  <c r="D587" i="5"/>
  <c r="C587" i="5"/>
  <c r="G586" i="5"/>
  <c r="F586" i="5"/>
  <c r="D586" i="5"/>
  <c r="E586" i="5" s="1"/>
  <c r="C586" i="5"/>
  <c r="G585" i="5"/>
  <c r="F585" i="5"/>
  <c r="D585" i="5"/>
  <c r="E585" i="5" s="1"/>
  <c r="C585" i="5"/>
  <c r="G584" i="5"/>
  <c r="F584" i="5"/>
  <c r="E584" i="5"/>
  <c r="D584" i="5"/>
  <c r="C584" i="5"/>
  <c r="G583" i="5"/>
  <c r="F583" i="5"/>
  <c r="E583" i="5"/>
  <c r="D583" i="5"/>
  <c r="C583" i="5"/>
  <c r="G582" i="5"/>
  <c r="F582" i="5"/>
  <c r="D582" i="5"/>
  <c r="E582" i="5" s="1"/>
  <c r="C582" i="5"/>
  <c r="G581" i="5"/>
  <c r="F581" i="5"/>
  <c r="D581" i="5"/>
  <c r="E581" i="5" s="1"/>
  <c r="C581" i="5"/>
  <c r="G580" i="5"/>
  <c r="F580" i="5"/>
  <c r="E580" i="5"/>
  <c r="D580" i="5"/>
  <c r="C580" i="5"/>
  <c r="G579" i="5"/>
  <c r="F579" i="5"/>
  <c r="E579" i="5"/>
  <c r="D579" i="5"/>
  <c r="C579" i="5"/>
  <c r="G578" i="5"/>
  <c r="F578" i="5"/>
  <c r="D578" i="5"/>
  <c r="E578" i="5" s="1"/>
  <c r="C578" i="5"/>
  <c r="G577" i="5"/>
  <c r="F577" i="5"/>
  <c r="D577" i="5"/>
  <c r="E577" i="5" s="1"/>
  <c r="C577" i="5"/>
  <c r="G576" i="5"/>
  <c r="F576" i="5"/>
  <c r="E576" i="5"/>
  <c r="D576" i="5"/>
  <c r="C576" i="5"/>
  <c r="G575" i="5"/>
  <c r="F575" i="5"/>
  <c r="E575" i="5"/>
  <c r="D575" i="5"/>
  <c r="C575" i="5"/>
  <c r="G574" i="5"/>
  <c r="F574" i="5"/>
  <c r="E574" i="5"/>
  <c r="D574" i="5"/>
  <c r="C574" i="5"/>
  <c r="G573" i="5"/>
  <c r="F573" i="5"/>
  <c r="D573" i="5"/>
  <c r="E573" i="5" s="1"/>
  <c r="C573" i="5"/>
  <c r="G572" i="5"/>
  <c r="F572" i="5"/>
  <c r="D572" i="5"/>
  <c r="E572" i="5" s="1"/>
  <c r="C572" i="5"/>
  <c r="G571" i="5"/>
  <c r="F571" i="5"/>
  <c r="E571" i="5"/>
  <c r="D571" i="5"/>
  <c r="C571" i="5"/>
  <c r="G570" i="5"/>
  <c r="C21" i="6" s="1"/>
  <c r="F570" i="5"/>
  <c r="D570" i="5"/>
  <c r="E570" i="5" s="1"/>
  <c r="C570" i="5"/>
  <c r="G569" i="5"/>
  <c r="F569" i="5"/>
  <c r="D569" i="5"/>
  <c r="E569" i="5" s="1"/>
  <c r="C569" i="5"/>
  <c r="G568" i="5"/>
  <c r="F568" i="5"/>
  <c r="E568" i="5"/>
  <c r="D568" i="5"/>
  <c r="C568" i="5"/>
  <c r="G567" i="5"/>
  <c r="F567" i="5"/>
  <c r="E567" i="5"/>
  <c r="D567" i="5"/>
  <c r="C567" i="5"/>
  <c r="G566" i="5"/>
  <c r="F566" i="5"/>
  <c r="D566" i="5"/>
  <c r="E566" i="5" s="1"/>
  <c r="C566" i="5"/>
  <c r="G565" i="5"/>
  <c r="F565" i="5"/>
  <c r="D565" i="5"/>
  <c r="E565" i="5" s="1"/>
  <c r="C565" i="5"/>
  <c r="G564" i="5"/>
  <c r="F564" i="5"/>
  <c r="E564" i="5"/>
  <c r="D564" i="5"/>
  <c r="C564" i="5"/>
  <c r="G563" i="5"/>
  <c r="F563" i="5"/>
  <c r="E563" i="5"/>
  <c r="D563" i="5"/>
  <c r="C563" i="5"/>
  <c r="G562" i="5"/>
  <c r="F562" i="5"/>
  <c r="D562" i="5"/>
  <c r="E562" i="5" s="1"/>
  <c r="C562" i="5"/>
  <c r="G561" i="5"/>
  <c r="F561" i="5"/>
  <c r="D561" i="5"/>
  <c r="E561" i="5" s="1"/>
  <c r="C561" i="5"/>
  <c r="G560" i="5"/>
  <c r="F560" i="5"/>
  <c r="D560" i="5"/>
  <c r="E560" i="5" s="1"/>
  <c r="C560" i="5"/>
  <c r="G559" i="5"/>
  <c r="F559" i="5"/>
  <c r="E559" i="5"/>
  <c r="D559" i="5"/>
  <c r="C559" i="5"/>
  <c r="G558" i="5"/>
  <c r="F558" i="5"/>
  <c r="E558" i="5"/>
  <c r="D558" i="5"/>
  <c r="C558" i="5"/>
  <c r="G557" i="5"/>
  <c r="F557" i="5"/>
  <c r="D557" i="5"/>
  <c r="E557" i="5" s="1"/>
  <c r="C557" i="5"/>
  <c r="G556" i="5"/>
  <c r="F556" i="5"/>
  <c r="D556" i="5"/>
  <c r="E556" i="5" s="1"/>
  <c r="C556" i="5"/>
  <c r="G555" i="5"/>
  <c r="F555" i="5"/>
  <c r="E555" i="5"/>
  <c r="D555" i="5"/>
  <c r="C555" i="5"/>
  <c r="G554" i="5"/>
  <c r="F554" i="5"/>
  <c r="D554" i="5"/>
  <c r="E554" i="5" s="1"/>
  <c r="C554" i="5"/>
  <c r="G553" i="5"/>
  <c r="F553" i="5"/>
  <c r="E553" i="5"/>
  <c r="D553" i="5"/>
  <c r="C553" i="5"/>
  <c r="G552" i="5"/>
  <c r="F552" i="5"/>
  <c r="E552" i="5"/>
  <c r="D552" i="5"/>
  <c r="C552" i="5"/>
  <c r="G551" i="5"/>
  <c r="F551" i="5"/>
  <c r="E551" i="5"/>
  <c r="D551" i="5"/>
  <c r="C551" i="5"/>
  <c r="G550" i="5"/>
  <c r="F550" i="5"/>
  <c r="D550" i="5"/>
  <c r="E550" i="5" s="1"/>
  <c r="C550" i="5"/>
  <c r="G549" i="5"/>
  <c r="F549" i="5"/>
  <c r="D549" i="5"/>
  <c r="E549" i="5" s="1"/>
  <c r="C549" i="5"/>
  <c r="G548" i="5"/>
  <c r="F548" i="5"/>
  <c r="E548" i="5"/>
  <c r="D548" i="5"/>
  <c r="C548" i="5"/>
  <c r="G547" i="5"/>
  <c r="F547" i="5"/>
  <c r="E547" i="5"/>
  <c r="D547" i="5"/>
  <c r="C547" i="5"/>
  <c r="G546" i="5"/>
  <c r="F546" i="5"/>
  <c r="D546" i="5"/>
  <c r="E546" i="5" s="1"/>
  <c r="C546" i="5"/>
  <c r="G545" i="5"/>
  <c r="F545" i="5"/>
  <c r="D545" i="5"/>
  <c r="E545" i="5" s="1"/>
  <c r="C545" i="5"/>
  <c r="G544" i="5"/>
  <c r="F544" i="5"/>
  <c r="E544" i="5"/>
  <c r="D544" i="5"/>
  <c r="C544" i="5"/>
  <c r="G543" i="5"/>
  <c r="F543" i="5"/>
  <c r="E543" i="5"/>
  <c r="D543" i="5"/>
  <c r="C543" i="5"/>
  <c r="G542" i="5"/>
  <c r="F542" i="5"/>
  <c r="E542" i="5"/>
  <c r="D542" i="5"/>
  <c r="C542" i="5"/>
  <c r="G541" i="5"/>
  <c r="F541" i="5"/>
  <c r="D541" i="5"/>
  <c r="E541" i="5" s="1"/>
  <c r="C541" i="5"/>
  <c r="G540" i="5"/>
  <c r="F540" i="5"/>
  <c r="D540" i="5"/>
  <c r="E540" i="5" s="1"/>
  <c r="C540" i="5"/>
  <c r="G539" i="5"/>
  <c r="F539" i="5"/>
  <c r="E539" i="5"/>
  <c r="D539" i="5"/>
  <c r="C539" i="5"/>
  <c r="G538" i="5"/>
  <c r="F538" i="5"/>
  <c r="D538" i="5"/>
  <c r="E538" i="5" s="1"/>
  <c r="C538" i="5"/>
  <c r="G537" i="5"/>
  <c r="F537" i="5"/>
  <c r="D537" i="5"/>
  <c r="E537" i="5" s="1"/>
  <c r="C537" i="5"/>
  <c r="G536" i="5"/>
  <c r="F536" i="5"/>
  <c r="D536" i="5"/>
  <c r="E536" i="5" s="1"/>
  <c r="C536" i="5"/>
  <c r="G535" i="5"/>
  <c r="F535" i="5"/>
  <c r="E535" i="5"/>
  <c r="D535" i="5"/>
  <c r="C535" i="5"/>
  <c r="G534" i="5"/>
  <c r="F534" i="5"/>
  <c r="D534" i="5"/>
  <c r="E534" i="5" s="1"/>
  <c r="C534" i="5"/>
  <c r="G533" i="5"/>
  <c r="F533" i="5"/>
  <c r="D533" i="5"/>
  <c r="E533" i="5" s="1"/>
  <c r="C533" i="5"/>
  <c r="G532" i="5"/>
  <c r="F532" i="5"/>
  <c r="E532" i="5"/>
  <c r="D532" i="5"/>
  <c r="C532" i="5"/>
  <c r="G531" i="5"/>
  <c r="F531" i="5"/>
  <c r="E531" i="5"/>
  <c r="D531" i="5"/>
  <c r="C531" i="5"/>
  <c r="G530" i="5"/>
  <c r="F530" i="5"/>
  <c r="D530" i="5"/>
  <c r="E530" i="5" s="1"/>
  <c r="C530" i="5"/>
  <c r="G529" i="5"/>
  <c r="F529" i="5"/>
  <c r="D529" i="5"/>
  <c r="E529" i="5" s="1"/>
  <c r="C529" i="5"/>
  <c r="G528" i="5"/>
  <c r="F528" i="5"/>
  <c r="E528" i="5"/>
  <c r="D528" i="5"/>
  <c r="C528" i="5"/>
  <c r="G527" i="5"/>
  <c r="F527" i="5"/>
  <c r="E527" i="5"/>
  <c r="D527" i="5"/>
  <c r="C527" i="5"/>
  <c r="G526" i="5"/>
  <c r="F526" i="5"/>
  <c r="E526" i="5"/>
  <c r="D526" i="5"/>
  <c r="C526" i="5"/>
  <c r="G525" i="5"/>
  <c r="F525" i="5"/>
  <c r="D525" i="5"/>
  <c r="E525" i="5" s="1"/>
  <c r="C525" i="5"/>
  <c r="G524" i="5"/>
  <c r="F524" i="5"/>
  <c r="D524" i="5"/>
  <c r="E524" i="5" s="1"/>
  <c r="C524" i="5"/>
  <c r="G523" i="5"/>
  <c r="F523" i="5"/>
  <c r="E523" i="5"/>
  <c r="D523" i="5"/>
  <c r="C523" i="5"/>
  <c r="G522" i="5"/>
  <c r="F522" i="5"/>
  <c r="D522" i="5"/>
  <c r="E522" i="5" s="1"/>
  <c r="C522" i="5"/>
  <c r="G521" i="5"/>
  <c r="F521" i="5"/>
  <c r="D521" i="5"/>
  <c r="E521" i="5" s="1"/>
  <c r="C521" i="5"/>
  <c r="G520" i="5"/>
  <c r="F520" i="5"/>
  <c r="E520" i="5"/>
  <c r="D520" i="5"/>
  <c r="C520" i="5"/>
  <c r="G519" i="5"/>
  <c r="F519" i="5"/>
  <c r="E519" i="5"/>
  <c r="D519" i="5"/>
  <c r="C519" i="5"/>
  <c r="G518" i="5"/>
  <c r="F518" i="5"/>
  <c r="D518" i="5"/>
  <c r="E518" i="5" s="1"/>
  <c r="C518" i="5"/>
  <c r="G517" i="5"/>
  <c r="F517" i="5"/>
  <c r="D517" i="5"/>
  <c r="E517" i="5" s="1"/>
  <c r="C517" i="5"/>
  <c r="G516" i="5"/>
  <c r="F516" i="5"/>
  <c r="E516" i="5"/>
  <c r="D516" i="5"/>
  <c r="C516" i="5"/>
  <c r="G515" i="5"/>
  <c r="F515" i="5"/>
  <c r="E515" i="5"/>
  <c r="D515" i="5"/>
  <c r="C515" i="5"/>
  <c r="G514" i="5"/>
  <c r="F514" i="5"/>
  <c r="D514" i="5"/>
  <c r="E514" i="5" s="1"/>
  <c r="C514" i="5"/>
  <c r="G513" i="5"/>
  <c r="F513" i="5"/>
  <c r="D513" i="5"/>
  <c r="E513" i="5" s="1"/>
  <c r="C513" i="5"/>
  <c r="G512" i="5"/>
  <c r="F512" i="5"/>
  <c r="E512" i="5"/>
  <c r="D512" i="5"/>
  <c r="C512" i="5"/>
  <c r="G511" i="5"/>
  <c r="F511" i="5"/>
  <c r="E511" i="5"/>
  <c r="D511" i="5"/>
  <c r="C511" i="5"/>
  <c r="G510" i="5"/>
  <c r="F510" i="5"/>
  <c r="E510" i="5"/>
  <c r="D510" i="5"/>
  <c r="C510" i="5"/>
  <c r="G509" i="5"/>
  <c r="F509" i="5"/>
  <c r="D509" i="5"/>
  <c r="E509" i="5" s="1"/>
  <c r="C509" i="5"/>
  <c r="G508" i="5"/>
  <c r="F508" i="5"/>
  <c r="E508" i="5"/>
  <c r="D508" i="5"/>
  <c r="C508" i="5"/>
  <c r="G507" i="5"/>
  <c r="F507" i="5"/>
  <c r="E507" i="5"/>
  <c r="D507" i="5"/>
  <c r="C507" i="5"/>
  <c r="G506" i="5"/>
  <c r="F506" i="5"/>
  <c r="D506" i="5"/>
  <c r="E506" i="5" s="1"/>
  <c r="C506" i="5"/>
  <c r="G505" i="5"/>
  <c r="F505" i="5"/>
  <c r="E505" i="5"/>
  <c r="D505" i="5"/>
  <c r="C505" i="5"/>
  <c r="G504" i="5"/>
  <c r="F504" i="5"/>
  <c r="E504" i="5"/>
  <c r="D504" i="5"/>
  <c r="C504" i="5"/>
  <c r="G503" i="5"/>
  <c r="F503" i="5"/>
  <c r="E503" i="5"/>
  <c r="D503" i="5"/>
  <c r="C503" i="5"/>
  <c r="G502" i="5"/>
  <c r="F502" i="5"/>
  <c r="D502" i="5"/>
  <c r="E502" i="5" s="1"/>
  <c r="C502" i="5"/>
  <c r="G501" i="5"/>
  <c r="F501" i="5"/>
  <c r="D501" i="5"/>
  <c r="E501" i="5" s="1"/>
  <c r="C501" i="5"/>
  <c r="G500" i="5"/>
  <c r="F500" i="5"/>
  <c r="E500" i="5"/>
  <c r="D500" i="5"/>
  <c r="C500" i="5"/>
  <c r="G499" i="5"/>
  <c r="F499" i="5"/>
  <c r="E499" i="5"/>
  <c r="D499" i="5"/>
  <c r="C499" i="5"/>
  <c r="G498" i="5"/>
  <c r="F498" i="5"/>
  <c r="D498" i="5"/>
  <c r="E498" i="5" s="1"/>
  <c r="C498" i="5"/>
  <c r="G497" i="5"/>
  <c r="F497" i="5"/>
  <c r="D497" i="5"/>
  <c r="E497" i="5" s="1"/>
  <c r="C497" i="5"/>
  <c r="G496" i="5"/>
  <c r="F496" i="5"/>
  <c r="E496" i="5"/>
  <c r="D496" i="5"/>
  <c r="C496" i="5"/>
  <c r="G495" i="5"/>
  <c r="F495" i="5"/>
  <c r="E495" i="5"/>
  <c r="D495" i="5"/>
  <c r="C495" i="5"/>
  <c r="G494" i="5"/>
  <c r="F494" i="5"/>
  <c r="E494" i="5"/>
  <c r="D494" i="5"/>
  <c r="C494" i="5"/>
  <c r="G493" i="5"/>
  <c r="F493" i="5"/>
  <c r="D493" i="5"/>
  <c r="E493" i="5" s="1"/>
  <c r="C493" i="5"/>
  <c r="G492" i="5"/>
  <c r="F492" i="5"/>
  <c r="D492" i="5"/>
  <c r="E492" i="5" s="1"/>
  <c r="C492" i="5"/>
  <c r="G491" i="5"/>
  <c r="F491" i="5"/>
  <c r="E491" i="5"/>
  <c r="D491" i="5"/>
  <c r="C491" i="5"/>
  <c r="G490" i="5"/>
  <c r="F490" i="5"/>
  <c r="D490" i="5"/>
  <c r="E490" i="5" s="1"/>
  <c r="C490" i="5"/>
  <c r="G489" i="5"/>
  <c r="F489" i="5"/>
  <c r="D489" i="5"/>
  <c r="E489" i="5" s="1"/>
  <c r="C489" i="5"/>
  <c r="G488" i="5"/>
  <c r="F488" i="5"/>
  <c r="D488" i="5"/>
  <c r="E488" i="5" s="1"/>
  <c r="C488" i="5"/>
  <c r="G487" i="5"/>
  <c r="F487" i="5"/>
  <c r="E487" i="5"/>
  <c r="D487" i="5"/>
  <c r="C487" i="5"/>
  <c r="G486" i="5"/>
  <c r="F486" i="5"/>
  <c r="D486" i="5"/>
  <c r="E486" i="5" s="1"/>
  <c r="C486" i="5"/>
  <c r="G485" i="5"/>
  <c r="F485" i="5"/>
  <c r="D485" i="5"/>
  <c r="E485" i="5" s="1"/>
  <c r="C485" i="5"/>
  <c r="G484" i="5"/>
  <c r="F484" i="5"/>
  <c r="D484" i="5"/>
  <c r="E484" i="5" s="1"/>
  <c r="C484" i="5"/>
  <c r="G483" i="5"/>
  <c r="F483" i="5"/>
  <c r="E483" i="5"/>
  <c r="D483" i="5"/>
  <c r="C483" i="5"/>
  <c r="G482" i="5"/>
  <c r="F482" i="5"/>
  <c r="D482" i="5"/>
  <c r="E482" i="5" s="1"/>
  <c r="C482" i="5"/>
  <c r="G481" i="5"/>
  <c r="F481" i="5"/>
  <c r="D481" i="5"/>
  <c r="E481" i="5" s="1"/>
  <c r="C481" i="5"/>
  <c r="G480" i="5"/>
  <c r="F480" i="5"/>
  <c r="E480" i="5"/>
  <c r="D480" i="5"/>
  <c r="C480" i="5"/>
  <c r="G479" i="5"/>
  <c r="F479" i="5"/>
  <c r="E479" i="5"/>
  <c r="D479" i="5"/>
  <c r="C479" i="5"/>
  <c r="G478" i="5"/>
  <c r="F478" i="5"/>
  <c r="E478" i="5"/>
  <c r="D478" i="5"/>
  <c r="C478" i="5"/>
  <c r="G477" i="5"/>
  <c r="F477" i="5"/>
  <c r="D477" i="5"/>
  <c r="E477" i="5" s="1"/>
  <c r="C477" i="5"/>
  <c r="G476" i="5"/>
  <c r="F476" i="5"/>
  <c r="D476" i="5"/>
  <c r="E476" i="5" s="1"/>
  <c r="C476" i="5"/>
  <c r="G475" i="5"/>
  <c r="F475" i="5"/>
  <c r="E475" i="5"/>
  <c r="D475" i="5"/>
  <c r="C475" i="5"/>
  <c r="G474" i="5"/>
  <c r="F474" i="5"/>
  <c r="D474" i="5"/>
  <c r="E474" i="5" s="1"/>
  <c r="C474" i="5"/>
  <c r="G473" i="5"/>
  <c r="F473" i="5"/>
  <c r="D473" i="5"/>
  <c r="E473" i="5" s="1"/>
  <c r="C473" i="5"/>
  <c r="G472" i="5"/>
  <c r="F472" i="5"/>
  <c r="E472" i="5"/>
  <c r="D472" i="5"/>
  <c r="C472" i="5"/>
  <c r="G471" i="5"/>
  <c r="F471" i="5"/>
  <c r="E471" i="5"/>
  <c r="D471" i="5"/>
  <c r="C471" i="5"/>
  <c r="G470" i="5"/>
  <c r="F470" i="5"/>
  <c r="D470" i="5"/>
  <c r="E470" i="5" s="1"/>
  <c r="C470" i="5"/>
  <c r="G469" i="5"/>
  <c r="F469" i="5"/>
  <c r="D469" i="5"/>
  <c r="E469" i="5" s="1"/>
  <c r="C469" i="5"/>
  <c r="G468" i="5"/>
  <c r="F468" i="5"/>
  <c r="E468" i="5"/>
  <c r="D468" i="5"/>
  <c r="C468" i="5"/>
  <c r="G467" i="5"/>
  <c r="F467" i="5"/>
  <c r="E467" i="5"/>
  <c r="D467" i="5"/>
  <c r="C467" i="5"/>
  <c r="G466" i="5"/>
  <c r="F466" i="5"/>
  <c r="D466" i="5"/>
  <c r="E466" i="5" s="1"/>
  <c r="C466" i="5"/>
  <c r="G465" i="5"/>
  <c r="F465" i="5"/>
  <c r="D465" i="5"/>
  <c r="E465" i="5" s="1"/>
  <c r="C465" i="5"/>
  <c r="G464" i="5"/>
  <c r="F464" i="5"/>
  <c r="E464" i="5"/>
  <c r="D464" i="5"/>
  <c r="C464" i="5"/>
  <c r="G463" i="5"/>
  <c r="F463" i="5"/>
  <c r="E463" i="5"/>
  <c r="D463" i="5"/>
  <c r="C463" i="5"/>
  <c r="G462" i="5"/>
  <c r="F462" i="5"/>
  <c r="E462" i="5"/>
  <c r="D462" i="5"/>
  <c r="C462" i="5"/>
  <c r="G461" i="5"/>
  <c r="F461" i="5"/>
  <c r="D461" i="5"/>
  <c r="E461" i="5" s="1"/>
  <c r="C461" i="5"/>
  <c r="G460" i="5"/>
  <c r="F460" i="5"/>
  <c r="E460" i="5"/>
  <c r="D460" i="5"/>
  <c r="C460" i="5"/>
  <c r="G459" i="5"/>
  <c r="F459" i="5"/>
  <c r="E459" i="5"/>
  <c r="D459" i="5"/>
  <c r="C459" i="5"/>
  <c r="G458" i="5"/>
  <c r="F458" i="5"/>
  <c r="D458" i="5"/>
  <c r="E458" i="5" s="1"/>
  <c r="C458" i="5"/>
  <c r="G457" i="5"/>
  <c r="F457" i="5"/>
  <c r="D457" i="5"/>
  <c r="E457" i="5" s="1"/>
  <c r="C457" i="5"/>
  <c r="G456" i="5"/>
  <c r="F456" i="5"/>
  <c r="E456" i="5"/>
  <c r="D456" i="5"/>
  <c r="C456" i="5"/>
  <c r="G455" i="5"/>
  <c r="F455" i="5"/>
  <c r="E455" i="5"/>
  <c r="D455" i="5"/>
  <c r="C455" i="5"/>
  <c r="G454" i="5"/>
  <c r="F454" i="5"/>
  <c r="D454" i="5"/>
  <c r="E454" i="5" s="1"/>
  <c r="C454" i="5"/>
  <c r="G453" i="5"/>
  <c r="F453" i="5"/>
  <c r="D453" i="5"/>
  <c r="E453" i="5" s="1"/>
  <c r="C453" i="5"/>
  <c r="G452" i="5"/>
  <c r="F452" i="5"/>
  <c r="E452" i="5"/>
  <c r="D452" i="5"/>
  <c r="C452" i="5"/>
  <c r="G451" i="5"/>
  <c r="F451" i="5"/>
  <c r="E451" i="5"/>
  <c r="D451" i="5"/>
  <c r="C451" i="5"/>
  <c r="G450" i="5"/>
  <c r="F450" i="5"/>
  <c r="D450" i="5"/>
  <c r="E450" i="5" s="1"/>
  <c r="C450" i="5"/>
  <c r="G449" i="5"/>
  <c r="F449" i="5"/>
  <c r="D449" i="5"/>
  <c r="E449" i="5" s="1"/>
  <c r="C449" i="5"/>
  <c r="G448" i="5"/>
  <c r="F448" i="5"/>
  <c r="E448" i="5"/>
  <c r="D448" i="5"/>
  <c r="C448" i="5"/>
  <c r="G447" i="5"/>
  <c r="F447" i="5"/>
  <c r="E447" i="5"/>
  <c r="D447" i="5"/>
  <c r="C447" i="5"/>
  <c r="G446" i="5"/>
  <c r="F446" i="5"/>
  <c r="E446" i="5"/>
  <c r="D446" i="5"/>
  <c r="C446" i="5"/>
  <c r="G445" i="5"/>
  <c r="F445" i="5"/>
  <c r="D445" i="5"/>
  <c r="E445" i="5" s="1"/>
  <c r="C445" i="5"/>
  <c r="G444" i="5"/>
  <c r="F444" i="5"/>
  <c r="D444" i="5"/>
  <c r="E444" i="5" s="1"/>
  <c r="C444" i="5"/>
  <c r="G443" i="5"/>
  <c r="F443" i="5"/>
  <c r="E443" i="5"/>
  <c r="D443" i="5"/>
  <c r="C443" i="5"/>
  <c r="G442" i="5"/>
  <c r="F442" i="5"/>
  <c r="D442" i="5"/>
  <c r="E442" i="5" s="1"/>
  <c r="C442" i="5"/>
  <c r="G441" i="5"/>
  <c r="F441" i="5"/>
  <c r="D441" i="5"/>
  <c r="E441" i="5" s="1"/>
  <c r="C441" i="5"/>
  <c r="G440" i="5"/>
  <c r="F440" i="5"/>
  <c r="E440" i="5"/>
  <c r="D440" i="5"/>
  <c r="C440" i="5"/>
  <c r="G439" i="5"/>
  <c r="F439" i="5"/>
  <c r="E439" i="5"/>
  <c r="D439" i="5"/>
  <c r="C439" i="5"/>
  <c r="G438" i="5"/>
  <c r="F438" i="5"/>
  <c r="D438" i="5"/>
  <c r="E438" i="5" s="1"/>
  <c r="C438" i="5"/>
  <c r="G437" i="5"/>
  <c r="F437" i="5"/>
  <c r="D437" i="5"/>
  <c r="E437" i="5" s="1"/>
  <c r="C437" i="5"/>
  <c r="G436" i="5"/>
  <c r="F436" i="5"/>
  <c r="D436" i="5"/>
  <c r="E436" i="5" s="1"/>
  <c r="C436" i="5"/>
  <c r="G435" i="5"/>
  <c r="F435" i="5"/>
  <c r="E435" i="5"/>
  <c r="D435" i="5"/>
  <c r="C435" i="5"/>
  <c r="G434" i="5"/>
  <c r="F434" i="5"/>
  <c r="D434" i="5"/>
  <c r="E434" i="5" s="1"/>
  <c r="C434" i="5"/>
  <c r="G433" i="5"/>
  <c r="F433" i="5"/>
  <c r="D433" i="5"/>
  <c r="E433" i="5" s="1"/>
  <c r="C433" i="5"/>
  <c r="G432" i="5"/>
  <c r="F432" i="5"/>
  <c r="D432" i="5"/>
  <c r="E432" i="5" s="1"/>
  <c r="C432" i="5"/>
  <c r="G431" i="5"/>
  <c r="F431" i="5"/>
  <c r="E431" i="5"/>
  <c r="D431" i="5"/>
  <c r="C431" i="5"/>
  <c r="G430" i="5"/>
  <c r="F430" i="5"/>
  <c r="E430" i="5"/>
  <c r="D430" i="5"/>
  <c r="C430" i="5"/>
  <c r="G429" i="5"/>
  <c r="F429" i="5"/>
  <c r="D429" i="5"/>
  <c r="E429" i="5" s="1"/>
  <c r="C429" i="5"/>
  <c r="G428" i="5"/>
  <c r="F428" i="5"/>
  <c r="D428" i="5"/>
  <c r="E428" i="5" s="1"/>
  <c r="C428" i="5"/>
  <c r="G427" i="5"/>
  <c r="F427" i="5"/>
  <c r="E427" i="5"/>
  <c r="D427" i="5"/>
  <c r="C427" i="5"/>
  <c r="G426" i="5"/>
  <c r="F426" i="5"/>
  <c r="D426" i="5"/>
  <c r="E426" i="5" s="1"/>
  <c r="C426" i="5"/>
  <c r="G425" i="5"/>
  <c r="F425" i="5"/>
  <c r="E425" i="5"/>
  <c r="D425" i="5"/>
  <c r="C425" i="5"/>
  <c r="G424" i="5"/>
  <c r="F424" i="5"/>
  <c r="E424" i="5"/>
  <c r="D424" i="5"/>
  <c r="C424" i="5"/>
  <c r="G423" i="5"/>
  <c r="F423" i="5"/>
  <c r="E423" i="5"/>
  <c r="D423" i="5"/>
  <c r="C423" i="5"/>
  <c r="G422" i="5"/>
  <c r="F422" i="5"/>
  <c r="D422" i="5"/>
  <c r="E422" i="5" s="1"/>
  <c r="C422" i="5"/>
  <c r="G421" i="5"/>
  <c r="F421" i="5"/>
  <c r="D421" i="5"/>
  <c r="E421" i="5" s="1"/>
  <c r="C421" i="5"/>
  <c r="G420" i="5"/>
  <c r="F420" i="5"/>
  <c r="E420" i="5"/>
  <c r="D420" i="5"/>
  <c r="C420" i="5"/>
  <c r="G419" i="5"/>
  <c r="F419" i="5"/>
  <c r="E419" i="5"/>
  <c r="D419" i="5"/>
  <c r="C419" i="5"/>
  <c r="G418" i="5"/>
  <c r="F418" i="5"/>
  <c r="D418" i="5"/>
  <c r="E418" i="5" s="1"/>
  <c r="C418" i="5"/>
  <c r="G417" i="5"/>
  <c r="F417" i="5"/>
  <c r="D417" i="5"/>
  <c r="E417" i="5" s="1"/>
  <c r="C417" i="5"/>
  <c r="G416" i="5"/>
  <c r="F416" i="5"/>
  <c r="E416" i="5"/>
  <c r="D416" i="5"/>
  <c r="C416" i="5"/>
  <c r="G415" i="5"/>
  <c r="F415" i="5"/>
  <c r="E415" i="5"/>
  <c r="D415" i="5"/>
  <c r="C415" i="5"/>
  <c r="G414" i="5"/>
  <c r="F414" i="5"/>
  <c r="E414" i="5"/>
  <c r="D414" i="5"/>
  <c r="C414" i="5"/>
  <c r="G413" i="5"/>
  <c r="F413" i="5"/>
  <c r="D413" i="5"/>
  <c r="E413" i="5" s="1"/>
  <c r="C413" i="5"/>
  <c r="G412" i="5"/>
  <c r="F412" i="5"/>
  <c r="D412" i="5"/>
  <c r="E412" i="5" s="1"/>
  <c r="C412" i="5"/>
  <c r="G411" i="5"/>
  <c r="F411" i="5"/>
  <c r="E411" i="5"/>
  <c r="D411" i="5"/>
  <c r="C411" i="5"/>
  <c r="G410" i="5"/>
  <c r="F410" i="5"/>
  <c r="D410" i="5"/>
  <c r="E410" i="5" s="1"/>
  <c r="C410" i="5"/>
  <c r="G409" i="5"/>
  <c r="F409" i="5"/>
  <c r="D409" i="5"/>
  <c r="E409" i="5" s="1"/>
  <c r="C409" i="5"/>
  <c r="G408" i="5"/>
  <c r="F408" i="5"/>
  <c r="D408" i="5"/>
  <c r="E408" i="5" s="1"/>
  <c r="C408" i="5"/>
  <c r="G407" i="5"/>
  <c r="F407" i="5"/>
  <c r="E407" i="5"/>
  <c r="D407" i="5"/>
  <c r="C407" i="5"/>
  <c r="G406" i="5"/>
  <c r="F406" i="5"/>
  <c r="D406" i="5"/>
  <c r="E406" i="5" s="1"/>
  <c r="C406" i="5"/>
  <c r="G405" i="5"/>
  <c r="F405" i="5"/>
  <c r="D405" i="5"/>
  <c r="E405" i="5" s="1"/>
  <c r="C405" i="5"/>
  <c r="G404" i="5"/>
  <c r="F404" i="5"/>
  <c r="E404" i="5"/>
  <c r="D404" i="5"/>
  <c r="C404" i="5"/>
  <c r="G403" i="5"/>
  <c r="F403" i="5"/>
  <c r="E403" i="5"/>
  <c r="D403" i="5"/>
  <c r="C403" i="5"/>
  <c r="G402" i="5"/>
  <c r="F402" i="5"/>
  <c r="D402" i="5"/>
  <c r="E402" i="5" s="1"/>
  <c r="C402" i="5"/>
  <c r="G401" i="5"/>
  <c r="F401" i="5"/>
  <c r="D401" i="5"/>
  <c r="E401" i="5" s="1"/>
  <c r="C401" i="5"/>
  <c r="G400" i="5"/>
  <c r="F400" i="5"/>
  <c r="E400" i="5"/>
  <c r="D400" i="5"/>
  <c r="C400" i="5"/>
  <c r="G399" i="5"/>
  <c r="F399" i="5"/>
  <c r="E399" i="5"/>
  <c r="D399" i="5"/>
  <c r="C399" i="5"/>
  <c r="G398" i="5"/>
  <c r="F398" i="5"/>
  <c r="E398" i="5"/>
  <c r="D398" i="5"/>
  <c r="C398" i="5"/>
  <c r="G397" i="5"/>
  <c r="F397" i="5"/>
  <c r="D397" i="5"/>
  <c r="E397" i="5" s="1"/>
  <c r="C397" i="5"/>
  <c r="G396" i="5"/>
  <c r="F396" i="5"/>
  <c r="D396" i="5"/>
  <c r="E396" i="5" s="1"/>
  <c r="C396" i="5"/>
  <c r="G395" i="5"/>
  <c r="F395" i="5"/>
  <c r="E395" i="5"/>
  <c r="D395" i="5"/>
  <c r="C395" i="5"/>
  <c r="G394" i="5"/>
  <c r="F394" i="5"/>
  <c r="D394" i="5"/>
  <c r="E394" i="5" s="1"/>
  <c r="C394" i="5"/>
  <c r="G393" i="5"/>
  <c r="F393" i="5"/>
  <c r="D393" i="5"/>
  <c r="E393" i="5" s="1"/>
  <c r="C393" i="5"/>
  <c r="G392" i="5"/>
  <c r="F392" i="5"/>
  <c r="E392" i="5"/>
  <c r="D392" i="5"/>
  <c r="C392" i="5"/>
  <c r="G391" i="5"/>
  <c r="F391" i="5"/>
  <c r="E391" i="5"/>
  <c r="D391" i="5"/>
  <c r="C391" i="5"/>
  <c r="G390" i="5"/>
  <c r="F390" i="5"/>
  <c r="D390" i="5"/>
  <c r="E390" i="5" s="1"/>
  <c r="C390" i="5"/>
  <c r="G389" i="5"/>
  <c r="F389" i="5"/>
  <c r="D389" i="5"/>
  <c r="E389" i="5" s="1"/>
  <c r="C389" i="5"/>
  <c r="G388" i="5"/>
  <c r="F388" i="5"/>
  <c r="E388" i="5"/>
  <c r="D388" i="5"/>
  <c r="C388" i="5"/>
  <c r="G387" i="5"/>
  <c r="F387" i="5"/>
  <c r="E387" i="5"/>
  <c r="D387" i="5"/>
  <c r="C387" i="5"/>
  <c r="G386" i="5"/>
  <c r="F386" i="5"/>
  <c r="E386" i="5"/>
  <c r="D386" i="5"/>
  <c r="C386" i="5"/>
  <c r="G385" i="5"/>
  <c r="F385" i="5"/>
  <c r="D385" i="5"/>
  <c r="E385" i="5" s="1"/>
  <c r="C385" i="5"/>
  <c r="G384" i="5"/>
  <c r="F384" i="5"/>
  <c r="E384" i="5"/>
  <c r="D384" i="5"/>
  <c r="C384" i="5"/>
  <c r="G383" i="5"/>
  <c r="F383" i="5"/>
  <c r="E383" i="5"/>
  <c r="D383" i="5"/>
  <c r="C383" i="5"/>
  <c r="G382" i="5"/>
  <c r="F382" i="5"/>
  <c r="E382" i="5"/>
  <c r="D382" i="5"/>
  <c r="C382" i="5"/>
  <c r="G381" i="5"/>
  <c r="F381" i="5"/>
  <c r="D381" i="5"/>
  <c r="E381" i="5" s="1"/>
  <c r="C381" i="5"/>
  <c r="G380" i="5"/>
  <c r="F380" i="5"/>
  <c r="E380" i="5"/>
  <c r="D380" i="5"/>
  <c r="C380" i="5"/>
  <c r="G379" i="5"/>
  <c r="F379" i="5"/>
  <c r="E379" i="5"/>
  <c r="D379" i="5"/>
  <c r="C379" i="5"/>
  <c r="G378" i="5"/>
  <c r="F378" i="5"/>
  <c r="D378" i="5"/>
  <c r="E378" i="5" s="1"/>
  <c r="C378" i="5"/>
  <c r="G377" i="5"/>
  <c r="F377" i="5"/>
  <c r="D377" i="5"/>
  <c r="E377" i="5" s="1"/>
  <c r="C377" i="5"/>
  <c r="G376" i="5"/>
  <c r="F376" i="5"/>
  <c r="D376" i="5"/>
  <c r="E376" i="5" s="1"/>
  <c r="C376" i="5"/>
  <c r="G375" i="5"/>
  <c r="F375" i="5"/>
  <c r="E375" i="5"/>
  <c r="D375" i="5"/>
  <c r="C375" i="5"/>
  <c r="G374" i="5"/>
  <c r="F374" i="5"/>
  <c r="D374" i="5"/>
  <c r="E374" i="5" s="1"/>
  <c r="C374" i="5"/>
  <c r="G373" i="5"/>
  <c r="F373" i="5"/>
  <c r="D373" i="5"/>
  <c r="E373" i="5" s="1"/>
  <c r="C373" i="5"/>
  <c r="G372" i="5"/>
  <c r="F372" i="5"/>
  <c r="D372" i="5"/>
  <c r="E372" i="5" s="1"/>
  <c r="C372" i="5"/>
  <c r="G371" i="5"/>
  <c r="F371" i="5"/>
  <c r="E371" i="5"/>
  <c r="D371" i="5"/>
  <c r="C371" i="5"/>
  <c r="G370" i="5"/>
  <c r="F370" i="5"/>
  <c r="E370" i="5"/>
  <c r="D370" i="5"/>
  <c r="C370" i="5"/>
  <c r="G369" i="5"/>
  <c r="F369" i="5"/>
  <c r="D369" i="5"/>
  <c r="E369" i="5" s="1"/>
  <c r="C369" i="5"/>
  <c r="G368" i="5"/>
  <c r="F368" i="5"/>
  <c r="E368" i="5"/>
  <c r="D368" i="5"/>
  <c r="C368" i="5"/>
  <c r="G367" i="5"/>
  <c r="F367" i="5"/>
  <c r="E367" i="5"/>
  <c r="D367" i="5"/>
  <c r="C367" i="5"/>
  <c r="G366" i="5"/>
  <c r="F366" i="5"/>
  <c r="E366" i="5"/>
  <c r="D366" i="5"/>
  <c r="C366" i="5"/>
  <c r="G365" i="5"/>
  <c r="F365" i="5"/>
  <c r="D365" i="5"/>
  <c r="E365" i="5" s="1"/>
  <c r="C365" i="5"/>
  <c r="G364" i="5"/>
  <c r="F364" i="5"/>
  <c r="D364" i="5"/>
  <c r="E364" i="5" s="1"/>
  <c r="C364" i="5"/>
  <c r="G363" i="5"/>
  <c r="F363" i="5"/>
  <c r="E363" i="5"/>
  <c r="D363" i="5"/>
  <c r="C363" i="5"/>
  <c r="G362" i="5"/>
  <c r="F362" i="5"/>
  <c r="D362" i="5"/>
  <c r="E362" i="5" s="1"/>
  <c r="C362" i="5"/>
  <c r="G361" i="5"/>
  <c r="F361" i="5"/>
  <c r="D361" i="5"/>
  <c r="E361" i="5" s="1"/>
  <c r="C361" i="5"/>
  <c r="G360" i="5"/>
  <c r="F360" i="5"/>
  <c r="D360" i="5"/>
  <c r="E360" i="5" s="1"/>
  <c r="C360" i="5"/>
  <c r="G359" i="5"/>
  <c r="F359" i="5"/>
  <c r="E359" i="5"/>
  <c r="D359" i="5"/>
  <c r="C359" i="5"/>
  <c r="G358" i="5"/>
  <c r="F358" i="5"/>
  <c r="D358" i="5"/>
  <c r="E358" i="5" s="1"/>
  <c r="C358" i="5"/>
  <c r="G357" i="5"/>
  <c r="F357" i="5"/>
  <c r="D357" i="5"/>
  <c r="E357" i="5" s="1"/>
  <c r="C357" i="5"/>
  <c r="G356" i="5"/>
  <c r="F356" i="5"/>
  <c r="E356" i="5"/>
  <c r="D356" i="5"/>
  <c r="C356" i="5"/>
  <c r="G355" i="5"/>
  <c r="F355" i="5"/>
  <c r="E355" i="5"/>
  <c r="D355" i="5"/>
  <c r="C355" i="5"/>
  <c r="G354" i="5"/>
  <c r="F354" i="5"/>
  <c r="E354" i="5"/>
  <c r="D354" i="5"/>
  <c r="C354" i="5"/>
  <c r="G353" i="5"/>
  <c r="F353" i="5"/>
  <c r="D353" i="5"/>
  <c r="E353" i="5" s="1"/>
  <c r="C353" i="5"/>
  <c r="G352" i="5"/>
  <c r="F352" i="5"/>
  <c r="D352" i="5"/>
  <c r="E352" i="5" s="1"/>
  <c r="C352" i="5"/>
  <c r="G351" i="5"/>
  <c r="F351" i="5"/>
  <c r="E351" i="5"/>
  <c r="D351" i="5"/>
  <c r="C351" i="5"/>
  <c r="G350" i="5"/>
  <c r="F350" i="5"/>
  <c r="E350" i="5"/>
  <c r="D350" i="5"/>
  <c r="C350" i="5"/>
  <c r="G349" i="5"/>
  <c r="F349" i="5"/>
  <c r="D349" i="5"/>
  <c r="E349" i="5" s="1"/>
  <c r="C349" i="5"/>
  <c r="G348" i="5"/>
  <c r="F348" i="5"/>
  <c r="E348" i="5"/>
  <c r="D348" i="5"/>
  <c r="C348" i="5"/>
  <c r="G347" i="5"/>
  <c r="F347" i="5"/>
  <c r="E347" i="5"/>
  <c r="D347" i="5"/>
  <c r="C347" i="5"/>
  <c r="G346" i="5"/>
  <c r="F346" i="5"/>
  <c r="D346" i="5"/>
  <c r="E346" i="5" s="1"/>
  <c r="C346" i="5"/>
  <c r="G345" i="5"/>
  <c r="F345" i="5"/>
  <c r="E345" i="5"/>
  <c r="D345" i="5"/>
  <c r="C345" i="5"/>
  <c r="G344" i="5"/>
  <c r="F344" i="5"/>
  <c r="D344" i="5"/>
  <c r="E344" i="5" s="1"/>
  <c r="C344" i="5"/>
  <c r="G343" i="5"/>
  <c r="F343" i="5"/>
  <c r="E343" i="5"/>
  <c r="D343" i="5"/>
  <c r="C343" i="5"/>
  <c r="G342" i="5"/>
  <c r="F342" i="5"/>
  <c r="D342" i="5"/>
  <c r="E342" i="5" s="1"/>
  <c r="C342" i="5"/>
  <c r="G341" i="5"/>
  <c r="F341" i="5"/>
  <c r="D341" i="5"/>
  <c r="E341" i="5" s="1"/>
  <c r="C341" i="5"/>
  <c r="G340" i="5"/>
  <c r="F340" i="5"/>
  <c r="D340" i="5"/>
  <c r="E340" i="5" s="1"/>
  <c r="C340" i="5"/>
  <c r="G339" i="5"/>
  <c r="F339" i="5"/>
  <c r="E339" i="5"/>
  <c r="D339" i="5"/>
  <c r="C339" i="5"/>
  <c r="G338" i="5"/>
  <c r="F338" i="5"/>
  <c r="E338" i="5"/>
  <c r="D338" i="5"/>
  <c r="C338" i="5"/>
  <c r="G337" i="5"/>
  <c r="F337" i="5"/>
  <c r="D337" i="5"/>
  <c r="E337" i="5" s="1"/>
  <c r="C337" i="5"/>
  <c r="G336" i="5"/>
  <c r="F336" i="5"/>
  <c r="D336" i="5"/>
  <c r="E336" i="5" s="1"/>
  <c r="C336" i="5"/>
  <c r="G335" i="5"/>
  <c r="F335" i="5"/>
  <c r="E335" i="5"/>
  <c r="D335" i="5"/>
  <c r="C335" i="5"/>
  <c r="G334" i="5"/>
  <c r="F334" i="5"/>
  <c r="E334" i="5"/>
  <c r="D334" i="5"/>
  <c r="C334" i="5"/>
  <c r="G333" i="5"/>
  <c r="F333" i="5"/>
  <c r="D333" i="5"/>
  <c r="E333" i="5" s="1"/>
  <c r="C333" i="5"/>
  <c r="G332" i="5"/>
  <c r="F332" i="5"/>
  <c r="D332" i="5"/>
  <c r="E332" i="5" s="1"/>
  <c r="C332" i="5"/>
  <c r="G331" i="5"/>
  <c r="F331" i="5"/>
  <c r="E331" i="5"/>
  <c r="D331" i="5"/>
  <c r="C331" i="5"/>
  <c r="G330" i="5"/>
  <c r="F330" i="5"/>
  <c r="D330" i="5"/>
  <c r="E330" i="5" s="1"/>
  <c r="C330" i="5"/>
  <c r="G329" i="5"/>
  <c r="F329" i="5"/>
  <c r="E329" i="5"/>
  <c r="D329" i="5"/>
  <c r="C329" i="5"/>
  <c r="G328" i="5"/>
  <c r="F328" i="5"/>
  <c r="E328" i="5"/>
  <c r="D328" i="5"/>
  <c r="C328" i="5"/>
  <c r="G327" i="5"/>
  <c r="F327" i="5"/>
  <c r="E327" i="5"/>
  <c r="D327" i="5"/>
  <c r="C327" i="5"/>
  <c r="G326" i="5"/>
  <c r="F326" i="5"/>
  <c r="D326" i="5"/>
  <c r="E326" i="5" s="1"/>
  <c r="C326" i="5"/>
  <c r="G325" i="5"/>
  <c r="F325" i="5"/>
  <c r="D325" i="5"/>
  <c r="E325" i="5" s="1"/>
  <c r="C325" i="5"/>
  <c r="G324" i="5"/>
  <c r="F324" i="5"/>
  <c r="E324" i="5"/>
  <c r="D324" i="5"/>
  <c r="C324" i="5"/>
  <c r="G323" i="5"/>
  <c r="F323" i="5"/>
  <c r="E323" i="5"/>
  <c r="D323" i="5"/>
  <c r="C323" i="5"/>
  <c r="G322" i="5"/>
  <c r="F322" i="5"/>
  <c r="E322" i="5"/>
  <c r="D322" i="5"/>
  <c r="C322" i="5"/>
  <c r="G321" i="5"/>
  <c r="F321" i="5"/>
  <c r="D321" i="5"/>
  <c r="E321" i="5" s="1"/>
  <c r="C321" i="5"/>
  <c r="G320" i="5"/>
  <c r="F320" i="5"/>
  <c r="D320" i="5"/>
  <c r="E320" i="5" s="1"/>
  <c r="C320" i="5"/>
  <c r="G319" i="5"/>
  <c r="F319" i="5"/>
  <c r="E319" i="5"/>
  <c r="D319" i="5"/>
  <c r="C319" i="5"/>
  <c r="G318" i="5"/>
  <c r="F318" i="5"/>
  <c r="E318" i="5"/>
  <c r="D318" i="5"/>
  <c r="C318" i="5"/>
  <c r="G317" i="5"/>
  <c r="F317" i="5"/>
  <c r="D317" i="5"/>
  <c r="E317" i="5" s="1"/>
  <c r="C317" i="5"/>
  <c r="G316" i="5"/>
  <c r="F316" i="5"/>
  <c r="D316" i="5"/>
  <c r="E316" i="5" s="1"/>
  <c r="C316" i="5"/>
  <c r="G315" i="5"/>
  <c r="F315" i="5"/>
  <c r="E315" i="5"/>
  <c r="D315" i="5"/>
  <c r="C315" i="5"/>
  <c r="G314" i="5"/>
  <c r="F314" i="5"/>
  <c r="D314" i="5"/>
  <c r="E314" i="5" s="1"/>
  <c r="C314" i="5"/>
  <c r="G313" i="5"/>
  <c r="F313" i="5"/>
  <c r="E313" i="5"/>
  <c r="D313" i="5"/>
  <c r="C313" i="5"/>
  <c r="G312" i="5"/>
  <c r="F312" i="5"/>
  <c r="E312" i="5"/>
  <c r="D312" i="5"/>
  <c r="C312" i="5"/>
  <c r="G311" i="5"/>
  <c r="F311" i="5"/>
  <c r="E311" i="5"/>
  <c r="D311" i="5"/>
  <c r="C311" i="5"/>
  <c r="G310" i="5"/>
  <c r="F310" i="5"/>
  <c r="D310" i="5"/>
  <c r="E310" i="5" s="1"/>
  <c r="C310" i="5"/>
  <c r="G309" i="5"/>
  <c r="F309" i="5"/>
  <c r="D309" i="5"/>
  <c r="E309" i="5" s="1"/>
  <c r="C309" i="5"/>
  <c r="G308" i="5"/>
  <c r="F308" i="5"/>
  <c r="D308" i="5"/>
  <c r="E308" i="5" s="1"/>
  <c r="C308" i="5"/>
  <c r="G307" i="5"/>
  <c r="F307" i="5"/>
  <c r="E307" i="5"/>
  <c r="D307" i="5"/>
  <c r="C307" i="5"/>
  <c r="G306" i="5"/>
  <c r="F306" i="5"/>
  <c r="E306" i="5"/>
  <c r="D306" i="5"/>
  <c r="C306" i="5"/>
  <c r="G305" i="5"/>
  <c r="F305" i="5"/>
  <c r="D305" i="5"/>
  <c r="E305" i="5" s="1"/>
  <c r="C305" i="5"/>
  <c r="G304" i="5"/>
  <c r="F304" i="5"/>
  <c r="E304" i="5"/>
  <c r="D304" i="5"/>
  <c r="C304" i="5"/>
  <c r="G303" i="5"/>
  <c r="F303" i="5"/>
  <c r="E303" i="5"/>
  <c r="D303" i="5"/>
  <c r="C303" i="5"/>
  <c r="G302" i="5"/>
  <c r="F302" i="5"/>
  <c r="E302" i="5"/>
  <c r="D302" i="5"/>
  <c r="C302" i="5"/>
  <c r="G301" i="5"/>
  <c r="F301" i="5"/>
  <c r="D301" i="5"/>
  <c r="E301" i="5" s="1"/>
  <c r="C301" i="5"/>
  <c r="G300" i="5"/>
  <c r="F300" i="5"/>
  <c r="D300" i="5"/>
  <c r="E300" i="5" s="1"/>
  <c r="C300" i="5"/>
  <c r="G299" i="5"/>
  <c r="F299" i="5"/>
  <c r="E299" i="5"/>
  <c r="D299" i="5"/>
  <c r="C299" i="5"/>
  <c r="G298" i="5"/>
  <c r="F298" i="5"/>
  <c r="D298" i="5"/>
  <c r="E298" i="5" s="1"/>
  <c r="C298" i="5"/>
  <c r="G297" i="5"/>
  <c r="F297" i="5"/>
  <c r="D297" i="5"/>
  <c r="E297" i="5" s="1"/>
  <c r="C297" i="5"/>
  <c r="G296" i="5"/>
  <c r="F296" i="5"/>
  <c r="E296" i="5"/>
  <c r="D296" i="5"/>
  <c r="C296" i="5"/>
  <c r="G295" i="5"/>
  <c r="F295" i="5"/>
  <c r="E295" i="5"/>
  <c r="D295" i="5"/>
  <c r="C295" i="5"/>
  <c r="G294" i="5"/>
  <c r="F294" i="5"/>
  <c r="D294" i="5"/>
  <c r="E294" i="5" s="1"/>
  <c r="C294" i="5"/>
  <c r="G293" i="5"/>
  <c r="F293" i="5"/>
  <c r="D293" i="5"/>
  <c r="E293" i="5" s="1"/>
  <c r="C293" i="5"/>
  <c r="G292" i="5"/>
  <c r="F292" i="5"/>
  <c r="E292" i="5"/>
  <c r="D292" i="5"/>
  <c r="C292" i="5"/>
  <c r="G291" i="5"/>
  <c r="F291" i="5"/>
  <c r="E291" i="5"/>
  <c r="D291" i="5"/>
  <c r="C291" i="5"/>
  <c r="G290" i="5"/>
  <c r="F290" i="5"/>
  <c r="E290" i="5"/>
  <c r="D290" i="5"/>
  <c r="C290" i="5"/>
  <c r="G289" i="5"/>
  <c r="F289" i="5"/>
  <c r="D289" i="5"/>
  <c r="E289" i="5" s="1"/>
  <c r="C289" i="5"/>
  <c r="G288" i="5"/>
  <c r="F288" i="5"/>
  <c r="E288" i="5"/>
  <c r="D288" i="5"/>
  <c r="C288" i="5"/>
  <c r="G287" i="5"/>
  <c r="F287" i="5"/>
  <c r="E287" i="5"/>
  <c r="D287" i="5"/>
  <c r="C287" i="5"/>
  <c r="G286" i="5"/>
  <c r="F286" i="5"/>
  <c r="E286" i="5"/>
  <c r="D286" i="5"/>
  <c r="C286" i="5"/>
  <c r="G285" i="5"/>
  <c r="F285" i="5"/>
  <c r="D285" i="5"/>
  <c r="E285" i="5" s="1"/>
  <c r="C285" i="5"/>
  <c r="G284" i="5"/>
  <c r="F284" i="5"/>
  <c r="E284" i="5"/>
  <c r="D284" i="5"/>
  <c r="C284" i="5"/>
  <c r="G283" i="5"/>
  <c r="F283" i="5"/>
  <c r="E283" i="5"/>
  <c r="D283" i="5"/>
  <c r="C283" i="5"/>
  <c r="G282" i="5"/>
  <c r="F282" i="5"/>
  <c r="D282" i="5"/>
  <c r="E282" i="5" s="1"/>
  <c r="C282" i="5"/>
  <c r="G281" i="5"/>
  <c r="F281" i="5"/>
  <c r="E281" i="5"/>
  <c r="D281" i="5"/>
  <c r="C281" i="5"/>
  <c r="G280" i="5"/>
  <c r="F280" i="5"/>
  <c r="D280" i="5"/>
  <c r="E280" i="5" s="1"/>
  <c r="C280" i="5"/>
  <c r="G279" i="5"/>
  <c r="F279" i="5"/>
  <c r="E279" i="5"/>
  <c r="D279" i="5"/>
  <c r="C279" i="5"/>
  <c r="G278" i="5"/>
  <c r="F278" i="5"/>
  <c r="D278" i="5"/>
  <c r="E278" i="5" s="1"/>
  <c r="C278" i="5"/>
  <c r="G277" i="5"/>
  <c r="F277" i="5"/>
  <c r="D277" i="5"/>
  <c r="E277" i="5" s="1"/>
  <c r="C277" i="5"/>
  <c r="G276" i="5"/>
  <c r="F276" i="5"/>
  <c r="D276" i="5"/>
  <c r="E276" i="5" s="1"/>
  <c r="C276" i="5"/>
  <c r="G275" i="5"/>
  <c r="F275" i="5"/>
  <c r="E275" i="5"/>
  <c r="D275" i="5"/>
  <c r="C275" i="5"/>
  <c r="G274" i="5"/>
  <c r="F274" i="5"/>
  <c r="E274" i="5"/>
  <c r="D274" i="5"/>
  <c r="C274" i="5"/>
  <c r="G273" i="5"/>
  <c r="F273" i="5"/>
  <c r="D273" i="5"/>
  <c r="E273" i="5" s="1"/>
  <c r="C273" i="5"/>
  <c r="G272" i="5"/>
  <c r="F272" i="5"/>
  <c r="E272" i="5"/>
  <c r="D272" i="5"/>
  <c r="C272" i="5"/>
  <c r="G271" i="5"/>
  <c r="F271" i="5"/>
  <c r="E271" i="5"/>
  <c r="D271" i="5"/>
  <c r="C271" i="5"/>
  <c r="G270" i="5"/>
  <c r="F270" i="5"/>
  <c r="E270" i="5"/>
  <c r="D270" i="5"/>
  <c r="C270" i="5"/>
  <c r="G269" i="5"/>
  <c r="F269" i="5"/>
  <c r="D269" i="5"/>
  <c r="E269" i="5" s="1"/>
  <c r="C269" i="5"/>
  <c r="G268" i="5"/>
  <c r="F268" i="5"/>
  <c r="E268" i="5"/>
  <c r="D268" i="5"/>
  <c r="C268" i="5"/>
  <c r="G267" i="5"/>
  <c r="F267" i="5"/>
  <c r="E267" i="5"/>
  <c r="D267" i="5"/>
  <c r="C267" i="5"/>
  <c r="G266" i="5"/>
  <c r="F266" i="5"/>
  <c r="D266" i="5"/>
  <c r="E266" i="5" s="1"/>
  <c r="C266" i="5"/>
  <c r="G265" i="5"/>
  <c r="F265" i="5"/>
  <c r="D265" i="5"/>
  <c r="E265" i="5" s="1"/>
  <c r="C265" i="5"/>
  <c r="G264" i="5"/>
  <c r="F264" i="5"/>
  <c r="E264" i="5"/>
  <c r="D264" i="5"/>
  <c r="C264" i="5"/>
  <c r="G263" i="5"/>
  <c r="F263" i="5"/>
  <c r="E263" i="5"/>
  <c r="D263" i="5"/>
  <c r="C263" i="5"/>
  <c r="G262" i="5"/>
  <c r="F262" i="5"/>
  <c r="D262" i="5"/>
  <c r="E262" i="5" s="1"/>
  <c r="C262" i="5"/>
  <c r="G261" i="5"/>
  <c r="F261" i="5"/>
  <c r="D261" i="5"/>
  <c r="E261" i="5" s="1"/>
  <c r="C261" i="5"/>
  <c r="G260" i="5"/>
  <c r="F260" i="5"/>
  <c r="E260" i="5"/>
  <c r="D260" i="5"/>
  <c r="C260" i="5"/>
  <c r="G259" i="5"/>
  <c r="F259" i="5"/>
  <c r="E259" i="5"/>
  <c r="D259" i="5"/>
  <c r="C259" i="5"/>
  <c r="G258" i="5"/>
  <c r="F258" i="5"/>
  <c r="E258" i="5"/>
  <c r="D258" i="5"/>
  <c r="C258" i="5"/>
  <c r="G257" i="5"/>
  <c r="F257" i="5"/>
  <c r="D257" i="5"/>
  <c r="E257" i="5" s="1"/>
  <c r="C257" i="5"/>
  <c r="G256" i="5"/>
  <c r="F256" i="5"/>
  <c r="D256" i="5"/>
  <c r="E256" i="5" s="1"/>
  <c r="C256" i="5"/>
  <c r="G255" i="5"/>
  <c r="F255" i="5"/>
  <c r="E255" i="5"/>
  <c r="D255" i="5"/>
  <c r="C255" i="5"/>
  <c r="G254" i="5"/>
  <c r="F254" i="5"/>
  <c r="E254" i="5"/>
  <c r="D254" i="5"/>
  <c r="C254" i="5"/>
  <c r="G253" i="5"/>
  <c r="F253" i="5"/>
  <c r="D253" i="5"/>
  <c r="E253" i="5" s="1"/>
  <c r="C253" i="5"/>
  <c r="G252" i="5"/>
  <c r="F252" i="5"/>
  <c r="E252" i="5"/>
  <c r="D252" i="5"/>
  <c r="C252" i="5"/>
  <c r="G251" i="5"/>
  <c r="F251" i="5"/>
  <c r="E251" i="5"/>
  <c r="D251" i="5"/>
  <c r="C251" i="5"/>
  <c r="G250" i="5"/>
  <c r="F250" i="5"/>
  <c r="D250" i="5"/>
  <c r="E250" i="5" s="1"/>
  <c r="C250" i="5"/>
  <c r="G249" i="5"/>
  <c r="F249" i="5"/>
  <c r="E249" i="5"/>
  <c r="D249" i="5"/>
  <c r="C249" i="5"/>
  <c r="G248" i="5"/>
  <c r="F248" i="5"/>
  <c r="D248" i="5"/>
  <c r="E248" i="5" s="1"/>
  <c r="C248" i="5"/>
  <c r="G247" i="5"/>
  <c r="F247" i="5"/>
  <c r="E247" i="5"/>
  <c r="D247" i="5"/>
  <c r="C247" i="5"/>
  <c r="G246" i="5"/>
  <c r="F246" i="5"/>
  <c r="D246" i="5"/>
  <c r="E246" i="5" s="1"/>
  <c r="C246" i="5"/>
  <c r="G245" i="5"/>
  <c r="F245" i="5"/>
  <c r="D245" i="5"/>
  <c r="E245" i="5" s="1"/>
  <c r="C245" i="5"/>
  <c r="G244" i="5"/>
  <c r="F244" i="5"/>
  <c r="E244" i="5"/>
  <c r="D244" i="5"/>
  <c r="C244" i="5"/>
  <c r="G243" i="5"/>
  <c r="F243" i="5"/>
  <c r="E243" i="5"/>
  <c r="D243" i="5"/>
  <c r="C243" i="5"/>
  <c r="G242" i="5"/>
  <c r="F242" i="5"/>
  <c r="E242" i="5"/>
  <c r="D242" i="5"/>
  <c r="C242" i="5"/>
  <c r="G241" i="5"/>
  <c r="F241" i="5"/>
  <c r="D241" i="5"/>
  <c r="E241" i="5" s="1"/>
  <c r="C241" i="5"/>
  <c r="G240" i="5"/>
  <c r="F240" i="5"/>
  <c r="E240" i="5"/>
  <c r="D240" i="5"/>
  <c r="C240" i="5"/>
  <c r="G239" i="5"/>
  <c r="F239" i="5"/>
  <c r="E239" i="5"/>
  <c r="D239" i="5"/>
  <c r="C239" i="5"/>
  <c r="G238" i="5"/>
  <c r="F238" i="5"/>
  <c r="E238" i="5"/>
  <c r="D238" i="5"/>
  <c r="C238" i="5"/>
  <c r="G237" i="5"/>
  <c r="F237" i="5"/>
  <c r="D237" i="5"/>
  <c r="E237" i="5" s="1"/>
  <c r="C237" i="5"/>
  <c r="G236" i="5"/>
  <c r="F236" i="5"/>
  <c r="D236" i="5"/>
  <c r="E236" i="5" s="1"/>
  <c r="C236" i="5"/>
  <c r="G235" i="5"/>
  <c r="F235" i="5"/>
  <c r="E235" i="5"/>
  <c r="D235" i="5"/>
  <c r="C235" i="5"/>
  <c r="G234" i="5"/>
  <c r="F234" i="5"/>
  <c r="D234" i="5"/>
  <c r="E234" i="5" s="1"/>
  <c r="C234" i="5"/>
  <c r="G233" i="5"/>
  <c r="F233" i="5"/>
  <c r="D233" i="5"/>
  <c r="E233" i="5" s="1"/>
  <c r="C233" i="5"/>
  <c r="G232" i="5"/>
  <c r="F232" i="5"/>
  <c r="E232" i="5"/>
  <c r="D232" i="5"/>
  <c r="C232" i="5"/>
  <c r="G231" i="5"/>
  <c r="F231" i="5"/>
  <c r="E231" i="5"/>
  <c r="D231" i="5"/>
  <c r="C231" i="5"/>
  <c r="G230" i="5"/>
  <c r="F230" i="5"/>
  <c r="D230" i="5"/>
  <c r="E230" i="5" s="1"/>
  <c r="C230" i="5"/>
  <c r="G229" i="5"/>
  <c r="F229" i="5"/>
  <c r="D229" i="5"/>
  <c r="E229" i="5" s="1"/>
  <c r="C229" i="5"/>
  <c r="G228" i="5"/>
  <c r="F228" i="5"/>
  <c r="E228" i="5"/>
  <c r="D228" i="5"/>
  <c r="C228" i="5"/>
  <c r="G227" i="5"/>
  <c r="F227" i="5"/>
  <c r="E227" i="5"/>
  <c r="D227" i="5"/>
  <c r="C227" i="5"/>
  <c r="G226" i="5"/>
  <c r="F226" i="5"/>
  <c r="E226" i="5"/>
  <c r="D226" i="5"/>
  <c r="C226" i="5"/>
  <c r="G225" i="5"/>
  <c r="F225" i="5"/>
  <c r="D225" i="5"/>
  <c r="E225" i="5" s="1"/>
  <c r="C225" i="5"/>
  <c r="G224" i="5"/>
  <c r="F224" i="5"/>
  <c r="D224" i="5"/>
  <c r="E224" i="5" s="1"/>
  <c r="C224" i="5"/>
  <c r="G223" i="5"/>
  <c r="F223" i="5"/>
  <c r="E223" i="5"/>
  <c r="D223" i="5"/>
  <c r="C223" i="5"/>
  <c r="G222" i="5"/>
  <c r="F222" i="5"/>
  <c r="E222" i="5"/>
  <c r="D222" i="5"/>
  <c r="C222" i="5"/>
  <c r="G221" i="5"/>
  <c r="F221" i="5"/>
  <c r="D221" i="5"/>
  <c r="E221" i="5" s="1"/>
  <c r="C221" i="5"/>
  <c r="G220" i="5"/>
  <c r="F220" i="5"/>
  <c r="E220" i="5"/>
  <c r="D220" i="5"/>
  <c r="C220" i="5"/>
  <c r="G219" i="5"/>
  <c r="F219" i="5"/>
  <c r="E219" i="5"/>
  <c r="D219" i="5"/>
  <c r="C219" i="5"/>
  <c r="G218" i="5"/>
  <c r="F218" i="5"/>
  <c r="D218" i="5"/>
  <c r="E218" i="5" s="1"/>
  <c r="C218" i="5"/>
  <c r="G217" i="5"/>
  <c r="F217" i="5"/>
  <c r="E217" i="5"/>
  <c r="D217" i="5"/>
  <c r="C217" i="5"/>
  <c r="G216" i="5"/>
  <c r="F216" i="5"/>
  <c r="E216" i="5"/>
  <c r="D216" i="5"/>
  <c r="C216" i="5"/>
  <c r="G215" i="5"/>
  <c r="F215" i="5"/>
  <c r="E215" i="5"/>
  <c r="D215" i="5"/>
  <c r="C215" i="5"/>
  <c r="G214" i="5"/>
  <c r="F214" i="5"/>
  <c r="D214" i="5"/>
  <c r="E214" i="5" s="1"/>
  <c r="C214" i="5"/>
  <c r="G213" i="5"/>
  <c r="F213" i="5"/>
  <c r="D213" i="5"/>
  <c r="E213" i="5" s="1"/>
  <c r="C213" i="5"/>
  <c r="G212" i="5"/>
  <c r="F212" i="5"/>
  <c r="E212" i="5"/>
  <c r="D212" i="5"/>
  <c r="C212" i="5"/>
  <c r="G211" i="5"/>
  <c r="F211" i="5"/>
  <c r="E211" i="5"/>
  <c r="D211" i="5"/>
  <c r="C211" i="5"/>
  <c r="G210" i="5"/>
  <c r="F210" i="5"/>
  <c r="E210" i="5"/>
  <c r="D210" i="5"/>
  <c r="C210" i="5"/>
  <c r="G209" i="5"/>
  <c r="F209" i="5"/>
  <c r="D209" i="5"/>
  <c r="E209" i="5" s="1"/>
  <c r="C209" i="5"/>
  <c r="G208" i="5"/>
  <c r="F208" i="5"/>
  <c r="E208" i="5"/>
  <c r="D208" i="5"/>
  <c r="C208" i="5"/>
  <c r="G207" i="5"/>
  <c r="F207" i="5"/>
  <c r="E207" i="5"/>
  <c r="D207" i="5"/>
  <c r="C207" i="5"/>
  <c r="G206" i="5"/>
  <c r="F206" i="5"/>
  <c r="E206" i="5"/>
  <c r="D206" i="5"/>
  <c r="C206" i="5"/>
  <c r="G205" i="5"/>
  <c r="F205" i="5"/>
  <c r="D205" i="5"/>
  <c r="E205" i="5" s="1"/>
  <c r="C205" i="5"/>
  <c r="G204" i="5"/>
  <c r="F204" i="5"/>
  <c r="D204" i="5"/>
  <c r="E204" i="5" s="1"/>
  <c r="C204" i="5"/>
  <c r="G203" i="5"/>
  <c r="F203" i="5"/>
  <c r="E203" i="5"/>
  <c r="D203" i="5"/>
  <c r="C203" i="5"/>
  <c r="G202" i="5"/>
  <c r="F202" i="5"/>
  <c r="D202" i="5"/>
  <c r="E202" i="5" s="1"/>
  <c r="C202" i="5"/>
  <c r="G201" i="5"/>
  <c r="F201" i="5"/>
  <c r="D201" i="5"/>
  <c r="E201" i="5" s="1"/>
  <c r="C201" i="5"/>
  <c r="G200" i="5"/>
  <c r="F200" i="5"/>
  <c r="D200" i="5"/>
  <c r="E200" i="5" s="1"/>
  <c r="C200" i="5"/>
  <c r="G199" i="5"/>
  <c r="F199" i="5"/>
  <c r="E199" i="5"/>
  <c r="D199" i="5"/>
  <c r="C199" i="5"/>
  <c r="G198" i="5"/>
  <c r="F198" i="5"/>
  <c r="E198" i="5"/>
  <c r="D198" i="5"/>
  <c r="C198" i="5"/>
  <c r="G197" i="5"/>
  <c r="F197" i="5"/>
  <c r="D197" i="5"/>
  <c r="E197" i="5" s="1"/>
  <c r="C197" i="5"/>
  <c r="G196" i="5"/>
  <c r="F196" i="5"/>
  <c r="D196" i="5"/>
  <c r="E196" i="5" s="1"/>
  <c r="C196" i="5"/>
  <c r="G195" i="5"/>
  <c r="F195" i="5"/>
  <c r="E195" i="5"/>
  <c r="D195" i="5"/>
  <c r="C195" i="5"/>
  <c r="G194" i="5"/>
  <c r="F194" i="5"/>
  <c r="E194" i="5"/>
  <c r="D194" i="5"/>
  <c r="C194" i="5"/>
  <c r="G193" i="5"/>
  <c r="F193" i="5"/>
  <c r="E193" i="5"/>
  <c r="D193" i="5"/>
  <c r="C193" i="5"/>
  <c r="G192" i="5"/>
  <c r="F192" i="5"/>
  <c r="D192" i="5"/>
  <c r="E192" i="5" s="1"/>
  <c r="C192" i="5"/>
  <c r="G191" i="5"/>
  <c r="F191" i="5"/>
  <c r="E191" i="5"/>
  <c r="D191" i="5"/>
  <c r="C191" i="5"/>
  <c r="G190" i="5"/>
  <c r="F190" i="5"/>
  <c r="E190" i="5"/>
  <c r="D190" i="5"/>
  <c r="C190" i="5"/>
  <c r="G189" i="5"/>
  <c r="F189" i="5"/>
  <c r="D189" i="5"/>
  <c r="E189" i="5" s="1"/>
  <c r="C189" i="5"/>
  <c r="G188" i="5"/>
  <c r="F188" i="5"/>
  <c r="E188" i="5"/>
  <c r="D188" i="5"/>
  <c r="C188" i="5"/>
  <c r="G187" i="5"/>
  <c r="F187" i="5"/>
  <c r="E187" i="5"/>
  <c r="D187" i="5"/>
  <c r="C187" i="5"/>
  <c r="G186" i="5"/>
  <c r="F186" i="5"/>
  <c r="D186" i="5"/>
  <c r="E186" i="5" s="1"/>
  <c r="C186" i="5"/>
  <c r="G185" i="5"/>
  <c r="F185" i="5"/>
  <c r="E185" i="5"/>
  <c r="D185" i="5"/>
  <c r="C185" i="5"/>
  <c r="G184" i="5"/>
  <c r="F184" i="5"/>
  <c r="D184" i="5"/>
  <c r="E184" i="5" s="1"/>
  <c r="C184" i="5"/>
  <c r="G183" i="5"/>
  <c r="F183" i="5"/>
  <c r="E183" i="5"/>
  <c r="D183" i="5"/>
  <c r="C183" i="5"/>
  <c r="G182" i="5"/>
  <c r="F182" i="5"/>
  <c r="D182" i="5"/>
  <c r="E182" i="5" s="1"/>
  <c r="C182" i="5"/>
  <c r="G181" i="5"/>
  <c r="F181" i="5"/>
  <c r="D181" i="5"/>
  <c r="E181" i="5" s="1"/>
  <c r="C181" i="5"/>
  <c r="G180" i="5"/>
  <c r="F180" i="5"/>
  <c r="D180" i="5"/>
  <c r="E180" i="5" s="1"/>
  <c r="C180" i="5"/>
  <c r="G179" i="5"/>
  <c r="F179" i="5"/>
  <c r="D179" i="5"/>
  <c r="E179" i="5" s="1"/>
  <c r="C179" i="5"/>
  <c r="G178" i="5"/>
  <c r="F178" i="5"/>
  <c r="E178" i="5"/>
  <c r="D178" i="5"/>
  <c r="C178" i="5"/>
  <c r="G177" i="5"/>
  <c r="F177" i="5"/>
  <c r="E177" i="5"/>
  <c r="D177" i="5"/>
  <c r="C177" i="5"/>
  <c r="G176" i="5"/>
  <c r="F176" i="5"/>
  <c r="E176" i="5"/>
  <c r="D176" i="5"/>
  <c r="C176" i="5"/>
  <c r="G175" i="5"/>
  <c r="F175" i="5"/>
  <c r="E175" i="5"/>
  <c r="D175" i="5"/>
  <c r="C175" i="5"/>
  <c r="G174" i="5"/>
  <c r="F174" i="5"/>
  <c r="E174" i="5"/>
  <c r="D174" i="5"/>
  <c r="C174" i="5"/>
  <c r="G173" i="5"/>
  <c r="F173" i="5"/>
  <c r="D173" i="5"/>
  <c r="E173" i="5" s="1"/>
  <c r="C173" i="5"/>
  <c r="G172" i="5"/>
  <c r="F172" i="5"/>
  <c r="D172" i="5"/>
  <c r="E172" i="5" s="1"/>
  <c r="C172" i="5"/>
  <c r="G171" i="5"/>
  <c r="F171" i="5"/>
  <c r="E171" i="5"/>
  <c r="D171" i="5"/>
  <c r="C171" i="5"/>
  <c r="G170" i="5"/>
  <c r="F170" i="5"/>
  <c r="D170" i="5"/>
  <c r="E170" i="5" s="1"/>
  <c r="C170" i="5"/>
  <c r="G169" i="5"/>
  <c r="F169" i="5"/>
  <c r="D169" i="5"/>
  <c r="E169" i="5" s="1"/>
  <c r="C169" i="5"/>
  <c r="G168" i="5"/>
  <c r="F168" i="5"/>
  <c r="E168" i="5"/>
  <c r="D168" i="5"/>
  <c r="C168" i="5"/>
  <c r="G167" i="5"/>
  <c r="F167" i="5"/>
  <c r="E167" i="5"/>
  <c r="D167" i="5"/>
  <c r="C167" i="5"/>
  <c r="G166" i="5"/>
  <c r="F166" i="5"/>
  <c r="E166" i="5"/>
  <c r="D166" i="5"/>
  <c r="C166" i="5"/>
  <c r="G165" i="5"/>
  <c r="F165" i="5"/>
  <c r="D165" i="5"/>
  <c r="E165" i="5" s="1"/>
  <c r="C165" i="5"/>
  <c r="G164" i="5"/>
  <c r="F164" i="5"/>
  <c r="D164" i="5"/>
  <c r="E164" i="5" s="1"/>
  <c r="C164" i="5"/>
  <c r="G163" i="5"/>
  <c r="F163" i="5"/>
  <c r="E163" i="5"/>
  <c r="D163" i="5"/>
  <c r="C163" i="5"/>
  <c r="G162" i="5"/>
  <c r="F162" i="5"/>
  <c r="E162" i="5"/>
  <c r="D162" i="5"/>
  <c r="C162" i="5"/>
  <c r="G161" i="5"/>
  <c r="F161" i="5"/>
  <c r="E161" i="5"/>
  <c r="D161" i="5"/>
  <c r="C161" i="5"/>
  <c r="G160" i="5"/>
  <c r="F160" i="5"/>
  <c r="E160" i="5"/>
  <c r="D160" i="5"/>
  <c r="C160" i="5"/>
  <c r="G159" i="5"/>
  <c r="F159" i="5"/>
  <c r="E159" i="5"/>
  <c r="D159" i="5"/>
  <c r="C159" i="5"/>
  <c r="G158" i="5"/>
  <c r="F158" i="5"/>
  <c r="D158" i="5"/>
  <c r="E158" i="5" s="1"/>
  <c r="C158" i="5"/>
  <c r="G157" i="5"/>
  <c r="F157" i="5"/>
  <c r="D157" i="5"/>
  <c r="E157" i="5" s="1"/>
  <c r="C157" i="5"/>
  <c r="G156" i="5"/>
  <c r="F156" i="5"/>
  <c r="E156" i="5"/>
  <c r="D156" i="5"/>
  <c r="C156" i="5"/>
  <c r="G155" i="5"/>
  <c r="F155" i="5"/>
  <c r="D155" i="5"/>
  <c r="E155" i="5" s="1"/>
  <c r="C155" i="5"/>
  <c r="G154" i="5"/>
  <c r="F154" i="5"/>
  <c r="D154" i="5"/>
  <c r="E154" i="5" s="1"/>
  <c r="C154" i="5"/>
  <c r="G153" i="5"/>
  <c r="F153" i="5"/>
  <c r="E153" i="5"/>
  <c r="D153" i="5"/>
  <c r="C153" i="5"/>
  <c r="G152" i="5"/>
  <c r="F152" i="5"/>
  <c r="D152" i="5"/>
  <c r="E152" i="5" s="1"/>
  <c r="C152" i="5"/>
  <c r="G151" i="5"/>
  <c r="F151" i="5"/>
  <c r="E151" i="5"/>
  <c r="D151" i="5"/>
  <c r="C151" i="5"/>
  <c r="G150" i="5"/>
  <c r="F150" i="5"/>
  <c r="E150" i="5"/>
  <c r="D150" i="5"/>
  <c r="C150" i="5"/>
  <c r="G149" i="5"/>
  <c r="F149" i="5"/>
  <c r="D149" i="5"/>
  <c r="E149" i="5" s="1"/>
  <c r="C149" i="5"/>
  <c r="G148" i="5"/>
  <c r="F148" i="5"/>
  <c r="E148" i="5"/>
  <c r="D148" i="5"/>
  <c r="C148" i="5"/>
  <c r="G147" i="5"/>
  <c r="F147" i="5"/>
  <c r="E147" i="5"/>
  <c r="D147" i="5"/>
  <c r="C147" i="5"/>
  <c r="G146" i="5"/>
  <c r="F146" i="5"/>
  <c r="E146" i="5"/>
  <c r="D146" i="5"/>
  <c r="C146" i="5"/>
  <c r="G145" i="5"/>
  <c r="F145" i="5"/>
  <c r="D145" i="5"/>
  <c r="E145" i="5" s="1"/>
  <c r="C145" i="5"/>
  <c r="G144" i="5"/>
  <c r="F144" i="5"/>
  <c r="E144" i="5"/>
  <c r="D144" i="5"/>
  <c r="C144" i="5"/>
  <c r="G143" i="5"/>
  <c r="F143" i="5"/>
  <c r="E143" i="5"/>
  <c r="D143" i="5"/>
  <c r="C143" i="5"/>
  <c r="G142" i="5"/>
  <c r="F142" i="5"/>
  <c r="E142" i="5"/>
  <c r="D142" i="5"/>
  <c r="C142" i="5"/>
  <c r="G141" i="5"/>
  <c r="F141" i="5"/>
  <c r="D141" i="5"/>
  <c r="E141" i="5" s="1"/>
  <c r="C141" i="5"/>
  <c r="G140" i="5"/>
  <c r="F140" i="5"/>
  <c r="E140" i="5"/>
  <c r="D140" i="5"/>
  <c r="C140" i="5"/>
  <c r="G139" i="5"/>
  <c r="F139" i="5"/>
  <c r="E139" i="5"/>
  <c r="D139" i="5"/>
  <c r="C139" i="5"/>
  <c r="G138" i="5"/>
  <c r="F138" i="5"/>
  <c r="D138" i="5"/>
  <c r="E138" i="5" s="1"/>
  <c r="C138" i="5"/>
  <c r="G137" i="5"/>
  <c r="F137" i="5"/>
  <c r="E137" i="5"/>
  <c r="D137" i="5"/>
  <c r="C137" i="5"/>
  <c r="G136" i="5"/>
  <c r="F136" i="5"/>
  <c r="E136" i="5"/>
  <c r="D136" i="5"/>
  <c r="C136" i="5"/>
  <c r="G135" i="5"/>
  <c r="F135" i="5"/>
  <c r="E135" i="5"/>
  <c r="D135" i="5"/>
  <c r="C135" i="5"/>
  <c r="G134" i="5"/>
  <c r="F134" i="5"/>
  <c r="E134" i="5"/>
  <c r="D134" i="5"/>
  <c r="C134" i="5"/>
  <c r="G133" i="5"/>
  <c r="F133" i="5"/>
  <c r="D133" i="5"/>
  <c r="E133" i="5" s="1"/>
  <c r="C133" i="5"/>
  <c r="G132" i="5"/>
  <c r="F132" i="5"/>
  <c r="D132" i="5"/>
  <c r="E132" i="5" s="1"/>
  <c r="C132" i="5"/>
  <c r="G131" i="5"/>
  <c r="F131" i="5"/>
  <c r="E131" i="5"/>
  <c r="D131" i="5"/>
  <c r="C131" i="5"/>
  <c r="G130" i="5"/>
  <c r="F130" i="5"/>
  <c r="E130" i="5"/>
  <c r="D130" i="5"/>
  <c r="C130" i="5"/>
  <c r="G129" i="5"/>
  <c r="F129" i="5"/>
  <c r="E129" i="5"/>
  <c r="D129" i="5"/>
  <c r="C129" i="5"/>
  <c r="G128" i="5"/>
  <c r="F128" i="5"/>
  <c r="D128" i="5"/>
  <c r="E128" i="5" s="1"/>
  <c r="C128" i="5"/>
  <c r="G127" i="5"/>
  <c r="F127" i="5"/>
  <c r="E127" i="5"/>
  <c r="D127" i="5"/>
  <c r="C127" i="5"/>
  <c r="G126" i="5"/>
  <c r="F126" i="5"/>
  <c r="D126" i="5"/>
  <c r="E126" i="5" s="1"/>
  <c r="C126" i="5"/>
  <c r="G125" i="5"/>
  <c r="F125" i="5"/>
  <c r="D125" i="5"/>
  <c r="E125" i="5" s="1"/>
  <c r="C125" i="5"/>
  <c r="G124" i="5"/>
  <c r="F124" i="5"/>
  <c r="D124" i="5"/>
  <c r="E124" i="5" s="1"/>
  <c r="C124" i="5"/>
  <c r="G123" i="5"/>
  <c r="F123" i="5"/>
  <c r="D123" i="5"/>
  <c r="E123" i="5" s="1"/>
  <c r="C123" i="5"/>
  <c r="G122" i="5"/>
  <c r="F122" i="5"/>
  <c r="D122" i="5"/>
  <c r="E122" i="5" s="1"/>
  <c r="C122" i="5"/>
  <c r="G121" i="5"/>
  <c r="F121" i="5"/>
  <c r="E121" i="5"/>
  <c r="D121" i="5"/>
  <c r="C121" i="5"/>
  <c r="G120" i="5"/>
  <c r="F120" i="5"/>
  <c r="E120" i="5"/>
  <c r="D120" i="5"/>
  <c r="C120" i="5"/>
  <c r="G119" i="5"/>
  <c r="F119" i="5"/>
  <c r="E119" i="5"/>
  <c r="D119" i="5"/>
  <c r="C119" i="5"/>
  <c r="G118" i="5"/>
  <c r="F118" i="5"/>
  <c r="D118" i="5"/>
  <c r="E118" i="5" s="1"/>
  <c r="C118" i="5"/>
  <c r="G117" i="5"/>
  <c r="F117" i="5"/>
  <c r="D117" i="5"/>
  <c r="E117" i="5" s="1"/>
  <c r="C117" i="5"/>
  <c r="G116" i="5"/>
  <c r="F116" i="5"/>
  <c r="E116" i="5"/>
  <c r="D116" i="5"/>
  <c r="C116" i="5"/>
  <c r="G115" i="5"/>
  <c r="F115" i="5"/>
  <c r="D115" i="5"/>
  <c r="E115" i="5" s="1"/>
  <c r="C115" i="5"/>
  <c r="G114" i="5"/>
  <c r="F114" i="5"/>
  <c r="E114" i="5"/>
  <c r="D114" i="5"/>
  <c r="C114" i="5"/>
  <c r="G113" i="5"/>
  <c r="F113" i="5"/>
  <c r="D113" i="5"/>
  <c r="E113" i="5" s="1"/>
  <c r="C113" i="5"/>
  <c r="G112" i="5"/>
  <c r="F112" i="5"/>
  <c r="E112" i="5"/>
  <c r="D112" i="5"/>
  <c r="C112" i="5"/>
  <c r="G111" i="5"/>
  <c r="F111" i="5"/>
  <c r="E111" i="5"/>
  <c r="D111" i="5"/>
  <c r="C111" i="5"/>
  <c r="G110" i="5"/>
  <c r="F110" i="5"/>
  <c r="E110" i="5"/>
  <c r="D110" i="5"/>
  <c r="C110" i="5"/>
  <c r="G109" i="5"/>
  <c r="F109" i="5"/>
  <c r="D109" i="5"/>
  <c r="E109" i="5" s="1"/>
  <c r="C109" i="5"/>
  <c r="G108" i="5"/>
  <c r="F108" i="5"/>
  <c r="D108" i="5"/>
  <c r="E108" i="5" s="1"/>
  <c r="C108" i="5"/>
  <c r="G107" i="5"/>
  <c r="F107" i="5"/>
  <c r="D107" i="5"/>
  <c r="E107" i="5" s="1"/>
  <c r="C107" i="5"/>
  <c r="G106" i="5"/>
  <c r="F106" i="5"/>
  <c r="D106" i="5"/>
  <c r="E106" i="5" s="1"/>
  <c r="C106" i="5"/>
  <c r="G105" i="5"/>
  <c r="F105" i="5"/>
  <c r="D105" i="5"/>
  <c r="E105" i="5" s="1"/>
  <c r="C105" i="5"/>
  <c r="G104" i="5"/>
  <c r="F104" i="5"/>
  <c r="E104" i="5"/>
  <c r="D104" i="5"/>
  <c r="C104" i="5"/>
  <c r="G103" i="5"/>
  <c r="F103" i="5"/>
  <c r="E103" i="5"/>
  <c r="D103" i="5"/>
  <c r="C103" i="5"/>
  <c r="G102" i="5"/>
  <c r="F102" i="5"/>
  <c r="E102" i="5"/>
  <c r="D102" i="5"/>
  <c r="C102" i="5"/>
  <c r="G101" i="5"/>
  <c r="F101" i="5"/>
  <c r="D101" i="5"/>
  <c r="E101" i="5" s="1"/>
  <c r="C101" i="5"/>
  <c r="G100" i="5"/>
  <c r="F100" i="5"/>
  <c r="E100" i="5"/>
  <c r="D100" i="5"/>
  <c r="C100" i="5"/>
  <c r="G99" i="5"/>
  <c r="F99" i="5"/>
  <c r="E99" i="5"/>
  <c r="D99" i="5"/>
  <c r="C99" i="5"/>
  <c r="G98" i="5"/>
  <c r="F98" i="5"/>
  <c r="E98" i="5"/>
  <c r="D98" i="5"/>
  <c r="C98" i="5"/>
  <c r="G97" i="5"/>
  <c r="F97" i="5"/>
  <c r="D97" i="5"/>
  <c r="E97" i="5" s="1"/>
  <c r="C97" i="5"/>
  <c r="G96" i="5"/>
  <c r="F96" i="5"/>
  <c r="D96" i="5"/>
  <c r="E96" i="5" s="1"/>
  <c r="C96" i="5"/>
  <c r="G95" i="5"/>
  <c r="F95" i="5"/>
  <c r="E95" i="5"/>
  <c r="D95" i="5"/>
  <c r="C95" i="5"/>
  <c r="G94" i="5"/>
  <c r="F94" i="5"/>
  <c r="E94" i="5"/>
  <c r="D94" i="5"/>
  <c r="C94" i="5"/>
  <c r="G93" i="5"/>
  <c r="F93" i="5"/>
  <c r="D93" i="5"/>
  <c r="E93" i="5" s="1"/>
  <c r="C93" i="5"/>
  <c r="G92" i="5"/>
  <c r="F92" i="5"/>
  <c r="E92" i="5"/>
  <c r="D92" i="5"/>
  <c r="C92" i="5"/>
  <c r="G91" i="5"/>
  <c r="F91" i="5"/>
  <c r="D91" i="5"/>
  <c r="E91" i="5" s="1"/>
  <c r="C91" i="5"/>
  <c r="G90" i="5"/>
  <c r="F90" i="5"/>
  <c r="D90" i="5"/>
  <c r="E90" i="5" s="1"/>
  <c r="C90" i="5"/>
  <c r="G89" i="5"/>
  <c r="F89" i="5"/>
  <c r="E89" i="5"/>
  <c r="D89" i="5"/>
  <c r="C89" i="5"/>
  <c r="G88" i="5"/>
  <c r="F88" i="5"/>
  <c r="D88" i="5"/>
  <c r="E88" i="5" s="1"/>
  <c r="C88" i="5"/>
  <c r="G87" i="5"/>
  <c r="F87" i="5"/>
  <c r="E87" i="5"/>
  <c r="D87" i="5"/>
  <c r="C87" i="5"/>
  <c r="G86" i="5"/>
  <c r="F86" i="5"/>
  <c r="D86" i="5"/>
  <c r="E86" i="5" s="1"/>
  <c r="C86" i="5"/>
  <c r="G85" i="5"/>
  <c r="F85" i="5"/>
  <c r="D85" i="5"/>
  <c r="E85" i="5" s="1"/>
  <c r="C85" i="5"/>
  <c r="G84" i="5"/>
  <c r="F84" i="5"/>
  <c r="D84" i="5"/>
  <c r="E84" i="5" s="1"/>
  <c r="C84" i="5"/>
  <c r="G83" i="5"/>
  <c r="F83" i="5"/>
  <c r="D83" i="5"/>
  <c r="E83" i="5" s="1"/>
  <c r="C83" i="5"/>
  <c r="G82" i="5"/>
  <c r="F82" i="5"/>
  <c r="E82" i="5"/>
  <c r="D82" i="5"/>
  <c r="C82" i="5"/>
  <c r="G81" i="5"/>
  <c r="F81" i="5"/>
  <c r="D81" i="5"/>
  <c r="E81" i="5" s="1"/>
  <c r="C81" i="5"/>
  <c r="G80" i="5"/>
  <c r="F80" i="5"/>
  <c r="E80" i="5"/>
  <c r="D80" i="5"/>
  <c r="C80" i="5"/>
  <c r="G79" i="5"/>
  <c r="F79" i="5"/>
  <c r="E79" i="5"/>
  <c r="D79" i="5"/>
  <c r="C79" i="5"/>
  <c r="G78" i="5"/>
  <c r="F78" i="5"/>
  <c r="E78" i="5"/>
  <c r="D78" i="5"/>
  <c r="C78" i="5"/>
  <c r="G77" i="5"/>
  <c r="F77" i="5"/>
  <c r="D77" i="5"/>
  <c r="E77" i="5" s="1"/>
  <c r="C77" i="5"/>
  <c r="G76" i="5"/>
  <c r="F76" i="5"/>
  <c r="D76" i="5"/>
  <c r="E76" i="5" s="1"/>
  <c r="C76" i="5"/>
  <c r="G75" i="5"/>
  <c r="F75" i="5"/>
  <c r="E75" i="5"/>
  <c r="D75" i="5"/>
  <c r="C75" i="5"/>
  <c r="G74" i="5"/>
  <c r="F74" i="5"/>
  <c r="D74" i="5"/>
  <c r="E74" i="5" s="1"/>
  <c r="C74" i="5"/>
  <c r="G73" i="5"/>
  <c r="F73" i="5"/>
  <c r="D73" i="5"/>
  <c r="E73" i="5" s="1"/>
  <c r="C73" i="5"/>
  <c r="G72" i="5"/>
  <c r="F72" i="5"/>
  <c r="E72" i="5"/>
  <c r="D72" i="5"/>
  <c r="C72" i="5"/>
  <c r="G71" i="5"/>
  <c r="F71" i="5"/>
  <c r="E71" i="5"/>
  <c r="D71" i="5"/>
  <c r="C71" i="5"/>
  <c r="G70" i="5"/>
  <c r="F70" i="5"/>
  <c r="E70" i="5"/>
  <c r="D70" i="5"/>
  <c r="C70" i="5"/>
  <c r="G69" i="5"/>
  <c r="F69" i="5"/>
  <c r="D69" i="5"/>
  <c r="E69" i="5" s="1"/>
  <c r="C69" i="5"/>
  <c r="G68" i="5"/>
  <c r="F68" i="5"/>
  <c r="D68" i="5"/>
  <c r="E68" i="5" s="1"/>
  <c r="C68" i="5"/>
  <c r="G67" i="5"/>
  <c r="F67" i="5"/>
  <c r="D67" i="5"/>
  <c r="E67" i="5" s="1"/>
  <c r="C67" i="5"/>
  <c r="G66" i="5"/>
  <c r="F66" i="5"/>
  <c r="E66" i="5"/>
  <c r="D66" i="5"/>
  <c r="C66" i="5"/>
  <c r="G65" i="5"/>
  <c r="F65" i="5"/>
  <c r="E65" i="5"/>
  <c r="D65" i="5"/>
  <c r="C65" i="5"/>
  <c r="G64" i="5"/>
  <c r="F64" i="5"/>
  <c r="E64" i="5"/>
  <c r="D64" i="5"/>
  <c r="C64" i="5"/>
  <c r="G63" i="5"/>
  <c r="F63" i="5"/>
  <c r="E63" i="5"/>
  <c r="D63" i="5"/>
  <c r="C63" i="5"/>
  <c r="G62" i="5"/>
  <c r="F62" i="5"/>
  <c r="D62" i="5"/>
  <c r="E62" i="5" s="1"/>
  <c r="C62" i="5"/>
  <c r="G61" i="5"/>
  <c r="F61" i="5"/>
  <c r="D61" i="5"/>
  <c r="E61" i="5" s="1"/>
  <c r="C61" i="5"/>
  <c r="G60" i="5"/>
  <c r="F60" i="5"/>
  <c r="E60" i="5"/>
  <c r="D60" i="5"/>
  <c r="C60" i="5"/>
  <c r="G59" i="5"/>
  <c r="F59" i="5"/>
  <c r="D59" i="5"/>
  <c r="E59" i="5" s="1"/>
  <c r="C59" i="5"/>
  <c r="G58" i="5"/>
  <c r="F58" i="5"/>
  <c r="D58" i="5"/>
  <c r="E58" i="5" s="1"/>
  <c r="C58" i="5"/>
  <c r="G57" i="5"/>
  <c r="F57" i="5"/>
  <c r="D57" i="5"/>
  <c r="E57" i="5" s="1"/>
  <c r="C57" i="5"/>
  <c r="G56" i="5"/>
  <c r="F56" i="5"/>
  <c r="D56" i="5"/>
  <c r="E56" i="5" s="1"/>
  <c r="C56" i="5"/>
  <c r="G55" i="5"/>
  <c r="F55" i="5"/>
  <c r="E55" i="5"/>
  <c r="D55" i="5"/>
  <c r="C55" i="5"/>
  <c r="G54" i="5"/>
  <c r="F54" i="5"/>
  <c r="E54" i="5"/>
  <c r="D54" i="5"/>
  <c r="C54" i="5"/>
  <c r="G53" i="5"/>
  <c r="F53" i="5"/>
  <c r="D53" i="5"/>
  <c r="E53" i="5" s="1"/>
  <c r="C53" i="5"/>
  <c r="G52" i="5"/>
  <c r="F52" i="5"/>
  <c r="E52" i="5"/>
  <c r="D52" i="5"/>
  <c r="C52" i="5"/>
  <c r="G51" i="5"/>
  <c r="F51" i="5"/>
  <c r="D51" i="5"/>
  <c r="E51" i="5" s="1"/>
  <c r="C51" i="5"/>
  <c r="G50" i="5"/>
  <c r="F50" i="5"/>
  <c r="E50" i="5"/>
  <c r="D50" i="5"/>
  <c r="C50" i="5"/>
  <c r="G49" i="5"/>
  <c r="F49" i="5"/>
  <c r="D49" i="5"/>
  <c r="E49" i="5" s="1"/>
  <c r="C49" i="5"/>
  <c r="G48" i="5"/>
  <c r="F48" i="5"/>
  <c r="E48" i="5"/>
  <c r="D48" i="5"/>
  <c r="C48" i="5"/>
  <c r="G47" i="5"/>
  <c r="F47" i="5"/>
  <c r="E47" i="5"/>
  <c r="D47" i="5"/>
  <c r="C47" i="5"/>
  <c r="G46" i="5"/>
  <c r="F46" i="5"/>
  <c r="E46" i="5"/>
  <c r="D46" i="5"/>
  <c r="C46" i="5"/>
  <c r="G45" i="5"/>
  <c r="F45" i="5"/>
  <c r="D45" i="5"/>
  <c r="E45" i="5" s="1"/>
  <c r="C45" i="5"/>
  <c r="G44" i="5"/>
  <c r="F44" i="5"/>
  <c r="E44" i="5"/>
  <c r="D44" i="5"/>
  <c r="C44" i="5"/>
  <c r="G43" i="5"/>
  <c r="F43" i="5"/>
  <c r="E43" i="5"/>
  <c r="D43" i="5"/>
  <c r="C43" i="5"/>
  <c r="G42" i="5"/>
  <c r="F42" i="5"/>
  <c r="D42" i="5"/>
  <c r="E42" i="5" s="1"/>
  <c r="C42" i="5"/>
  <c r="G41" i="5"/>
  <c r="F41" i="5"/>
  <c r="D41" i="5"/>
  <c r="E41" i="5" s="1"/>
  <c r="C41" i="5"/>
  <c r="G40" i="5"/>
  <c r="F40" i="5"/>
  <c r="E40" i="5"/>
  <c r="D40" i="5"/>
  <c r="C40" i="5"/>
  <c r="G39" i="5"/>
  <c r="F39" i="5"/>
  <c r="E39" i="5"/>
  <c r="D39" i="5"/>
  <c r="C39" i="5"/>
  <c r="G38" i="5"/>
  <c r="F38" i="5"/>
  <c r="E38" i="5"/>
  <c r="D38" i="5"/>
  <c r="C38" i="5"/>
  <c r="G37" i="5"/>
  <c r="F37" i="5"/>
  <c r="D37" i="5"/>
  <c r="E37" i="5" s="1"/>
  <c r="C37" i="5"/>
  <c r="G36" i="5"/>
  <c r="F36" i="5"/>
  <c r="D36" i="5"/>
  <c r="E36" i="5" s="1"/>
  <c r="C36" i="5"/>
  <c r="G35" i="5"/>
  <c r="F35" i="5"/>
  <c r="E35" i="5"/>
  <c r="D35" i="5"/>
  <c r="C35" i="5"/>
  <c r="G34" i="5"/>
  <c r="F34" i="5"/>
  <c r="E34" i="5"/>
  <c r="D34" i="5"/>
  <c r="C34" i="5"/>
  <c r="G33" i="5"/>
  <c r="F33" i="5"/>
  <c r="E33" i="5"/>
  <c r="D33" i="5"/>
  <c r="C33" i="5"/>
  <c r="G32" i="5"/>
  <c r="F32" i="5"/>
  <c r="D32" i="5"/>
  <c r="E32" i="5" s="1"/>
  <c r="C32" i="5"/>
  <c r="G31" i="5"/>
  <c r="F31" i="5"/>
  <c r="E31" i="5"/>
  <c r="D31" i="5"/>
  <c r="C31" i="5"/>
  <c r="G30" i="5"/>
  <c r="F30" i="5"/>
  <c r="D30" i="5"/>
  <c r="E30" i="5" s="1"/>
  <c r="C30" i="5"/>
  <c r="G29" i="5"/>
  <c r="F29" i="5"/>
  <c r="D29" i="5"/>
  <c r="E29" i="5" s="1"/>
  <c r="C29" i="5"/>
  <c r="G28" i="5"/>
  <c r="F28" i="5"/>
  <c r="E28" i="5"/>
  <c r="D28" i="5"/>
  <c r="C28" i="5"/>
  <c r="G27" i="5"/>
  <c r="F27" i="5"/>
  <c r="E27" i="5"/>
  <c r="D27" i="5"/>
  <c r="C27" i="5"/>
  <c r="G26" i="5"/>
  <c r="F26" i="5"/>
  <c r="D26" i="5"/>
  <c r="E26" i="5" s="1"/>
  <c r="C26" i="5"/>
  <c r="G25" i="5"/>
  <c r="F25" i="5"/>
  <c r="E25" i="5"/>
  <c r="D25" i="5"/>
  <c r="C25" i="5"/>
  <c r="G24" i="5"/>
  <c r="F24" i="5"/>
  <c r="E24" i="5"/>
  <c r="D24" i="5"/>
  <c r="C24" i="5"/>
  <c r="G23" i="5"/>
  <c r="F23" i="5"/>
  <c r="E23" i="5"/>
  <c r="D23" i="5"/>
  <c r="C23" i="5"/>
  <c r="G22" i="5"/>
  <c r="F22" i="5"/>
  <c r="D22" i="5"/>
  <c r="E22" i="5" s="1"/>
  <c r="C22" i="5"/>
  <c r="G21" i="5"/>
  <c r="F21" i="5"/>
  <c r="D21" i="5"/>
  <c r="E21" i="5" s="1"/>
  <c r="C21" i="5"/>
  <c r="D14" i="1" s="1"/>
  <c r="D15" i="1" s="1"/>
  <c r="G20" i="5"/>
  <c r="F20" i="5"/>
  <c r="E20" i="5"/>
  <c r="D20" i="5"/>
  <c r="C20" i="5"/>
  <c r="G19" i="5"/>
  <c r="F19" i="5"/>
  <c r="D19" i="5"/>
  <c r="E19" i="5" s="1"/>
  <c r="C19" i="5"/>
  <c r="G18" i="5"/>
  <c r="F18" i="5"/>
  <c r="E18" i="5"/>
  <c r="D18" i="5"/>
  <c r="C18" i="5"/>
  <c r="G17" i="5"/>
  <c r="F17" i="5"/>
  <c r="E17" i="5"/>
  <c r="D17" i="5"/>
  <c r="C17" i="5"/>
  <c r="G16" i="5"/>
  <c r="F16" i="5"/>
  <c r="E16" i="5"/>
  <c r="D16" i="5"/>
  <c r="C16" i="5"/>
  <c r="G15" i="5"/>
  <c r="F15" i="5"/>
  <c r="D15" i="5"/>
  <c r="E15" i="5" s="1"/>
  <c r="C15" i="5"/>
  <c r="G14" i="5"/>
  <c r="F14" i="5"/>
  <c r="D14" i="5"/>
  <c r="E14" i="5" s="1"/>
  <c r="C14" i="5"/>
  <c r="G13" i="5"/>
  <c r="F13" i="5"/>
  <c r="D13" i="5"/>
  <c r="E13" i="5" s="1"/>
  <c r="C13" i="5"/>
  <c r="G12" i="5"/>
  <c r="F12" i="5"/>
  <c r="E12" i="5"/>
  <c r="D12" i="5"/>
  <c r="C12" i="5"/>
  <c r="G11" i="5"/>
  <c r="F11" i="5"/>
  <c r="E11" i="5"/>
  <c r="D11" i="5"/>
  <c r="C11" i="5"/>
  <c r="G10" i="5"/>
  <c r="F10" i="5"/>
  <c r="D10" i="5"/>
  <c r="E10" i="5" s="1"/>
  <c r="C10" i="5"/>
  <c r="G9" i="5"/>
  <c r="F9" i="5"/>
  <c r="E9" i="5"/>
  <c r="D9" i="5"/>
  <c r="C9" i="5"/>
  <c r="G8" i="5"/>
  <c r="F8" i="5"/>
  <c r="D8" i="5"/>
  <c r="E8" i="5" s="1"/>
  <c r="C8" i="5"/>
  <c r="G7" i="5"/>
  <c r="F7" i="5"/>
  <c r="E7" i="5"/>
  <c r="D7" i="5"/>
  <c r="C7" i="5"/>
  <c r="G6" i="5"/>
  <c r="F6" i="5"/>
  <c r="D6" i="5"/>
  <c r="E6" i="5" s="1"/>
  <c r="C6" i="5"/>
  <c r="G5" i="5"/>
  <c r="F5" i="5"/>
  <c r="E5" i="5"/>
  <c r="D5" i="5"/>
  <c r="C5" i="5"/>
  <c r="G4" i="5"/>
  <c r="F4" i="5"/>
  <c r="E4" i="5"/>
  <c r="D4" i="5"/>
  <c r="C4" i="5"/>
  <c r="G3" i="5"/>
  <c r="F3" i="5"/>
  <c r="E3" i="5"/>
  <c r="D3" i="5"/>
  <c r="C3" i="5"/>
  <c r="G2" i="5"/>
  <c r="F2" i="5"/>
  <c r="D2" i="5"/>
  <c r="E2" i="5" s="1"/>
  <c r="G1130" i="4"/>
  <c r="F1130" i="4"/>
  <c r="E1130" i="4"/>
  <c r="D1130" i="4"/>
  <c r="C1130" i="4"/>
  <c r="G1129" i="4"/>
  <c r="F1129" i="4"/>
  <c r="E1129" i="4"/>
  <c r="D1129" i="4"/>
  <c r="C1129" i="4"/>
  <c r="G1128" i="4"/>
  <c r="F1128" i="4"/>
  <c r="D1128" i="4"/>
  <c r="E1128" i="4" s="1"/>
  <c r="C1128" i="4"/>
  <c r="G1127" i="4"/>
  <c r="F1127" i="4"/>
  <c r="E1127" i="4"/>
  <c r="D1127" i="4"/>
  <c r="C1127" i="4"/>
  <c r="G1126" i="4"/>
  <c r="F1126" i="4"/>
  <c r="D1126" i="4"/>
  <c r="E1126" i="4" s="1"/>
  <c r="C1126" i="4"/>
  <c r="G1125" i="4"/>
  <c r="F1125" i="4"/>
  <c r="D1125" i="4"/>
  <c r="E1125" i="4" s="1"/>
  <c r="C1125" i="4"/>
  <c r="G1124" i="4"/>
  <c r="F1124" i="4"/>
  <c r="E1124" i="4"/>
  <c r="D1124" i="4"/>
  <c r="C1124" i="4"/>
  <c r="G1123" i="4"/>
  <c r="F1123" i="4"/>
  <c r="E1123" i="4"/>
  <c r="D1123" i="4"/>
  <c r="C1123" i="4"/>
  <c r="G1122" i="4"/>
  <c r="F1122" i="4"/>
  <c r="E1122" i="4"/>
  <c r="D1122" i="4"/>
  <c r="C1122" i="4"/>
  <c r="G1121" i="4"/>
  <c r="F1121" i="4"/>
  <c r="D1121" i="4"/>
  <c r="E1121" i="4" s="1"/>
  <c r="C1121" i="4"/>
  <c r="G1120" i="4"/>
  <c r="F1120" i="4"/>
  <c r="D1120" i="4"/>
  <c r="E1120" i="4" s="1"/>
  <c r="C1120" i="4"/>
  <c r="G1119" i="4"/>
  <c r="F1119" i="4"/>
  <c r="D1119" i="4"/>
  <c r="E1119" i="4" s="1"/>
  <c r="C1119" i="4"/>
  <c r="G1118" i="4"/>
  <c r="F1118" i="4"/>
  <c r="E1118" i="4"/>
  <c r="D1118" i="4"/>
  <c r="C1118" i="4"/>
  <c r="G1117" i="4"/>
  <c r="F1117" i="4"/>
  <c r="E1117" i="4"/>
  <c r="D1117" i="4"/>
  <c r="C1117" i="4"/>
  <c r="G1116" i="4"/>
  <c r="F1116" i="4"/>
  <c r="E1116" i="4"/>
  <c r="D1116" i="4"/>
  <c r="C1116" i="4"/>
  <c r="G1115" i="4"/>
  <c r="F1115" i="4"/>
  <c r="D1115" i="4"/>
  <c r="E1115" i="4" s="1"/>
  <c r="C1115" i="4"/>
  <c r="G1114" i="4"/>
  <c r="F1114" i="4"/>
  <c r="D1114" i="4"/>
  <c r="E1114" i="4" s="1"/>
  <c r="C1114" i="4"/>
  <c r="G1113" i="4"/>
  <c r="F1113" i="4"/>
  <c r="D1113" i="4"/>
  <c r="E1113" i="4" s="1"/>
  <c r="C1113" i="4"/>
  <c r="G1112" i="4"/>
  <c r="F1112" i="4"/>
  <c r="E1112" i="4"/>
  <c r="D1112" i="4"/>
  <c r="C1112" i="4"/>
  <c r="G1111" i="4"/>
  <c r="F1111" i="4"/>
  <c r="D1111" i="4"/>
  <c r="E1111" i="4" s="1"/>
  <c r="C1111" i="4"/>
  <c r="G1110" i="4"/>
  <c r="F1110" i="4"/>
  <c r="E1110" i="4"/>
  <c r="D1110" i="4"/>
  <c r="C1110" i="4"/>
  <c r="G1109" i="4"/>
  <c r="F1109" i="4"/>
  <c r="D1109" i="4"/>
  <c r="E1109" i="4" s="1"/>
  <c r="C1109" i="4"/>
  <c r="G1108" i="4"/>
  <c r="F1108" i="4"/>
  <c r="E1108" i="4"/>
  <c r="D1108" i="4"/>
  <c r="C1108" i="4"/>
  <c r="G1107" i="4"/>
  <c r="F1107" i="4"/>
  <c r="E1107" i="4"/>
  <c r="D1107" i="4"/>
  <c r="C1107" i="4"/>
  <c r="G1106" i="4"/>
  <c r="F1106" i="4"/>
  <c r="E1106" i="4"/>
  <c r="D1106" i="4"/>
  <c r="C1106" i="4"/>
  <c r="G1105" i="4"/>
  <c r="F1105" i="4"/>
  <c r="D1105" i="4"/>
  <c r="E1105" i="4" s="1"/>
  <c r="C1105" i="4"/>
  <c r="G1104" i="4"/>
  <c r="F1104" i="4"/>
  <c r="D1104" i="4"/>
  <c r="E1104" i="4" s="1"/>
  <c r="C1104" i="4"/>
  <c r="G1103" i="4"/>
  <c r="F1103" i="4"/>
  <c r="D1103" i="4"/>
  <c r="E1103" i="4" s="1"/>
  <c r="C1103" i="4"/>
  <c r="G1102" i="4"/>
  <c r="F1102" i="4"/>
  <c r="E1102" i="4"/>
  <c r="D1102" i="4"/>
  <c r="C1102" i="4"/>
  <c r="G1101" i="4"/>
  <c r="F1101" i="4"/>
  <c r="E1101" i="4"/>
  <c r="D1101" i="4"/>
  <c r="C1101" i="4"/>
  <c r="G1100" i="4"/>
  <c r="F1100" i="4"/>
  <c r="E1100" i="4"/>
  <c r="D1100" i="4"/>
  <c r="C1100" i="4"/>
  <c r="G1099" i="4"/>
  <c r="F1099" i="4"/>
  <c r="D1099" i="4"/>
  <c r="E1099" i="4" s="1"/>
  <c r="C1099" i="4"/>
  <c r="G1098" i="4"/>
  <c r="F1098" i="4"/>
  <c r="D1098" i="4"/>
  <c r="E1098" i="4" s="1"/>
  <c r="C1098" i="4"/>
  <c r="G1097" i="4"/>
  <c r="F1097" i="4"/>
  <c r="D1097" i="4"/>
  <c r="E1097" i="4" s="1"/>
  <c r="C1097" i="4"/>
  <c r="G1096" i="4"/>
  <c r="F1096" i="4"/>
  <c r="E1096" i="4"/>
  <c r="D1096" i="4"/>
  <c r="C1096" i="4"/>
  <c r="G1095" i="4"/>
  <c r="F1095" i="4"/>
  <c r="D1095" i="4"/>
  <c r="E1095" i="4" s="1"/>
  <c r="C1095" i="4"/>
  <c r="G1094" i="4"/>
  <c r="F1094" i="4"/>
  <c r="E1094" i="4"/>
  <c r="D1094" i="4"/>
  <c r="C1094" i="4"/>
  <c r="G1093" i="4"/>
  <c r="F1093" i="4"/>
  <c r="D1093" i="4"/>
  <c r="E1093" i="4" s="1"/>
  <c r="C1093" i="4"/>
  <c r="G1092" i="4"/>
  <c r="F1092" i="4"/>
  <c r="E1092" i="4"/>
  <c r="D1092" i="4"/>
  <c r="C1092" i="4"/>
  <c r="G1091" i="4"/>
  <c r="F1091" i="4"/>
  <c r="E1091" i="4"/>
  <c r="D1091" i="4"/>
  <c r="C1091" i="4"/>
  <c r="G1090" i="4"/>
  <c r="F1090" i="4"/>
  <c r="E1090" i="4"/>
  <c r="D1090" i="4"/>
  <c r="C1090" i="4"/>
  <c r="G1089" i="4"/>
  <c r="F1089" i="4"/>
  <c r="D1089" i="4"/>
  <c r="E1089" i="4" s="1"/>
  <c r="C1089" i="4"/>
  <c r="G1088" i="4"/>
  <c r="F1088" i="4"/>
  <c r="D1088" i="4"/>
  <c r="E1088" i="4" s="1"/>
  <c r="C1088" i="4"/>
  <c r="G1087" i="4"/>
  <c r="F1087" i="4"/>
  <c r="D1087" i="4"/>
  <c r="E1087" i="4" s="1"/>
  <c r="C1087" i="4"/>
  <c r="G1086" i="4"/>
  <c r="F1086" i="4"/>
  <c r="E1086" i="4"/>
  <c r="D1086" i="4"/>
  <c r="C1086" i="4"/>
  <c r="G1085" i="4"/>
  <c r="F1085" i="4"/>
  <c r="E1085" i="4"/>
  <c r="D1085" i="4"/>
  <c r="C1085" i="4"/>
  <c r="G1084" i="4"/>
  <c r="F1084" i="4"/>
  <c r="E1084" i="4"/>
  <c r="D1084" i="4"/>
  <c r="C1084" i="4"/>
  <c r="G1083" i="4"/>
  <c r="F1083" i="4"/>
  <c r="D1083" i="4"/>
  <c r="E1083" i="4" s="1"/>
  <c r="C1083" i="4"/>
  <c r="G1082" i="4"/>
  <c r="F1082" i="4"/>
  <c r="D1082" i="4"/>
  <c r="E1082" i="4" s="1"/>
  <c r="C1082" i="4"/>
  <c r="G1081" i="4"/>
  <c r="F1081" i="4"/>
  <c r="D1081" i="4"/>
  <c r="E1081" i="4" s="1"/>
  <c r="C1081" i="4"/>
  <c r="G1080" i="4"/>
  <c r="F1080" i="4"/>
  <c r="E1080" i="4"/>
  <c r="D1080" i="4"/>
  <c r="C1080" i="4"/>
  <c r="G1079" i="4"/>
  <c r="F1079" i="4"/>
  <c r="D1079" i="4"/>
  <c r="E1079" i="4" s="1"/>
  <c r="C1079" i="4"/>
  <c r="G1078" i="4"/>
  <c r="F1078" i="4"/>
  <c r="E1078" i="4"/>
  <c r="D1078" i="4"/>
  <c r="C1078" i="4"/>
  <c r="G1077" i="4"/>
  <c r="F1077" i="4"/>
  <c r="D1077" i="4"/>
  <c r="E1077" i="4" s="1"/>
  <c r="C1077" i="4"/>
  <c r="G1076" i="4"/>
  <c r="F1076" i="4"/>
  <c r="E1076" i="4"/>
  <c r="D1076" i="4"/>
  <c r="C1076" i="4"/>
  <c r="G1075" i="4"/>
  <c r="F1075" i="4"/>
  <c r="E1075" i="4"/>
  <c r="D1075" i="4"/>
  <c r="C1075" i="4"/>
  <c r="G1074" i="4"/>
  <c r="F1074" i="4"/>
  <c r="E1074" i="4"/>
  <c r="D1074" i="4"/>
  <c r="C1074" i="4"/>
  <c r="G1073" i="4"/>
  <c r="F1073" i="4"/>
  <c r="D1073" i="4"/>
  <c r="E1073" i="4" s="1"/>
  <c r="C1073" i="4"/>
  <c r="G1072" i="4"/>
  <c r="F1072" i="4"/>
  <c r="D1072" i="4"/>
  <c r="E1072" i="4" s="1"/>
  <c r="C1072" i="4"/>
  <c r="G1071" i="4"/>
  <c r="F1071" i="4"/>
  <c r="D1071" i="4"/>
  <c r="E1071" i="4" s="1"/>
  <c r="C1071" i="4"/>
  <c r="G1070" i="4"/>
  <c r="F1070" i="4"/>
  <c r="E1070" i="4"/>
  <c r="D1070" i="4"/>
  <c r="C1070" i="4"/>
  <c r="G1069" i="4"/>
  <c r="F1069" i="4"/>
  <c r="E1069" i="4"/>
  <c r="D1069" i="4"/>
  <c r="C1069" i="4"/>
  <c r="G1068" i="4"/>
  <c r="F1068" i="4"/>
  <c r="E1068" i="4"/>
  <c r="D1068" i="4"/>
  <c r="C1068" i="4"/>
  <c r="G1067" i="4"/>
  <c r="F1067" i="4"/>
  <c r="D1067" i="4"/>
  <c r="E1067" i="4" s="1"/>
  <c r="C1067" i="4"/>
  <c r="G1066" i="4"/>
  <c r="F1066" i="4"/>
  <c r="E1066" i="4"/>
  <c r="D1066" i="4"/>
  <c r="C1066" i="4"/>
  <c r="G1065" i="4"/>
  <c r="F1065" i="4"/>
  <c r="D1065" i="4"/>
  <c r="E1065" i="4" s="1"/>
  <c r="C1065" i="4"/>
  <c r="G1064" i="4"/>
  <c r="F1064" i="4"/>
  <c r="E1064" i="4"/>
  <c r="D1064" i="4"/>
  <c r="C1064" i="4"/>
  <c r="G1063" i="4"/>
  <c r="F1063" i="4"/>
  <c r="D1063" i="4"/>
  <c r="E1063" i="4" s="1"/>
  <c r="C1063" i="4"/>
  <c r="G1062" i="4"/>
  <c r="F1062" i="4"/>
  <c r="E1062" i="4"/>
  <c r="D1062" i="4"/>
  <c r="C1062" i="4"/>
  <c r="G1061" i="4"/>
  <c r="F1061" i="4"/>
  <c r="D1061" i="4"/>
  <c r="E1061" i="4" s="1"/>
  <c r="C1061" i="4"/>
  <c r="G1060" i="4"/>
  <c r="F1060" i="4"/>
  <c r="E1060" i="4"/>
  <c r="D1060" i="4"/>
  <c r="C1060" i="4"/>
  <c r="G1059" i="4"/>
  <c r="F1059" i="4"/>
  <c r="E1059" i="4"/>
  <c r="D1059" i="4"/>
  <c r="C1059" i="4"/>
  <c r="G1058" i="4"/>
  <c r="F1058" i="4"/>
  <c r="E1058" i="4"/>
  <c r="D1058" i="4"/>
  <c r="C1058" i="4"/>
  <c r="G1057" i="4"/>
  <c r="F1057" i="4"/>
  <c r="D1057" i="4"/>
  <c r="E1057" i="4" s="1"/>
  <c r="C1057" i="4"/>
  <c r="G1056" i="4"/>
  <c r="F1056" i="4"/>
  <c r="D1056" i="4"/>
  <c r="E1056" i="4" s="1"/>
  <c r="C1056" i="4"/>
  <c r="G1055" i="4"/>
  <c r="F1055" i="4"/>
  <c r="D1055" i="4"/>
  <c r="E1055" i="4" s="1"/>
  <c r="C1055" i="4"/>
  <c r="G1054" i="4"/>
  <c r="F1054" i="4"/>
  <c r="E1054" i="4"/>
  <c r="D1054" i="4"/>
  <c r="C1054" i="4"/>
  <c r="G1053" i="4"/>
  <c r="F1053" i="4"/>
  <c r="E1053" i="4"/>
  <c r="D1053" i="4"/>
  <c r="C1053" i="4"/>
  <c r="G1052" i="4"/>
  <c r="F1052" i="4"/>
  <c r="E1052" i="4"/>
  <c r="D1052" i="4"/>
  <c r="C1052" i="4"/>
  <c r="G1051" i="4"/>
  <c r="F1051" i="4"/>
  <c r="D1051" i="4"/>
  <c r="E1051" i="4" s="1"/>
  <c r="C1051" i="4"/>
  <c r="G1050" i="4"/>
  <c r="F1050" i="4"/>
  <c r="D1050" i="4"/>
  <c r="E1050" i="4" s="1"/>
  <c r="C1050" i="4"/>
  <c r="G1049" i="4"/>
  <c r="F1049" i="4"/>
  <c r="D1049" i="4"/>
  <c r="E1049" i="4" s="1"/>
  <c r="C1049" i="4"/>
  <c r="G1048" i="4"/>
  <c r="F1048" i="4"/>
  <c r="E1048" i="4"/>
  <c r="D1048" i="4"/>
  <c r="C1048" i="4"/>
  <c r="G1047" i="4"/>
  <c r="F1047" i="4"/>
  <c r="D1047" i="4"/>
  <c r="E1047" i="4" s="1"/>
  <c r="C1047" i="4"/>
  <c r="G1046" i="4"/>
  <c r="F1046" i="4"/>
  <c r="E1046" i="4"/>
  <c r="D1046" i="4"/>
  <c r="C1046" i="4"/>
  <c r="G1045" i="4"/>
  <c r="F1045" i="4"/>
  <c r="D1045" i="4"/>
  <c r="E1045" i="4" s="1"/>
  <c r="C1045" i="4"/>
  <c r="G1044" i="4"/>
  <c r="F1044" i="4"/>
  <c r="E1044" i="4"/>
  <c r="D1044" i="4"/>
  <c r="C1044" i="4"/>
  <c r="G1043" i="4"/>
  <c r="F1043" i="4"/>
  <c r="E1043" i="4"/>
  <c r="D1043" i="4"/>
  <c r="C1043" i="4"/>
  <c r="G1042" i="4"/>
  <c r="F1042" i="4"/>
  <c r="E1042" i="4"/>
  <c r="D1042" i="4"/>
  <c r="C1042" i="4"/>
  <c r="G1041" i="4"/>
  <c r="F1041" i="4"/>
  <c r="D1041" i="4"/>
  <c r="E1041" i="4" s="1"/>
  <c r="C1041" i="4"/>
  <c r="G1040" i="4"/>
  <c r="F1040" i="4"/>
  <c r="D1040" i="4"/>
  <c r="E1040" i="4" s="1"/>
  <c r="C1040" i="4"/>
  <c r="G1039" i="4"/>
  <c r="F1039" i="4"/>
  <c r="D1039" i="4"/>
  <c r="E1039" i="4" s="1"/>
  <c r="C1039" i="4"/>
  <c r="G1038" i="4"/>
  <c r="F1038" i="4"/>
  <c r="E1038" i="4"/>
  <c r="D1038" i="4"/>
  <c r="C1038" i="4"/>
  <c r="G1037" i="4"/>
  <c r="F1037" i="4"/>
  <c r="E1037" i="4"/>
  <c r="D1037" i="4"/>
  <c r="C1037" i="4"/>
  <c r="G1036" i="4"/>
  <c r="F1036" i="4"/>
  <c r="E1036" i="4"/>
  <c r="D1036" i="4"/>
  <c r="C1036" i="4"/>
  <c r="G1035" i="4"/>
  <c r="F1035" i="4"/>
  <c r="D1035" i="4"/>
  <c r="E1035" i="4" s="1"/>
  <c r="C1035" i="4"/>
  <c r="G1034" i="4"/>
  <c r="F1034" i="4"/>
  <c r="D1034" i="4"/>
  <c r="E1034" i="4" s="1"/>
  <c r="C1034" i="4"/>
  <c r="G1033" i="4"/>
  <c r="F1033" i="4"/>
  <c r="D1033" i="4"/>
  <c r="E1033" i="4" s="1"/>
  <c r="C1033" i="4"/>
  <c r="G1032" i="4"/>
  <c r="F1032" i="4"/>
  <c r="E1032" i="4"/>
  <c r="D1032" i="4"/>
  <c r="C1032" i="4"/>
  <c r="G1031" i="4"/>
  <c r="F1031" i="4"/>
  <c r="D1031" i="4"/>
  <c r="E1031" i="4" s="1"/>
  <c r="C1031" i="4"/>
  <c r="G1030" i="4"/>
  <c r="F1030" i="4"/>
  <c r="E1030" i="4"/>
  <c r="D1030" i="4"/>
  <c r="C1030" i="4"/>
  <c r="G1029" i="4"/>
  <c r="F1029" i="4"/>
  <c r="D1029" i="4"/>
  <c r="E1029" i="4" s="1"/>
  <c r="C1029" i="4"/>
  <c r="G1028" i="4"/>
  <c r="F1028" i="4"/>
  <c r="E1028" i="4"/>
  <c r="D1028" i="4"/>
  <c r="C1028" i="4"/>
  <c r="G1027" i="4"/>
  <c r="F1027" i="4"/>
  <c r="E1027" i="4"/>
  <c r="D1027" i="4"/>
  <c r="C1027" i="4"/>
  <c r="G1026" i="4"/>
  <c r="F1026" i="4"/>
  <c r="E1026" i="4"/>
  <c r="D1026" i="4"/>
  <c r="C1026" i="4"/>
  <c r="G1025" i="4"/>
  <c r="F1025" i="4"/>
  <c r="D1025" i="4"/>
  <c r="E1025" i="4" s="1"/>
  <c r="C1025" i="4"/>
  <c r="G1024" i="4"/>
  <c r="F1024" i="4"/>
  <c r="D1024" i="4"/>
  <c r="E1024" i="4" s="1"/>
  <c r="C1024" i="4"/>
  <c r="G1023" i="4"/>
  <c r="F1023" i="4"/>
  <c r="D1023" i="4"/>
  <c r="E1023" i="4" s="1"/>
  <c r="C1023" i="4"/>
  <c r="G1022" i="4"/>
  <c r="F1022" i="4"/>
  <c r="E1022" i="4"/>
  <c r="D1022" i="4"/>
  <c r="C1022" i="4"/>
  <c r="G1021" i="4"/>
  <c r="F1021" i="4"/>
  <c r="E1021" i="4"/>
  <c r="D1021" i="4"/>
  <c r="C1021" i="4"/>
  <c r="G1020" i="4"/>
  <c r="F1020" i="4"/>
  <c r="E1020" i="4"/>
  <c r="D1020" i="4"/>
  <c r="C1020" i="4"/>
  <c r="G1019" i="4"/>
  <c r="F1019" i="4"/>
  <c r="D1019" i="4"/>
  <c r="E1019" i="4" s="1"/>
  <c r="C1019" i="4"/>
  <c r="G1018" i="4"/>
  <c r="F1018" i="4"/>
  <c r="E1018" i="4"/>
  <c r="D1018" i="4"/>
  <c r="C1018" i="4"/>
  <c r="G1017" i="4"/>
  <c r="F1017" i="4"/>
  <c r="D1017" i="4"/>
  <c r="E1017" i="4" s="1"/>
  <c r="C1017" i="4"/>
  <c r="G1016" i="4"/>
  <c r="F1016" i="4"/>
  <c r="E1016" i="4"/>
  <c r="D1016" i="4"/>
  <c r="C1016" i="4"/>
  <c r="G1015" i="4"/>
  <c r="F1015" i="4"/>
  <c r="D1015" i="4"/>
  <c r="E1015" i="4" s="1"/>
  <c r="C1015" i="4"/>
  <c r="G1014" i="4"/>
  <c r="F1014" i="4"/>
  <c r="E1014" i="4"/>
  <c r="D1014" i="4"/>
  <c r="C1014" i="4"/>
  <c r="G1013" i="4"/>
  <c r="F1013" i="4"/>
  <c r="D1013" i="4"/>
  <c r="E1013" i="4" s="1"/>
  <c r="C1013" i="4"/>
  <c r="G1012" i="4"/>
  <c r="F1012" i="4"/>
  <c r="E1012" i="4"/>
  <c r="D1012" i="4"/>
  <c r="C1012" i="4"/>
  <c r="G1011" i="4"/>
  <c r="F1011" i="4"/>
  <c r="E1011" i="4"/>
  <c r="D1011" i="4"/>
  <c r="C1011" i="4"/>
  <c r="G1010" i="4"/>
  <c r="F1010" i="4"/>
  <c r="E1010" i="4"/>
  <c r="D1010" i="4"/>
  <c r="C1010" i="4"/>
  <c r="G1009" i="4"/>
  <c r="F1009" i="4"/>
  <c r="D1009" i="4"/>
  <c r="E1009" i="4" s="1"/>
  <c r="C1009" i="4"/>
  <c r="G1008" i="4"/>
  <c r="F1008" i="4"/>
  <c r="D1008" i="4"/>
  <c r="E1008" i="4" s="1"/>
  <c r="C1008" i="4"/>
  <c r="G1007" i="4"/>
  <c r="F1007" i="4"/>
  <c r="D1007" i="4"/>
  <c r="E1007" i="4" s="1"/>
  <c r="C1007" i="4"/>
  <c r="G1006" i="4"/>
  <c r="F1006" i="4"/>
  <c r="E1006" i="4"/>
  <c r="D1006" i="4"/>
  <c r="C1006" i="4"/>
  <c r="G1005" i="4"/>
  <c r="F1005" i="4"/>
  <c r="E1005" i="4"/>
  <c r="D1005" i="4"/>
  <c r="C1005" i="4"/>
  <c r="G1004" i="4"/>
  <c r="F1004" i="4"/>
  <c r="E1004" i="4"/>
  <c r="D1004" i="4"/>
  <c r="C1004" i="4"/>
  <c r="G1003" i="4"/>
  <c r="F1003" i="4"/>
  <c r="D1003" i="4"/>
  <c r="E1003" i="4" s="1"/>
  <c r="C1003" i="4"/>
  <c r="G1002" i="4"/>
  <c r="F1002" i="4"/>
  <c r="E1002" i="4"/>
  <c r="D1002" i="4"/>
  <c r="C1002" i="4"/>
  <c r="G1001" i="4"/>
  <c r="F1001" i="4"/>
  <c r="D1001" i="4"/>
  <c r="E1001" i="4" s="1"/>
  <c r="C1001" i="4"/>
  <c r="G1000" i="4"/>
  <c r="F1000" i="4"/>
  <c r="E1000" i="4"/>
  <c r="D1000" i="4"/>
  <c r="C1000" i="4"/>
  <c r="G999" i="4"/>
  <c r="F999" i="4"/>
  <c r="D999" i="4"/>
  <c r="E999" i="4" s="1"/>
  <c r="C999" i="4"/>
  <c r="G998" i="4"/>
  <c r="F998" i="4"/>
  <c r="E998" i="4"/>
  <c r="D998" i="4"/>
  <c r="C998" i="4"/>
  <c r="G997" i="4"/>
  <c r="F997" i="4"/>
  <c r="D997" i="4"/>
  <c r="E997" i="4" s="1"/>
  <c r="C997" i="4"/>
  <c r="G996" i="4"/>
  <c r="F996" i="4"/>
  <c r="E996" i="4"/>
  <c r="D996" i="4"/>
  <c r="C996" i="4"/>
  <c r="G995" i="4"/>
  <c r="F995" i="4"/>
  <c r="E995" i="4"/>
  <c r="D995" i="4"/>
  <c r="C995" i="4"/>
  <c r="G994" i="4"/>
  <c r="F994" i="4"/>
  <c r="E994" i="4"/>
  <c r="D994" i="4"/>
  <c r="C994" i="4"/>
  <c r="G993" i="4"/>
  <c r="F993" i="4"/>
  <c r="D993" i="4"/>
  <c r="E993" i="4" s="1"/>
  <c r="C993" i="4"/>
  <c r="G992" i="4"/>
  <c r="F992" i="4"/>
  <c r="D992" i="4"/>
  <c r="E992" i="4" s="1"/>
  <c r="C992" i="4"/>
  <c r="G991" i="4"/>
  <c r="F991" i="4"/>
  <c r="D991" i="4"/>
  <c r="E991" i="4" s="1"/>
  <c r="C991" i="4"/>
  <c r="G990" i="4"/>
  <c r="F990" i="4"/>
  <c r="E990" i="4"/>
  <c r="D990" i="4"/>
  <c r="C990" i="4"/>
  <c r="G989" i="4"/>
  <c r="F989" i="4"/>
  <c r="E989" i="4"/>
  <c r="D989" i="4"/>
  <c r="C989" i="4"/>
  <c r="G988" i="4"/>
  <c r="F988" i="4"/>
  <c r="E988" i="4"/>
  <c r="D988" i="4"/>
  <c r="C988" i="4"/>
  <c r="G987" i="4"/>
  <c r="F987" i="4"/>
  <c r="D987" i="4"/>
  <c r="E987" i="4" s="1"/>
  <c r="C987" i="4"/>
  <c r="G986" i="4"/>
  <c r="F986" i="4"/>
  <c r="D986" i="4"/>
  <c r="E986" i="4" s="1"/>
  <c r="C986" i="4"/>
  <c r="G985" i="4"/>
  <c r="F985" i="4"/>
  <c r="D985" i="4"/>
  <c r="E985" i="4" s="1"/>
  <c r="C985" i="4"/>
  <c r="G984" i="4"/>
  <c r="F984" i="4"/>
  <c r="E984" i="4"/>
  <c r="D984" i="4"/>
  <c r="C984" i="4"/>
  <c r="G983" i="4"/>
  <c r="F983" i="4"/>
  <c r="D983" i="4"/>
  <c r="E983" i="4" s="1"/>
  <c r="C983" i="4"/>
  <c r="G982" i="4"/>
  <c r="F982" i="4"/>
  <c r="E982" i="4"/>
  <c r="D982" i="4"/>
  <c r="C982" i="4"/>
  <c r="G981" i="4"/>
  <c r="F981" i="4"/>
  <c r="D981" i="4"/>
  <c r="E981" i="4" s="1"/>
  <c r="C981" i="4"/>
  <c r="G980" i="4"/>
  <c r="F980" i="4"/>
  <c r="E980" i="4"/>
  <c r="D980" i="4"/>
  <c r="C980" i="4"/>
  <c r="G979" i="4"/>
  <c r="F979" i="4"/>
  <c r="E979" i="4"/>
  <c r="D979" i="4"/>
  <c r="C979" i="4"/>
  <c r="G978" i="4"/>
  <c r="F978" i="4"/>
  <c r="E978" i="4"/>
  <c r="D978" i="4"/>
  <c r="C978" i="4"/>
  <c r="G977" i="4"/>
  <c r="F977" i="4"/>
  <c r="D977" i="4"/>
  <c r="E977" i="4" s="1"/>
  <c r="C977" i="4"/>
  <c r="G976" i="4"/>
  <c r="F976" i="4"/>
  <c r="D976" i="4"/>
  <c r="E976" i="4" s="1"/>
  <c r="C976" i="4"/>
  <c r="G975" i="4"/>
  <c r="F975" i="4"/>
  <c r="D975" i="4"/>
  <c r="E975" i="4" s="1"/>
  <c r="C975" i="4"/>
  <c r="G974" i="4"/>
  <c r="F974" i="4"/>
  <c r="E974" i="4"/>
  <c r="D974" i="4"/>
  <c r="C974" i="4"/>
  <c r="G973" i="4"/>
  <c r="F973" i="4"/>
  <c r="E973" i="4"/>
  <c r="D973" i="4"/>
  <c r="C973" i="4"/>
  <c r="G972" i="4"/>
  <c r="F972" i="4"/>
  <c r="E972" i="4"/>
  <c r="D972" i="4"/>
  <c r="C972" i="4"/>
  <c r="G971" i="4"/>
  <c r="F971" i="4"/>
  <c r="D971" i="4"/>
  <c r="E971" i="4" s="1"/>
  <c r="C971" i="4"/>
  <c r="G970" i="4"/>
  <c r="F970" i="4"/>
  <c r="E970" i="4"/>
  <c r="D970" i="4"/>
  <c r="C970" i="4"/>
  <c r="G969" i="4"/>
  <c r="F969" i="4"/>
  <c r="D969" i="4"/>
  <c r="E969" i="4" s="1"/>
  <c r="C969" i="4"/>
  <c r="G968" i="4"/>
  <c r="F968" i="4"/>
  <c r="E968" i="4"/>
  <c r="D968" i="4"/>
  <c r="C968" i="4"/>
  <c r="G967" i="4"/>
  <c r="F967" i="4"/>
  <c r="D967" i="4"/>
  <c r="E967" i="4" s="1"/>
  <c r="C967" i="4"/>
  <c r="G966" i="4"/>
  <c r="F966" i="4"/>
  <c r="E966" i="4"/>
  <c r="D966" i="4"/>
  <c r="C966" i="4"/>
  <c r="G965" i="4"/>
  <c r="F965" i="4"/>
  <c r="D965" i="4"/>
  <c r="E965" i="4" s="1"/>
  <c r="C965" i="4"/>
  <c r="G964" i="4"/>
  <c r="F964" i="4"/>
  <c r="E964" i="4"/>
  <c r="D964" i="4"/>
  <c r="C964" i="4"/>
  <c r="G963" i="4"/>
  <c r="F963" i="4"/>
  <c r="E963" i="4"/>
  <c r="D963" i="4"/>
  <c r="C963" i="4"/>
  <c r="G962" i="4"/>
  <c r="F962" i="4"/>
  <c r="E962" i="4"/>
  <c r="D962" i="4"/>
  <c r="C962" i="4"/>
  <c r="G961" i="4"/>
  <c r="F961" i="4"/>
  <c r="D961" i="4"/>
  <c r="E961" i="4" s="1"/>
  <c r="C961" i="4"/>
  <c r="G960" i="4"/>
  <c r="F960" i="4"/>
  <c r="D960" i="4"/>
  <c r="E960" i="4" s="1"/>
  <c r="C960" i="4"/>
  <c r="G959" i="4"/>
  <c r="F959" i="4"/>
  <c r="D959" i="4"/>
  <c r="E959" i="4" s="1"/>
  <c r="C959" i="4"/>
  <c r="G958" i="4"/>
  <c r="F958" i="4"/>
  <c r="E958" i="4"/>
  <c r="D958" i="4"/>
  <c r="C958" i="4"/>
  <c r="G957" i="4"/>
  <c r="F957" i="4"/>
  <c r="E957" i="4"/>
  <c r="D957" i="4"/>
  <c r="C957" i="4"/>
  <c r="G956" i="4"/>
  <c r="F956" i="4"/>
  <c r="E956" i="4"/>
  <c r="D956" i="4"/>
  <c r="C956" i="4"/>
  <c r="G955" i="4"/>
  <c r="F955" i="4"/>
  <c r="D955" i="4"/>
  <c r="E955" i="4" s="1"/>
  <c r="C955" i="4"/>
  <c r="G954" i="4"/>
  <c r="F954" i="4"/>
  <c r="D954" i="4"/>
  <c r="E954" i="4" s="1"/>
  <c r="C954" i="4"/>
  <c r="G953" i="4"/>
  <c r="F953" i="4"/>
  <c r="D953" i="4"/>
  <c r="E953" i="4" s="1"/>
  <c r="C953" i="4"/>
  <c r="G952" i="4"/>
  <c r="F952" i="4"/>
  <c r="E952" i="4"/>
  <c r="D952" i="4"/>
  <c r="C952" i="4"/>
  <c r="G951" i="4"/>
  <c r="F951" i="4"/>
  <c r="D951" i="4"/>
  <c r="E951" i="4" s="1"/>
  <c r="C951" i="4"/>
  <c r="G950" i="4"/>
  <c r="F950" i="4"/>
  <c r="E950" i="4"/>
  <c r="D950" i="4"/>
  <c r="C950" i="4"/>
  <c r="G949" i="4"/>
  <c r="F949" i="4"/>
  <c r="D949" i="4"/>
  <c r="E949" i="4" s="1"/>
  <c r="C949" i="4"/>
  <c r="G948" i="4"/>
  <c r="F948" i="4"/>
  <c r="E948" i="4"/>
  <c r="D948" i="4"/>
  <c r="C948" i="4"/>
  <c r="G947" i="4"/>
  <c r="F947" i="4"/>
  <c r="E947" i="4"/>
  <c r="D947" i="4"/>
  <c r="C947" i="4"/>
  <c r="G946" i="4"/>
  <c r="F946" i="4"/>
  <c r="E946" i="4"/>
  <c r="D946" i="4"/>
  <c r="C946" i="4"/>
  <c r="G945" i="4"/>
  <c r="F945" i="4"/>
  <c r="D945" i="4"/>
  <c r="E945" i="4" s="1"/>
  <c r="C945" i="4"/>
  <c r="G944" i="4"/>
  <c r="F944" i="4"/>
  <c r="D944" i="4"/>
  <c r="E944" i="4" s="1"/>
  <c r="C944" i="4"/>
  <c r="G943" i="4"/>
  <c r="F943" i="4"/>
  <c r="D943" i="4"/>
  <c r="E943" i="4" s="1"/>
  <c r="C943" i="4"/>
  <c r="G942" i="4"/>
  <c r="F942" i="4"/>
  <c r="E942" i="4"/>
  <c r="D942" i="4"/>
  <c r="C942" i="4"/>
  <c r="G941" i="4"/>
  <c r="F941" i="4"/>
  <c r="E941" i="4"/>
  <c r="D941" i="4"/>
  <c r="C941" i="4"/>
  <c r="G940" i="4"/>
  <c r="F940" i="4"/>
  <c r="E940" i="4"/>
  <c r="D940" i="4"/>
  <c r="C940" i="4"/>
  <c r="G939" i="4"/>
  <c r="F939" i="4"/>
  <c r="D939" i="4"/>
  <c r="E939" i="4" s="1"/>
  <c r="C939" i="4"/>
  <c r="G938" i="4"/>
  <c r="F938" i="4"/>
  <c r="D938" i="4"/>
  <c r="E938" i="4" s="1"/>
  <c r="C938" i="4"/>
  <c r="G937" i="4"/>
  <c r="F937" i="4"/>
  <c r="D937" i="4"/>
  <c r="E937" i="4" s="1"/>
  <c r="C937" i="4"/>
  <c r="G936" i="4"/>
  <c r="F936" i="4"/>
  <c r="E936" i="4"/>
  <c r="D936" i="4"/>
  <c r="C936" i="4"/>
  <c r="G935" i="4"/>
  <c r="F935" i="4"/>
  <c r="D935" i="4"/>
  <c r="E935" i="4" s="1"/>
  <c r="C935" i="4"/>
  <c r="G934" i="4"/>
  <c r="F934" i="4"/>
  <c r="E934" i="4"/>
  <c r="D934" i="4"/>
  <c r="C934" i="4"/>
  <c r="G933" i="4"/>
  <c r="F933" i="4"/>
  <c r="D933" i="4"/>
  <c r="E933" i="4" s="1"/>
  <c r="C933" i="4"/>
  <c r="G932" i="4"/>
  <c r="F932" i="4"/>
  <c r="E932" i="4"/>
  <c r="D932" i="4"/>
  <c r="C932" i="4"/>
  <c r="G931" i="4"/>
  <c r="F931" i="4"/>
  <c r="E931" i="4"/>
  <c r="D931" i="4"/>
  <c r="C931" i="4"/>
  <c r="G930" i="4"/>
  <c r="F930" i="4"/>
  <c r="E930" i="4"/>
  <c r="D930" i="4"/>
  <c r="C930" i="4"/>
  <c r="G929" i="4"/>
  <c r="F929" i="4"/>
  <c r="D929" i="4"/>
  <c r="E929" i="4" s="1"/>
  <c r="C929" i="4"/>
  <c r="G928" i="4"/>
  <c r="F928" i="4"/>
  <c r="D928" i="4"/>
  <c r="E928" i="4" s="1"/>
  <c r="C928" i="4"/>
  <c r="G927" i="4"/>
  <c r="F927" i="4"/>
  <c r="D927" i="4"/>
  <c r="E927" i="4" s="1"/>
  <c r="C927" i="4"/>
  <c r="G926" i="4"/>
  <c r="F926" i="4"/>
  <c r="E926" i="4"/>
  <c r="D926" i="4"/>
  <c r="C926" i="4"/>
  <c r="G925" i="4"/>
  <c r="F925" i="4"/>
  <c r="E925" i="4"/>
  <c r="D925" i="4"/>
  <c r="C925" i="4"/>
  <c r="G924" i="4"/>
  <c r="F924" i="4"/>
  <c r="E924" i="4"/>
  <c r="D924" i="4"/>
  <c r="C924" i="4"/>
  <c r="G923" i="4"/>
  <c r="F923" i="4"/>
  <c r="D923" i="4"/>
  <c r="E923" i="4" s="1"/>
  <c r="C923" i="4"/>
  <c r="G922" i="4"/>
  <c r="F922" i="4"/>
  <c r="D922" i="4"/>
  <c r="E922" i="4" s="1"/>
  <c r="C922" i="4"/>
  <c r="G921" i="4"/>
  <c r="F921" i="4"/>
  <c r="D921" i="4"/>
  <c r="E921" i="4" s="1"/>
  <c r="C921" i="4"/>
  <c r="G920" i="4"/>
  <c r="F920" i="4"/>
  <c r="E920" i="4"/>
  <c r="D920" i="4"/>
  <c r="C920" i="4"/>
  <c r="G919" i="4"/>
  <c r="F919" i="4"/>
  <c r="D919" i="4"/>
  <c r="E919" i="4" s="1"/>
  <c r="C919" i="4"/>
  <c r="G918" i="4"/>
  <c r="F918" i="4"/>
  <c r="E918" i="4"/>
  <c r="D918" i="4"/>
  <c r="C918" i="4"/>
  <c r="G917" i="4"/>
  <c r="F917" i="4"/>
  <c r="D917" i="4"/>
  <c r="E917" i="4" s="1"/>
  <c r="C917" i="4"/>
  <c r="G916" i="4"/>
  <c r="F916" i="4"/>
  <c r="E916" i="4"/>
  <c r="D916" i="4"/>
  <c r="C916" i="4"/>
  <c r="G915" i="4"/>
  <c r="F915" i="4"/>
  <c r="E915" i="4"/>
  <c r="D915" i="4"/>
  <c r="C915" i="4"/>
  <c r="G914" i="4"/>
  <c r="F914" i="4"/>
  <c r="E914" i="4"/>
  <c r="D914" i="4"/>
  <c r="C914" i="4"/>
  <c r="G913" i="4"/>
  <c r="F913" i="4"/>
  <c r="D913" i="4"/>
  <c r="E913" i="4" s="1"/>
  <c r="C913" i="4"/>
  <c r="G912" i="4"/>
  <c r="F912" i="4"/>
  <c r="D912" i="4"/>
  <c r="E912" i="4" s="1"/>
  <c r="C912" i="4"/>
  <c r="G911" i="4"/>
  <c r="F911" i="4"/>
  <c r="D911" i="4"/>
  <c r="E911" i="4" s="1"/>
  <c r="C911" i="4"/>
  <c r="G910" i="4"/>
  <c r="F910" i="4"/>
  <c r="E910" i="4"/>
  <c r="D910" i="4"/>
  <c r="C910" i="4"/>
  <c r="G909" i="4"/>
  <c r="F909" i="4"/>
  <c r="E909" i="4"/>
  <c r="D909" i="4"/>
  <c r="C909" i="4"/>
  <c r="G908" i="4"/>
  <c r="F908" i="4"/>
  <c r="E908" i="4"/>
  <c r="D908" i="4"/>
  <c r="C908" i="4"/>
  <c r="G907" i="4"/>
  <c r="F907" i="4"/>
  <c r="D907" i="4"/>
  <c r="E907" i="4" s="1"/>
  <c r="C907" i="4"/>
  <c r="G906" i="4"/>
  <c r="F906" i="4"/>
  <c r="E906" i="4"/>
  <c r="D906" i="4"/>
  <c r="C906" i="4"/>
  <c r="G905" i="4"/>
  <c r="F905" i="4"/>
  <c r="D905" i="4"/>
  <c r="E905" i="4" s="1"/>
  <c r="C905" i="4"/>
  <c r="G904" i="4"/>
  <c r="F904" i="4"/>
  <c r="E904" i="4"/>
  <c r="D904" i="4"/>
  <c r="C904" i="4"/>
  <c r="G903" i="4"/>
  <c r="F903" i="4"/>
  <c r="D903" i="4"/>
  <c r="E903" i="4" s="1"/>
  <c r="C903" i="4"/>
  <c r="G902" i="4"/>
  <c r="F902" i="4"/>
  <c r="E902" i="4"/>
  <c r="D902" i="4"/>
  <c r="C902" i="4"/>
  <c r="G901" i="4"/>
  <c r="F901" i="4"/>
  <c r="D901" i="4"/>
  <c r="E901" i="4" s="1"/>
  <c r="C901" i="4"/>
  <c r="G900" i="4"/>
  <c r="F900" i="4"/>
  <c r="E900" i="4"/>
  <c r="D900" i="4"/>
  <c r="C900" i="4"/>
  <c r="G899" i="4"/>
  <c r="F899" i="4"/>
  <c r="E899" i="4"/>
  <c r="D899" i="4"/>
  <c r="C899" i="4"/>
  <c r="G898" i="4"/>
  <c r="F898" i="4"/>
  <c r="E898" i="4"/>
  <c r="D898" i="4"/>
  <c r="C898" i="4"/>
  <c r="G897" i="4"/>
  <c r="F897" i="4"/>
  <c r="D897" i="4"/>
  <c r="E897" i="4" s="1"/>
  <c r="C897" i="4"/>
  <c r="G896" i="4"/>
  <c r="F896" i="4"/>
  <c r="D896" i="4"/>
  <c r="E896" i="4" s="1"/>
  <c r="C896" i="4"/>
  <c r="G895" i="4"/>
  <c r="F895" i="4"/>
  <c r="D895" i="4"/>
  <c r="E895" i="4" s="1"/>
  <c r="C895" i="4"/>
  <c r="G894" i="4"/>
  <c r="F894" i="4"/>
  <c r="E894" i="4"/>
  <c r="D894" i="4"/>
  <c r="C894" i="4"/>
  <c r="G893" i="4"/>
  <c r="F893" i="4"/>
  <c r="E893" i="4"/>
  <c r="D893" i="4"/>
  <c r="C893" i="4"/>
  <c r="G892" i="4"/>
  <c r="F892" i="4"/>
  <c r="E892" i="4"/>
  <c r="D892" i="4"/>
  <c r="C892" i="4"/>
  <c r="G891" i="4"/>
  <c r="F891" i="4"/>
  <c r="D891" i="4"/>
  <c r="E891" i="4" s="1"/>
  <c r="C891" i="4"/>
  <c r="G890" i="4"/>
  <c r="F890" i="4"/>
  <c r="D890" i="4"/>
  <c r="E890" i="4" s="1"/>
  <c r="C890" i="4"/>
  <c r="G889" i="4"/>
  <c r="F889" i="4"/>
  <c r="D889" i="4"/>
  <c r="E889" i="4" s="1"/>
  <c r="C889" i="4"/>
  <c r="G888" i="4"/>
  <c r="F888" i="4"/>
  <c r="E888" i="4"/>
  <c r="D888" i="4"/>
  <c r="C888" i="4"/>
  <c r="G887" i="4"/>
  <c r="F887" i="4"/>
  <c r="D887" i="4"/>
  <c r="E887" i="4" s="1"/>
  <c r="C887" i="4"/>
  <c r="G886" i="4"/>
  <c r="F886" i="4"/>
  <c r="E886" i="4"/>
  <c r="D886" i="4"/>
  <c r="C886" i="4"/>
  <c r="G885" i="4"/>
  <c r="F885" i="4"/>
  <c r="D885" i="4"/>
  <c r="E885" i="4" s="1"/>
  <c r="C885" i="4"/>
  <c r="G884" i="4"/>
  <c r="F884" i="4"/>
  <c r="E884" i="4"/>
  <c r="D884" i="4"/>
  <c r="C884" i="4"/>
  <c r="G883" i="4"/>
  <c r="F883" i="4"/>
  <c r="E883" i="4"/>
  <c r="D883" i="4"/>
  <c r="C883" i="4"/>
  <c r="G882" i="4"/>
  <c r="F882" i="4"/>
  <c r="E882" i="4"/>
  <c r="D882" i="4"/>
  <c r="C882" i="4"/>
  <c r="G881" i="4"/>
  <c r="F881" i="4"/>
  <c r="D881" i="4"/>
  <c r="E881" i="4" s="1"/>
  <c r="C881" i="4"/>
  <c r="G880" i="4"/>
  <c r="F880" i="4"/>
  <c r="D880" i="4"/>
  <c r="E880" i="4" s="1"/>
  <c r="C880" i="4"/>
  <c r="G879" i="4"/>
  <c r="F879" i="4"/>
  <c r="D879" i="4"/>
  <c r="E879" i="4" s="1"/>
  <c r="C879" i="4"/>
  <c r="G878" i="4"/>
  <c r="F878" i="4"/>
  <c r="E878" i="4"/>
  <c r="D878" i="4"/>
  <c r="C878" i="4"/>
  <c r="G877" i="4"/>
  <c r="F877" i="4"/>
  <c r="E877" i="4"/>
  <c r="D877" i="4"/>
  <c r="C877" i="4"/>
  <c r="G876" i="4"/>
  <c r="F876" i="4"/>
  <c r="E876" i="4"/>
  <c r="D876" i="4"/>
  <c r="C876" i="4"/>
  <c r="G875" i="4"/>
  <c r="F875" i="4"/>
  <c r="D875" i="4"/>
  <c r="E875" i="4" s="1"/>
  <c r="C875" i="4"/>
  <c r="G874" i="4"/>
  <c r="F874" i="4"/>
  <c r="D874" i="4"/>
  <c r="E874" i="4" s="1"/>
  <c r="C874" i="4"/>
  <c r="G873" i="4"/>
  <c r="F873" i="4"/>
  <c r="D873" i="4"/>
  <c r="E873" i="4" s="1"/>
  <c r="C873" i="4"/>
  <c r="G872" i="4"/>
  <c r="F872" i="4"/>
  <c r="E872" i="4"/>
  <c r="D872" i="4"/>
  <c r="C872" i="4"/>
  <c r="G871" i="4"/>
  <c r="F871" i="4"/>
  <c r="D871" i="4"/>
  <c r="E871" i="4" s="1"/>
  <c r="C871" i="4"/>
  <c r="G870" i="4"/>
  <c r="F870" i="4"/>
  <c r="E870" i="4"/>
  <c r="D870" i="4"/>
  <c r="C870" i="4"/>
  <c r="G869" i="4"/>
  <c r="F869" i="4"/>
  <c r="D869" i="4"/>
  <c r="E869" i="4" s="1"/>
  <c r="C869" i="4"/>
  <c r="G868" i="4"/>
  <c r="F868" i="4"/>
  <c r="E868" i="4"/>
  <c r="D868" i="4"/>
  <c r="C868" i="4"/>
  <c r="G867" i="4"/>
  <c r="F867" i="4"/>
  <c r="E867" i="4"/>
  <c r="D867" i="4"/>
  <c r="C867" i="4"/>
  <c r="G866" i="4"/>
  <c r="F866" i="4"/>
  <c r="E866" i="4"/>
  <c r="D866" i="4"/>
  <c r="C866" i="4"/>
  <c r="G865" i="4"/>
  <c r="F865" i="4"/>
  <c r="D865" i="4"/>
  <c r="E865" i="4" s="1"/>
  <c r="C865" i="4"/>
  <c r="G864" i="4"/>
  <c r="F864" i="4"/>
  <c r="D864" i="4"/>
  <c r="E864" i="4" s="1"/>
  <c r="C864" i="4"/>
  <c r="G863" i="4"/>
  <c r="F863" i="4"/>
  <c r="D863" i="4"/>
  <c r="E863" i="4" s="1"/>
  <c r="C863" i="4"/>
  <c r="G862" i="4"/>
  <c r="F862" i="4"/>
  <c r="E862" i="4"/>
  <c r="D862" i="4"/>
  <c r="C862" i="4"/>
  <c r="G861" i="4"/>
  <c r="F861" i="4"/>
  <c r="E861" i="4"/>
  <c r="D861" i="4"/>
  <c r="C861" i="4"/>
  <c r="G860" i="4"/>
  <c r="F860" i="4"/>
  <c r="E860" i="4"/>
  <c r="D860" i="4"/>
  <c r="C860" i="4"/>
  <c r="G859" i="4"/>
  <c r="F859" i="4"/>
  <c r="D859" i="4"/>
  <c r="E859" i="4" s="1"/>
  <c r="C859" i="4"/>
  <c r="G858" i="4"/>
  <c r="F858" i="4"/>
  <c r="D858" i="4"/>
  <c r="E858" i="4" s="1"/>
  <c r="C858" i="4"/>
  <c r="G857" i="4"/>
  <c r="F857" i="4"/>
  <c r="D857" i="4"/>
  <c r="E857" i="4" s="1"/>
  <c r="C857" i="4"/>
  <c r="G856" i="4"/>
  <c r="F856" i="4"/>
  <c r="E856" i="4"/>
  <c r="D856" i="4"/>
  <c r="C856" i="4"/>
  <c r="G855" i="4"/>
  <c r="F855" i="4"/>
  <c r="D855" i="4"/>
  <c r="E855" i="4" s="1"/>
  <c r="C855" i="4"/>
  <c r="G854" i="4"/>
  <c r="F854" i="4"/>
  <c r="E854" i="4"/>
  <c r="D854" i="4"/>
  <c r="C854" i="4"/>
  <c r="G853" i="4"/>
  <c r="F853" i="4"/>
  <c r="D853" i="4"/>
  <c r="E853" i="4" s="1"/>
  <c r="C853" i="4"/>
  <c r="G852" i="4"/>
  <c r="F852" i="4"/>
  <c r="E852" i="4"/>
  <c r="D852" i="4"/>
  <c r="C852" i="4"/>
  <c r="G851" i="4"/>
  <c r="F851" i="4"/>
  <c r="E851" i="4"/>
  <c r="D851" i="4"/>
  <c r="C851" i="4"/>
  <c r="G850" i="4"/>
  <c r="F850" i="4"/>
  <c r="E850" i="4"/>
  <c r="D850" i="4"/>
  <c r="C850" i="4"/>
  <c r="G849" i="4"/>
  <c r="F849" i="4"/>
  <c r="D849" i="4"/>
  <c r="E849" i="4" s="1"/>
  <c r="C849" i="4"/>
  <c r="G848" i="4"/>
  <c r="F848" i="4"/>
  <c r="D848" i="4"/>
  <c r="E848" i="4" s="1"/>
  <c r="C848" i="4"/>
  <c r="G847" i="4"/>
  <c r="F847" i="4"/>
  <c r="D847" i="4"/>
  <c r="E847" i="4" s="1"/>
  <c r="C847" i="4"/>
  <c r="G846" i="4"/>
  <c r="F846" i="4"/>
  <c r="E846" i="4"/>
  <c r="D846" i="4"/>
  <c r="C846" i="4"/>
  <c r="G845" i="4"/>
  <c r="F845" i="4"/>
  <c r="E845" i="4"/>
  <c r="D845" i="4"/>
  <c r="C845" i="4"/>
  <c r="G844" i="4"/>
  <c r="F844" i="4"/>
  <c r="E844" i="4"/>
  <c r="D844" i="4"/>
  <c r="C844" i="4"/>
  <c r="G843" i="4"/>
  <c r="F843" i="4"/>
  <c r="D843" i="4"/>
  <c r="E843" i="4" s="1"/>
  <c r="C843" i="4"/>
  <c r="G842" i="4"/>
  <c r="F842" i="4"/>
  <c r="D842" i="4"/>
  <c r="E842" i="4" s="1"/>
  <c r="C842" i="4"/>
  <c r="G841" i="4"/>
  <c r="F841" i="4"/>
  <c r="D841" i="4"/>
  <c r="E841" i="4" s="1"/>
  <c r="C841" i="4"/>
  <c r="G840" i="4"/>
  <c r="F840" i="4"/>
  <c r="E840" i="4"/>
  <c r="D840" i="4"/>
  <c r="C840" i="4"/>
  <c r="G839" i="4"/>
  <c r="F839" i="4"/>
  <c r="D839" i="4"/>
  <c r="E839" i="4" s="1"/>
  <c r="C839" i="4"/>
  <c r="G838" i="4"/>
  <c r="F838" i="4"/>
  <c r="E838" i="4"/>
  <c r="D838" i="4"/>
  <c r="C838" i="4"/>
  <c r="G837" i="4"/>
  <c r="F837" i="4"/>
  <c r="D837" i="4"/>
  <c r="E837" i="4" s="1"/>
  <c r="C837" i="4"/>
  <c r="G836" i="4"/>
  <c r="F836" i="4"/>
  <c r="E836" i="4"/>
  <c r="D836" i="4"/>
  <c r="C836" i="4"/>
  <c r="G835" i="4"/>
  <c r="F835" i="4"/>
  <c r="E835" i="4"/>
  <c r="D835" i="4"/>
  <c r="C835" i="4"/>
  <c r="G834" i="4"/>
  <c r="F834" i="4"/>
  <c r="E834" i="4"/>
  <c r="D834" i="4"/>
  <c r="C834" i="4"/>
  <c r="G833" i="4"/>
  <c r="F833" i="4"/>
  <c r="D833" i="4"/>
  <c r="E833" i="4" s="1"/>
  <c r="C833" i="4"/>
  <c r="G832" i="4"/>
  <c r="F832" i="4"/>
  <c r="D832" i="4"/>
  <c r="E832" i="4" s="1"/>
  <c r="C832" i="4"/>
  <c r="G831" i="4"/>
  <c r="F831" i="4"/>
  <c r="D831" i="4"/>
  <c r="E831" i="4" s="1"/>
  <c r="C831" i="4"/>
  <c r="G830" i="4"/>
  <c r="F830" i="4"/>
  <c r="E830" i="4"/>
  <c r="D830" i="4"/>
  <c r="C830" i="4"/>
  <c r="G829" i="4"/>
  <c r="F829" i="4"/>
  <c r="E829" i="4"/>
  <c r="D829" i="4"/>
  <c r="C829" i="4"/>
  <c r="G828" i="4"/>
  <c r="F828" i="4"/>
  <c r="E828" i="4"/>
  <c r="D828" i="4"/>
  <c r="C828" i="4"/>
  <c r="G827" i="4"/>
  <c r="F827" i="4"/>
  <c r="D827" i="4"/>
  <c r="E827" i="4" s="1"/>
  <c r="C827" i="4"/>
  <c r="G826" i="4"/>
  <c r="F826" i="4"/>
  <c r="D826" i="4"/>
  <c r="E826" i="4" s="1"/>
  <c r="C826" i="4"/>
  <c r="G825" i="4"/>
  <c r="F825" i="4"/>
  <c r="D825" i="4"/>
  <c r="E825" i="4" s="1"/>
  <c r="C825" i="4"/>
  <c r="G824" i="4"/>
  <c r="F824" i="4"/>
  <c r="E824" i="4"/>
  <c r="D824" i="4"/>
  <c r="C824" i="4"/>
  <c r="G823" i="4"/>
  <c r="F823" i="4"/>
  <c r="D823" i="4"/>
  <c r="E823" i="4" s="1"/>
  <c r="C823" i="4"/>
  <c r="G822" i="4"/>
  <c r="F822" i="4"/>
  <c r="E822" i="4"/>
  <c r="D822" i="4"/>
  <c r="C822" i="4"/>
  <c r="G821" i="4"/>
  <c r="F821" i="4"/>
  <c r="D821" i="4"/>
  <c r="E821" i="4" s="1"/>
  <c r="C821" i="4"/>
  <c r="G820" i="4"/>
  <c r="F820" i="4"/>
  <c r="E820" i="4"/>
  <c r="D820" i="4"/>
  <c r="C820" i="4"/>
  <c r="G819" i="4"/>
  <c r="F819" i="4"/>
  <c r="E819" i="4"/>
  <c r="D819" i="4"/>
  <c r="C819" i="4"/>
  <c r="G818" i="4"/>
  <c r="F818" i="4"/>
  <c r="E818" i="4"/>
  <c r="D818" i="4"/>
  <c r="C818" i="4"/>
  <c r="G817" i="4"/>
  <c r="F817" i="4"/>
  <c r="D817" i="4"/>
  <c r="E817" i="4" s="1"/>
  <c r="C817" i="4"/>
  <c r="G816" i="4"/>
  <c r="F816" i="4"/>
  <c r="D816" i="4"/>
  <c r="E816" i="4" s="1"/>
  <c r="C816" i="4"/>
  <c r="G815" i="4"/>
  <c r="F815" i="4"/>
  <c r="D815" i="4"/>
  <c r="E815" i="4" s="1"/>
  <c r="C815" i="4"/>
  <c r="G814" i="4"/>
  <c r="F814" i="4"/>
  <c r="E814" i="4"/>
  <c r="D814" i="4"/>
  <c r="C814" i="4"/>
  <c r="G813" i="4"/>
  <c r="F813" i="4"/>
  <c r="E813" i="4"/>
  <c r="D813" i="4"/>
  <c r="C813" i="4"/>
  <c r="G812" i="4"/>
  <c r="F812" i="4"/>
  <c r="E812" i="4"/>
  <c r="D812" i="4"/>
  <c r="C812" i="4"/>
  <c r="G811" i="4"/>
  <c r="F811" i="4"/>
  <c r="D811" i="4"/>
  <c r="E811" i="4" s="1"/>
  <c r="C811" i="4"/>
  <c r="G810" i="4"/>
  <c r="F810" i="4"/>
  <c r="E810" i="4"/>
  <c r="D810" i="4"/>
  <c r="C810" i="4"/>
  <c r="G809" i="4"/>
  <c r="F809" i="4"/>
  <c r="D809" i="4"/>
  <c r="E809" i="4" s="1"/>
  <c r="C809" i="4"/>
  <c r="G808" i="4"/>
  <c r="F808" i="4"/>
  <c r="E808" i="4"/>
  <c r="D808" i="4"/>
  <c r="C808" i="4"/>
  <c r="G807" i="4"/>
  <c r="F807" i="4"/>
  <c r="D807" i="4"/>
  <c r="E807" i="4" s="1"/>
  <c r="C807" i="4"/>
  <c r="G806" i="4"/>
  <c r="F806" i="4"/>
  <c r="E806" i="4"/>
  <c r="D806" i="4"/>
  <c r="C806" i="4"/>
  <c r="G805" i="4"/>
  <c r="F805" i="4"/>
  <c r="D805" i="4"/>
  <c r="E805" i="4" s="1"/>
  <c r="C805" i="4"/>
  <c r="G804" i="4"/>
  <c r="F804" i="4"/>
  <c r="E804" i="4"/>
  <c r="D804" i="4"/>
  <c r="C804" i="4"/>
  <c r="G803" i="4"/>
  <c r="F803" i="4"/>
  <c r="E803" i="4"/>
  <c r="D803" i="4"/>
  <c r="C803" i="4"/>
  <c r="G802" i="4"/>
  <c r="F802" i="4"/>
  <c r="E802" i="4"/>
  <c r="D802" i="4"/>
  <c r="C802" i="4"/>
  <c r="G801" i="4"/>
  <c r="F801" i="4"/>
  <c r="D801" i="4"/>
  <c r="E801" i="4" s="1"/>
  <c r="C801" i="4"/>
  <c r="G800" i="4"/>
  <c r="F800" i="4"/>
  <c r="D800" i="4"/>
  <c r="E800" i="4" s="1"/>
  <c r="C800" i="4"/>
  <c r="G799" i="4"/>
  <c r="F799" i="4"/>
  <c r="D799" i="4"/>
  <c r="E799" i="4" s="1"/>
  <c r="C799" i="4"/>
  <c r="G798" i="4"/>
  <c r="F798" i="4"/>
  <c r="E798" i="4"/>
  <c r="D798" i="4"/>
  <c r="C798" i="4"/>
  <c r="G797" i="4"/>
  <c r="F797" i="4"/>
  <c r="E797" i="4"/>
  <c r="D797" i="4"/>
  <c r="C797" i="4"/>
  <c r="G796" i="4"/>
  <c r="F796" i="4"/>
  <c r="E796" i="4"/>
  <c r="D796" i="4"/>
  <c r="C796" i="4"/>
  <c r="G795" i="4"/>
  <c r="F795" i="4"/>
  <c r="D795" i="4"/>
  <c r="E795" i="4" s="1"/>
  <c r="C795" i="4"/>
  <c r="G794" i="4"/>
  <c r="F794" i="4"/>
  <c r="E794" i="4"/>
  <c r="D794" i="4"/>
  <c r="C794" i="4"/>
  <c r="G793" i="4"/>
  <c r="F793" i="4"/>
  <c r="D793" i="4"/>
  <c r="E793" i="4" s="1"/>
  <c r="C793" i="4"/>
  <c r="G792" i="4"/>
  <c r="F792" i="4"/>
  <c r="E792" i="4"/>
  <c r="D792" i="4"/>
  <c r="C792" i="4"/>
  <c r="G791" i="4"/>
  <c r="F791" i="4"/>
  <c r="D791" i="4"/>
  <c r="E791" i="4" s="1"/>
  <c r="C791" i="4"/>
  <c r="G790" i="4"/>
  <c r="F790" i="4"/>
  <c r="E790" i="4"/>
  <c r="D790" i="4"/>
  <c r="C790" i="4"/>
  <c r="G789" i="4"/>
  <c r="F789" i="4"/>
  <c r="D789" i="4"/>
  <c r="E789" i="4" s="1"/>
  <c r="C789" i="4"/>
  <c r="G788" i="4"/>
  <c r="F788" i="4"/>
  <c r="E788" i="4"/>
  <c r="D788" i="4"/>
  <c r="C788" i="4"/>
  <c r="G787" i="4"/>
  <c r="F787" i="4"/>
  <c r="E787" i="4"/>
  <c r="D787" i="4"/>
  <c r="C787" i="4"/>
  <c r="G786" i="4"/>
  <c r="F786" i="4"/>
  <c r="E786" i="4"/>
  <c r="D786" i="4"/>
  <c r="C786" i="4"/>
  <c r="G785" i="4"/>
  <c r="F785" i="4"/>
  <c r="D785" i="4"/>
  <c r="E785" i="4" s="1"/>
  <c r="C785" i="4"/>
  <c r="G784" i="4"/>
  <c r="F784" i="4"/>
  <c r="D784" i="4"/>
  <c r="E784" i="4" s="1"/>
  <c r="C784" i="4"/>
  <c r="G783" i="4"/>
  <c r="F783" i="4"/>
  <c r="D783" i="4"/>
  <c r="E783" i="4" s="1"/>
  <c r="C783" i="4"/>
  <c r="G782" i="4"/>
  <c r="F782" i="4"/>
  <c r="E782" i="4"/>
  <c r="D782" i="4"/>
  <c r="C782" i="4"/>
  <c r="G781" i="4"/>
  <c r="F781" i="4"/>
  <c r="E781" i="4"/>
  <c r="D781" i="4"/>
  <c r="C781" i="4"/>
  <c r="G780" i="4"/>
  <c r="F780" i="4"/>
  <c r="E780" i="4"/>
  <c r="D780" i="4"/>
  <c r="C780" i="4"/>
  <c r="G779" i="4"/>
  <c r="F779" i="4"/>
  <c r="D779" i="4"/>
  <c r="E779" i="4" s="1"/>
  <c r="C779" i="4"/>
  <c r="G778" i="4"/>
  <c r="F778" i="4"/>
  <c r="D778" i="4"/>
  <c r="E778" i="4" s="1"/>
  <c r="C778" i="4"/>
  <c r="G777" i="4"/>
  <c r="F777" i="4"/>
  <c r="D777" i="4"/>
  <c r="E777" i="4" s="1"/>
  <c r="C777" i="4"/>
  <c r="G776" i="4"/>
  <c r="F776" i="4"/>
  <c r="E776" i="4"/>
  <c r="D776" i="4"/>
  <c r="C776" i="4"/>
  <c r="G775" i="4"/>
  <c r="F775" i="4"/>
  <c r="D775" i="4"/>
  <c r="E775" i="4" s="1"/>
  <c r="C775" i="4"/>
  <c r="G774" i="4"/>
  <c r="F774" i="4"/>
  <c r="E774" i="4"/>
  <c r="D774" i="4"/>
  <c r="C774" i="4"/>
  <c r="G773" i="4"/>
  <c r="F773" i="4"/>
  <c r="D773" i="4"/>
  <c r="E773" i="4" s="1"/>
  <c r="C773" i="4"/>
  <c r="G772" i="4"/>
  <c r="F772" i="4"/>
  <c r="E772" i="4"/>
  <c r="D772" i="4"/>
  <c r="C772" i="4"/>
  <c r="G771" i="4"/>
  <c r="F771" i="4"/>
  <c r="E771" i="4"/>
  <c r="D771" i="4"/>
  <c r="C771" i="4"/>
  <c r="G770" i="4"/>
  <c r="F770" i="4"/>
  <c r="E770" i="4"/>
  <c r="D770" i="4"/>
  <c r="C770" i="4"/>
  <c r="G769" i="4"/>
  <c r="F769" i="4"/>
  <c r="D769" i="4"/>
  <c r="E769" i="4" s="1"/>
  <c r="C769" i="4"/>
  <c r="G768" i="4"/>
  <c r="F768" i="4"/>
  <c r="D768" i="4"/>
  <c r="E768" i="4" s="1"/>
  <c r="C768" i="4"/>
  <c r="G767" i="4"/>
  <c r="F767" i="4"/>
  <c r="D767" i="4"/>
  <c r="E767" i="4" s="1"/>
  <c r="C767" i="4"/>
  <c r="G766" i="4"/>
  <c r="F766" i="4"/>
  <c r="E766" i="4"/>
  <c r="D766" i="4"/>
  <c r="C766" i="4"/>
  <c r="G765" i="4"/>
  <c r="F765" i="4"/>
  <c r="E765" i="4"/>
  <c r="D765" i="4"/>
  <c r="C765" i="4"/>
  <c r="G764" i="4"/>
  <c r="F764" i="4"/>
  <c r="E764" i="4"/>
  <c r="D764" i="4"/>
  <c r="C764" i="4"/>
  <c r="G763" i="4"/>
  <c r="F763" i="4"/>
  <c r="D763" i="4"/>
  <c r="E763" i="4" s="1"/>
  <c r="C763" i="4"/>
  <c r="G762" i="4"/>
  <c r="F762" i="4"/>
  <c r="E762" i="4"/>
  <c r="D762" i="4"/>
  <c r="C762" i="4"/>
  <c r="G761" i="4"/>
  <c r="F761" i="4"/>
  <c r="D761" i="4"/>
  <c r="E761" i="4" s="1"/>
  <c r="C761" i="4"/>
  <c r="G760" i="4"/>
  <c r="F760" i="4"/>
  <c r="E760" i="4"/>
  <c r="D760" i="4"/>
  <c r="C760" i="4"/>
  <c r="G759" i="4"/>
  <c r="F759" i="4"/>
  <c r="D759" i="4"/>
  <c r="E759" i="4" s="1"/>
  <c r="C759" i="4"/>
  <c r="G758" i="4"/>
  <c r="F758" i="4"/>
  <c r="E758" i="4"/>
  <c r="D758" i="4"/>
  <c r="C758" i="4"/>
  <c r="G757" i="4"/>
  <c r="F757" i="4"/>
  <c r="D757" i="4"/>
  <c r="E757" i="4" s="1"/>
  <c r="C757" i="4"/>
  <c r="G756" i="4"/>
  <c r="F756" i="4"/>
  <c r="E756" i="4"/>
  <c r="D756" i="4"/>
  <c r="C756" i="4"/>
  <c r="G755" i="4"/>
  <c r="F755" i="4"/>
  <c r="E755" i="4"/>
  <c r="D755" i="4"/>
  <c r="C755" i="4"/>
  <c r="G754" i="4"/>
  <c r="F754" i="4"/>
  <c r="E754" i="4"/>
  <c r="D754" i="4"/>
  <c r="C754" i="4"/>
  <c r="G753" i="4"/>
  <c r="F753" i="4"/>
  <c r="D753" i="4"/>
  <c r="E753" i="4" s="1"/>
  <c r="C753" i="4"/>
  <c r="G752" i="4"/>
  <c r="F752" i="4"/>
  <c r="D752" i="4"/>
  <c r="E752" i="4" s="1"/>
  <c r="C752" i="4"/>
  <c r="G751" i="4"/>
  <c r="F751" i="4"/>
  <c r="D751" i="4"/>
  <c r="E751" i="4" s="1"/>
  <c r="C751" i="4"/>
  <c r="G750" i="4"/>
  <c r="F750" i="4"/>
  <c r="E750" i="4"/>
  <c r="D750" i="4"/>
  <c r="C750" i="4"/>
  <c r="G749" i="4"/>
  <c r="F749" i="4"/>
  <c r="E749" i="4"/>
  <c r="D749" i="4"/>
  <c r="C749" i="4"/>
  <c r="G748" i="4"/>
  <c r="F748" i="4"/>
  <c r="E748" i="4"/>
  <c r="D748" i="4"/>
  <c r="C748" i="4"/>
  <c r="G747" i="4"/>
  <c r="F747" i="4"/>
  <c r="D747" i="4"/>
  <c r="E747" i="4" s="1"/>
  <c r="C747" i="4"/>
  <c r="G746" i="4"/>
  <c r="F746" i="4"/>
  <c r="E746" i="4"/>
  <c r="D746" i="4"/>
  <c r="C746" i="4"/>
  <c r="G745" i="4"/>
  <c r="F745" i="4"/>
  <c r="D745" i="4"/>
  <c r="E745" i="4" s="1"/>
  <c r="C745" i="4"/>
  <c r="G744" i="4"/>
  <c r="F744" i="4"/>
  <c r="E744" i="4"/>
  <c r="D744" i="4"/>
  <c r="C744" i="4"/>
  <c r="G743" i="4"/>
  <c r="F743" i="4"/>
  <c r="D743" i="4"/>
  <c r="E743" i="4" s="1"/>
  <c r="C743" i="4"/>
  <c r="G742" i="4"/>
  <c r="F742" i="4"/>
  <c r="E742" i="4"/>
  <c r="D742" i="4"/>
  <c r="C742" i="4"/>
  <c r="G741" i="4"/>
  <c r="F741" i="4"/>
  <c r="D741" i="4"/>
  <c r="E741" i="4" s="1"/>
  <c r="C741" i="4"/>
  <c r="G740" i="4"/>
  <c r="F740" i="4"/>
  <c r="E740" i="4"/>
  <c r="D740" i="4"/>
  <c r="C740" i="4"/>
  <c r="G739" i="4"/>
  <c r="F739" i="4"/>
  <c r="E739" i="4"/>
  <c r="D739" i="4"/>
  <c r="C739" i="4"/>
  <c r="G738" i="4"/>
  <c r="F738" i="4"/>
  <c r="E738" i="4"/>
  <c r="D738" i="4"/>
  <c r="C738" i="4"/>
  <c r="G737" i="4"/>
  <c r="F737" i="4"/>
  <c r="D737" i="4"/>
  <c r="E737" i="4" s="1"/>
  <c r="C737" i="4"/>
  <c r="G736" i="4"/>
  <c r="F736" i="4"/>
  <c r="D736" i="4"/>
  <c r="E736" i="4" s="1"/>
  <c r="C736" i="4"/>
  <c r="G735" i="4"/>
  <c r="F735" i="4"/>
  <c r="D735" i="4"/>
  <c r="E735" i="4" s="1"/>
  <c r="C735" i="4"/>
  <c r="G734" i="4"/>
  <c r="F734" i="4"/>
  <c r="E734" i="4"/>
  <c r="D734" i="4"/>
  <c r="C734" i="4"/>
  <c r="G733" i="4"/>
  <c r="F733" i="4"/>
  <c r="E733" i="4"/>
  <c r="D733" i="4"/>
  <c r="C733" i="4"/>
  <c r="G732" i="4"/>
  <c r="F732" i="4"/>
  <c r="E732" i="4"/>
  <c r="D732" i="4"/>
  <c r="C732" i="4"/>
  <c r="G731" i="4"/>
  <c r="F731" i="4"/>
  <c r="D731" i="4"/>
  <c r="E731" i="4" s="1"/>
  <c r="C731" i="4"/>
  <c r="G730" i="4"/>
  <c r="F730" i="4"/>
  <c r="E730" i="4"/>
  <c r="D730" i="4"/>
  <c r="C730" i="4"/>
  <c r="G729" i="4"/>
  <c r="F729" i="4"/>
  <c r="D729" i="4"/>
  <c r="E729" i="4" s="1"/>
  <c r="C729" i="4"/>
  <c r="G728" i="4"/>
  <c r="F728" i="4"/>
  <c r="E728" i="4"/>
  <c r="D728" i="4"/>
  <c r="C728" i="4"/>
  <c r="G727" i="4"/>
  <c r="F727" i="4"/>
  <c r="D727" i="4"/>
  <c r="E727" i="4" s="1"/>
  <c r="C727" i="4"/>
  <c r="G726" i="4"/>
  <c r="F726" i="4"/>
  <c r="E726" i="4"/>
  <c r="D726" i="4"/>
  <c r="C726" i="4"/>
  <c r="G725" i="4"/>
  <c r="F725" i="4"/>
  <c r="D725" i="4"/>
  <c r="E725" i="4" s="1"/>
  <c r="C725" i="4"/>
  <c r="G724" i="4"/>
  <c r="F724" i="4"/>
  <c r="E724" i="4"/>
  <c r="D724" i="4"/>
  <c r="C724" i="4"/>
  <c r="G723" i="4"/>
  <c r="F723" i="4"/>
  <c r="E723" i="4"/>
  <c r="D723" i="4"/>
  <c r="C723" i="4"/>
  <c r="G722" i="4"/>
  <c r="F722" i="4"/>
  <c r="E722" i="4"/>
  <c r="D722" i="4"/>
  <c r="C722" i="4"/>
  <c r="G721" i="4"/>
  <c r="F721" i="4"/>
  <c r="D721" i="4"/>
  <c r="E721" i="4" s="1"/>
  <c r="C721" i="4"/>
  <c r="G720" i="4"/>
  <c r="F720" i="4"/>
  <c r="D720" i="4"/>
  <c r="E720" i="4" s="1"/>
  <c r="C720" i="4"/>
  <c r="G719" i="4"/>
  <c r="F719" i="4"/>
  <c r="D719" i="4"/>
  <c r="E719" i="4" s="1"/>
  <c r="C719" i="4"/>
  <c r="G718" i="4"/>
  <c r="F718" i="4"/>
  <c r="E718" i="4"/>
  <c r="D718" i="4"/>
  <c r="C718" i="4"/>
  <c r="G717" i="4"/>
  <c r="F717" i="4"/>
  <c r="E717" i="4"/>
  <c r="D717" i="4"/>
  <c r="C717" i="4"/>
  <c r="G716" i="4"/>
  <c r="F716" i="4"/>
  <c r="E716" i="4"/>
  <c r="D716" i="4"/>
  <c r="C716" i="4"/>
  <c r="G715" i="4"/>
  <c r="F715" i="4"/>
  <c r="D715" i="4"/>
  <c r="E715" i="4" s="1"/>
  <c r="C715" i="4"/>
  <c r="G714" i="4"/>
  <c r="F714" i="4"/>
  <c r="E714" i="4"/>
  <c r="D714" i="4"/>
  <c r="C714" i="4"/>
  <c r="G713" i="4"/>
  <c r="F713" i="4"/>
  <c r="D713" i="4"/>
  <c r="E713" i="4" s="1"/>
  <c r="C713" i="4"/>
  <c r="G712" i="4"/>
  <c r="F712" i="4"/>
  <c r="E712" i="4"/>
  <c r="D712" i="4"/>
  <c r="C712" i="4"/>
  <c r="G711" i="4"/>
  <c r="F711" i="4"/>
  <c r="D711" i="4"/>
  <c r="E711" i="4" s="1"/>
  <c r="C711" i="4"/>
  <c r="G710" i="4"/>
  <c r="F710" i="4"/>
  <c r="E710" i="4"/>
  <c r="D710" i="4"/>
  <c r="C710" i="4"/>
  <c r="G709" i="4"/>
  <c r="F709" i="4"/>
  <c r="D709" i="4"/>
  <c r="E709" i="4" s="1"/>
  <c r="C709" i="4"/>
  <c r="G708" i="4"/>
  <c r="F708" i="4"/>
  <c r="E708" i="4"/>
  <c r="D708" i="4"/>
  <c r="C708" i="4"/>
  <c r="G707" i="4"/>
  <c r="F707" i="4"/>
  <c r="E707" i="4"/>
  <c r="D707" i="4"/>
  <c r="C707" i="4"/>
  <c r="G706" i="4"/>
  <c r="F706" i="4"/>
  <c r="E706" i="4"/>
  <c r="D706" i="4"/>
  <c r="C706" i="4"/>
  <c r="G705" i="4"/>
  <c r="F705" i="4"/>
  <c r="D705" i="4"/>
  <c r="E705" i="4" s="1"/>
  <c r="C705" i="4"/>
  <c r="G704" i="4"/>
  <c r="F704" i="4"/>
  <c r="D704" i="4"/>
  <c r="E704" i="4" s="1"/>
  <c r="C704" i="4"/>
  <c r="G703" i="4"/>
  <c r="F703" i="4"/>
  <c r="D703" i="4"/>
  <c r="E703" i="4" s="1"/>
  <c r="C703" i="4"/>
  <c r="G702" i="4"/>
  <c r="F702" i="4"/>
  <c r="E702" i="4"/>
  <c r="D702" i="4"/>
  <c r="C702" i="4"/>
  <c r="G701" i="4"/>
  <c r="F701" i="4"/>
  <c r="E701" i="4"/>
  <c r="D701" i="4"/>
  <c r="C701" i="4"/>
  <c r="G700" i="4"/>
  <c r="F700" i="4"/>
  <c r="E700" i="4"/>
  <c r="D700" i="4"/>
  <c r="C700" i="4"/>
  <c r="G699" i="4"/>
  <c r="F699" i="4"/>
  <c r="D699" i="4"/>
  <c r="E699" i="4" s="1"/>
  <c r="C699" i="4"/>
  <c r="G698" i="4"/>
  <c r="F698" i="4"/>
  <c r="D698" i="4"/>
  <c r="E698" i="4" s="1"/>
  <c r="C698" i="4"/>
  <c r="G697" i="4"/>
  <c r="F697" i="4"/>
  <c r="D697" i="4"/>
  <c r="E697" i="4" s="1"/>
  <c r="C697" i="4"/>
  <c r="G696" i="4"/>
  <c r="F696" i="4"/>
  <c r="E696" i="4"/>
  <c r="D696" i="4"/>
  <c r="C696" i="4"/>
  <c r="G695" i="4"/>
  <c r="F695" i="4"/>
  <c r="D695" i="4"/>
  <c r="E695" i="4" s="1"/>
  <c r="C695" i="4"/>
  <c r="G694" i="4"/>
  <c r="F694" i="4"/>
  <c r="E694" i="4"/>
  <c r="D694" i="4"/>
  <c r="C694" i="4"/>
  <c r="G693" i="4"/>
  <c r="F693" i="4"/>
  <c r="D693" i="4"/>
  <c r="E693" i="4" s="1"/>
  <c r="C693" i="4"/>
  <c r="G692" i="4"/>
  <c r="F692" i="4"/>
  <c r="E692" i="4"/>
  <c r="D692" i="4"/>
  <c r="C692" i="4"/>
  <c r="G691" i="4"/>
  <c r="F691" i="4"/>
  <c r="D691" i="4"/>
  <c r="E691" i="4" s="1"/>
  <c r="C691" i="4"/>
  <c r="G690" i="4"/>
  <c r="F690" i="4"/>
  <c r="E690" i="4"/>
  <c r="D690" i="4"/>
  <c r="C690" i="4"/>
  <c r="G689" i="4"/>
  <c r="F689" i="4"/>
  <c r="D689" i="4"/>
  <c r="E689" i="4" s="1"/>
  <c r="C689" i="4"/>
  <c r="G688" i="4"/>
  <c r="F688" i="4"/>
  <c r="D688" i="4"/>
  <c r="E688" i="4" s="1"/>
  <c r="C688" i="4"/>
  <c r="G687" i="4"/>
  <c r="F687" i="4"/>
  <c r="D687" i="4"/>
  <c r="E687" i="4" s="1"/>
  <c r="C687" i="4"/>
  <c r="G686" i="4"/>
  <c r="F686" i="4"/>
  <c r="E686" i="4"/>
  <c r="D686" i="4"/>
  <c r="C686" i="4"/>
  <c r="G685" i="4"/>
  <c r="F685" i="4"/>
  <c r="E685" i="4"/>
  <c r="D685" i="4"/>
  <c r="C685" i="4"/>
  <c r="G684" i="4"/>
  <c r="F684" i="4"/>
  <c r="E684" i="4"/>
  <c r="D684" i="4"/>
  <c r="C684" i="4"/>
  <c r="G683" i="4"/>
  <c r="F683" i="4"/>
  <c r="D683" i="4"/>
  <c r="E683" i="4" s="1"/>
  <c r="C683" i="4"/>
  <c r="G682" i="4"/>
  <c r="F682" i="4"/>
  <c r="E682" i="4"/>
  <c r="D682" i="4"/>
  <c r="C682" i="4"/>
  <c r="G681" i="4"/>
  <c r="F681" i="4"/>
  <c r="D681" i="4"/>
  <c r="E681" i="4" s="1"/>
  <c r="C681" i="4"/>
  <c r="G680" i="4"/>
  <c r="F680" i="4"/>
  <c r="E680" i="4"/>
  <c r="D680" i="4"/>
  <c r="C680" i="4"/>
  <c r="G679" i="4"/>
  <c r="F679" i="4"/>
  <c r="D679" i="4"/>
  <c r="E679" i="4" s="1"/>
  <c r="C679" i="4"/>
  <c r="G678" i="4"/>
  <c r="F678" i="4"/>
  <c r="E678" i="4"/>
  <c r="D678" i="4"/>
  <c r="C678" i="4"/>
  <c r="G677" i="4"/>
  <c r="F677" i="4"/>
  <c r="D677" i="4"/>
  <c r="E677" i="4" s="1"/>
  <c r="C677" i="4"/>
  <c r="G676" i="4"/>
  <c r="F676" i="4"/>
  <c r="E676" i="4"/>
  <c r="D676" i="4"/>
  <c r="C676" i="4"/>
  <c r="G675" i="4"/>
  <c r="F675" i="4"/>
  <c r="D675" i="4"/>
  <c r="E675" i="4" s="1"/>
  <c r="C675" i="4"/>
  <c r="G674" i="4"/>
  <c r="F674" i="4"/>
  <c r="E674" i="4"/>
  <c r="D674" i="4"/>
  <c r="C674" i="4"/>
  <c r="G673" i="4"/>
  <c r="F673" i="4"/>
  <c r="D673" i="4"/>
  <c r="E673" i="4" s="1"/>
  <c r="C673" i="4"/>
  <c r="G672" i="4"/>
  <c r="F672" i="4"/>
  <c r="D672" i="4"/>
  <c r="E672" i="4" s="1"/>
  <c r="C672" i="4"/>
  <c r="G671" i="4"/>
  <c r="F671" i="4"/>
  <c r="D671" i="4"/>
  <c r="E671" i="4" s="1"/>
  <c r="C671" i="4"/>
  <c r="G670" i="4"/>
  <c r="F670" i="4"/>
  <c r="E670" i="4"/>
  <c r="D670" i="4"/>
  <c r="C670" i="4"/>
  <c r="G669" i="4"/>
  <c r="F669" i="4"/>
  <c r="E669" i="4"/>
  <c r="D669" i="4"/>
  <c r="C669" i="4"/>
  <c r="G668" i="4"/>
  <c r="F668" i="4"/>
  <c r="E668" i="4"/>
  <c r="D668" i="4"/>
  <c r="C668" i="4"/>
  <c r="G667" i="4"/>
  <c r="F667" i="4"/>
  <c r="D667" i="4"/>
  <c r="E667" i="4" s="1"/>
  <c r="C667" i="4"/>
  <c r="G666" i="4"/>
  <c r="F666" i="4"/>
  <c r="D666" i="4"/>
  <c r="E666" i="4" s="1"/>
  <c r="C666" i="4"/>
  <c r="G665" i="4"/>
  <c r="F665" i="4"/>
  <c r="D665" i="4"/>
  <c r="E665" i="4" s="1"/>
  <c r="C665" i="4"/>
  <c r="G664" i="4"/>
  <c r="F664" i="4"/>
  <c r="E664" i="4"/>
  <c r="D664" i="4"/>
  <c r="C664" i="4"/>
  <c r="G663" i="4"/>
  <c r="F663" i="4"/>
  <c r="D663" i="4"/>
  <c r="E663" i="4" s="1"/>
  <c r="C663" i="4"/>
  <c r="G662" i="4"/>
  <c r="F662" i="4"/>
  <c r="E662" i="4"/>
  <c r="D662" i="4"/>
  <c r="C662" i="4"/>
  <c r="G661" i="4"/>
  <c r="F661" i="4"/>
  <c r="D661" i="4"/>
  <c r="E661" i="4" s="1"/>
  <c r="C661" i="4"/>
  <c r="G660" i="4"/>
  <c r="F660" i="4"/>
  <c r="E660" i="4"/>
  <c r="D660" i="4"/>
  <c r="C660" i="4"/>
  <c r="G659" i="4"/>
  <c r="F659" i="4"/>
  <c r="D659" i="4"/>
  <c r="E659" i="4" s="1"/>
  <c r="C659" i="4"/>
  <c r="G658" i="4"/>
  <c r="F658" i="4"/>
  <c r="E658" i="4"/>
  <c r="D658" i="4"/>
  <c r="C658" i="4"/>
  <c r="G657" i="4"/>
  <c r="F657" i="4"/>
  <c r="D657" i="4"/>
  <c r="E657" i="4" s="1"/>
  <c r="C657" i="4"/>
  <c r="G656" i="4"/>
  <c r="F656" i="4"/>
  <c r="D656" i="4"/>
  <c r="E656" i="4" s="1"/>
  <c r="C656" i="4"/>
  <c r="G655" i="4"/>
  <c r="F655" i="4"/>
  <c r="D655" i="4"/>
  <c r="E655" i="4" s="1"/>
  <c r="C655" i="4"/>
  <c r="G654" i="4"/>
  <c r="F654" i="4"/>
  <c r="E654" i="4"/>
  <c r="D654" i="4"/>
  <c r="C654" i="4"/>
  <c r="G653" i="4"/>
  <c r="F653" i="4"/>
  <c r="E653" i="4"/>
  <c r="D653" i="4"/>
  <c r="C653" i="4"/>
  <c r="G652" i="4"/>
  <c r="F652" i="4"/>
  <c r="E652" i="4"/>
  <c r="D652" i="4"/>
  <c r="C652" i="4"/>
  <c r="G651" i="4"/>
  <c r="F651" i="4"/>
  <c r="D651" i="4"/>
  <c r="E651" i="4" s="1"/>
  <c r="C651" i="4"/>
  <c r="G650" i="4"/>
  <c r="F650" i="4"/>
  <c r="E650" i="4"/>
  <c r="D650" i="4"/>
  <c r="C650" i="4"/>
  <c r="G649" i="4"/>
  <c r="F649" i="4"/>
  <c r="D649" i="4"/>
  <c r="E649" i="4" s="1"/>
  <c r="C649" i="4"/>
  <c r="G648" i="4"/>
  <c r="F648" i="4"/>
  <c r="E648" i="4"/>
  <c r="D648" i="4"/>
  <c r="C648" i="4"/>
  <c r="G647" i="4"/>
  <c r="F647" i="4"/>
  <c r="D647" i="4"/>
  <c r="E647" i="4" s="1"/>
  <c r="C647" i="4"/>
  <c r="G646" i="4"/>
  <c r="F646" i="4"/>
  <c r="E646" i="4"/>
  <c r="D646" i="4"/>
  <c r="C646" i="4"/>
  <c r="G645" i="4"/>
  <c r="F645" i="4"/>
  <c r="D645" i="4"/>
  <c r="E645" i="4" s="1"/>
  <c r="C645" i="4"/>
  <c r="G644" i="4"/>
  <c r="F644" i="4"/>
  <c r="E644" i="4"/>
  <c r="D644" i="4"/>
  <c r="C644" i="4"/>
  <c r="G643" i="4"/>
  <c r="F643" i="4"/>
  <c r="E643" i="4"/>
  <c r="D643" i="4"/>
  <c r="C643" i="4"/>
  <c r="G642" i="4"/>
  <c r="F642" i="4"/>
  <c r="E642" i="4"/>
  <c r="D642" i="4"/>
  <c r="C642" i="4"/>
  <c r="G641" i="4"/>
  <c r="F641" i="4"/>
  <c r="D641" i="4"/>
  <c r="E641" i="4" s="1"/>
  <c r="C641" i="4"/>
  <c r="G640" i="4"/>
  <c r="F640" i="4"/>
  <c r="D640" i="4"/>
  <c r="E640" i="4" s="1"/>
  <c r="C640" i="4"/>
  <c r="G639" i="4"/>
  <c r="F639" i="4"/>
  <c r="D639" i="4"/>
  <c r="E639" i="4" s="1"/>
  <c r="C639" i="4"/>
  <c r="G638" i="4"/>
  <c r="F638" i="4"/>
  <c r="E638" i="4"/>
  <c r="D638" i="4"/>
  <c r="C638" i="4"/>
  <c r="G637" i="4"/>
  <c r="F637" i="4"/>
  <c r="E637" i="4"/>
  <c r="D637" i="4"/>
  <c r="C637" i="4"/>
  <c r="G636" i="4"/>
  <c r="F636" i="4"/>
  <c r="E636" i="4"/>
  <c r="D636" i="4"/>
  <c r="C636" i="4"/>
  <c r="G635" i="4"/>
  <c r="F635" i="4"/>
  <c r="D635" i="4"/>
  <c r="E635" i="4" s="1"/>
  <c r="C635" i="4"/>
  <c r="G634" i="4"/>
  <c r="F634" i="4"/>
  <c r="D634" i="4"/>
  <c r="E634" i="4" s="1"/>
  <c r="C634" i="4"/>
  <c r="G633" i="4"/>
  <c r="F633" i="4"/>
  <c r="D633" i="4"/>
  <c r="E633" i="4" s="1"/>
  <c r="C633" i="4"/>
  <c r="G632" i="4"/>
  <c r="F632" i="4"/>
  <c r="E632" i="4"/>
  <c r="D632" i="4"/>
  <c r="C632" i="4"/>
  <c r="G631" i="4"/>
  <c r="F631" i="4"/>
  <c r="D631" i="4"/>
  <c r="E631" i="4" s="1"/>
  <c r="C631" i="4"/>
  <c r="G630" i="4"/>
  <c r="F630" i="4"/>
  <c r="E630" i="4"/>
  <c r="D630" i="4"/>
  <c r="C630" i="4"/>
  <c r="G629" i="4"/>
  <c r="F629" i="4"/>
  <c r="D629" i="4"/>
  <c r="E629" i="4" s="1"/>
  <c r="C629" i="4"/>
  <c r="G628" i="4"/>
  <c r="F628" i="4"/>
  <c r="E628" i="4"/>
  <c r="D628" i="4"/>
  <c r="C628" i="4"/>
  <c r="G627" i="4"/>
  <c r="F627" i="4"/>
  <c r="D627" i="4"/>
  <c r="E627" i="4" s="1"/>
  <c r="C627" i="4"/>
  <c r="G626" i="4"/>
  <c r="F626" i="4"/>
  <c r="E626" i="4"/>
  <c r="D626" i="4"/>
  <c r="C626" i="4"/>
  <c r="G625" i="4"/>
  <c r="F625" i="4"/>
  <c r="D625" i="4"/>
  <c r="E625" i="4" s="1"/>
  <c r="C625" i="4"/>
  <c r="G624" i="4"/>
  <c r="F624" i="4"/>
  <c r="D624" i="4"/>
  <c r="E624" i="4" s="1"/>
  <c r="C624" i="4"/>
  <c r="G623" i="4"/>
  <c r="F623" i="4"/>
  <c r="D623" i="4"/>
  <c r="E623" i="4" s="1"/>
  <c r="C623" i="4"/>
  <c r="G622" i="4"/>
  <c r="F622" i="4"/>
  <c r="E622" i="4"/>
  <c r="D622" i="4"/>
  <c r="C622" i="4"/>
  <c r="G621" i="4"/>
  <c r="F621" i="4"/>
  <c r="E621" i="4"/>
  <c r="D621" i="4"/>
  <c r="C621" i="4"/>
  <c r="G620" i="4"/>
  <c r="F620" i="4"/>
  <c r="E620" i="4"/>
  <c r="D620" i="4"/>
  <c r="C620" i="4"/>
  <c r="G619" i="4"/>
  <c r="F619" i="4"/>
  <c r="D619" i="4"/>
  <c r="E619" i="4" s="1"/>
  <c r="C619" i="4"/>
  <c r="G618" i="4"/>
  <c r="F618" i="4"/>
  <c r="D618" i="4"/>
  <c r="E618" i="4" s="1"/>
  <c r="C618" i="4"/>
  <c r="G617" i="4"/>
  <c r="F617" i="4"/>
  <c r="D617" i="4"/>
  <c r="E617" i="4" s="1"/>
  <c r="C617" i="4"/>
  <c r="G616" i="4"/>
  <c r="F616" i="4"/>
  <c r="E616" i="4"/>
  <c r="D616" i="4"/>
  <c r="C616" i="4"/>
  <c r="G615" i="4"/>
  <c r="F615" i="4"/>
  <c r="D615" i="4"/>
  <c r="E615" i="4" s="1"/>
  <c r="C615" i="4"/>
  <c r="G614" i="4"/>
  <c r="F614" i="4"/>
  <c r="E614" i="4"/>
  <c r="D614" i="4"/>
  <c r="C614" i="4"/>
  <c r="G613" i="4"/>
  <c r="F613" i="4"/>
  <c r="D613" i="4"/>
  <c r="E613" i="4" s="1"/>
  <c r="C613" i="4"/>
  <c r="G612" i="4"/>
  <c r="F612" i="4"/>
  <c r="E612" i="4"/>
  <c r="D612" i="4"/>
  <c r="C612" i="4"/>
  <c r="G611" i="4"/>
  <c r="F611" i="4"/>
  <c r="D611" i="4"/>
  <c r="E611" i="4" s="1"/>
  <c r="C611" i="4"/>
  <c r="G610" i="4"/>
  <c r="F610" i="4"/>
  <c r="E610" i="4"/>
  <c r="D610" i="4"/>
  <c r="C610" i="4"/>
  <c r="G609" i="4"/>
  <c r="F609" i="4"/>
  <c r="D609" i="4"/>
  <c r="E609" i="4" s="1"/>
  <c r="C609" i="4"/>
  <c r="G608" i="4"/>
  <c r="F608" i="4"/>
  <c r="D608" i="4"/>
  <c r="E608" i="4" s="1"/>
  <c r="C608" i="4"/>
  <c r="G607" i="4"/>
  <c r="F607" i="4"/>
  <c r="D607" i="4"/>
  <c r="E607" i="4" s="1"/>
  <c r="C607" i="4"/>
  <c r="G606" i="4"/>
  <c r="F606" i="4"/>
  <c r="E606" i="4"/>
  <c r="D606" i="4"/>
  <c r="C606" i="4"/>
  <c r="G605" i="4"/>
  <c r="F605" i="4"/>
  <c r="E605" i="4"/>
  <c r="D605" i="4"/>
  <c r="C605" i="4"/>
  <c r="G604" i="4"/>
  <c r="F604" i="4"/>
  <c r="E604" i="4"/>
  <c r="D604" i="4"/>
  <c r="C604" i="4"/>
  <c r="G603" i="4"/>
  <c r="F603" i="4"/>
  <c r="D603" i="4"/>
  <c r="E603" i="4" s="1"/>
  <c r="C603" i="4"/>
  <c r="G602" i="4"/>
  <c r="F602" i="4"/>
  <c r="D602" i="4"/>
  <c r="E602" i="4" s="1"/>
  <c r="C602" i="4"/>
  <c r="G601" i="4"/>
  <c r="F601" i="4"/>
  <c r="D601" i="4"/>
  <c r="E601" i="4" s="1"/>
  <c r="C601" i="4"/>
  <c r="G600" i="4"/>
  <c r="F600" i="4"/>
  <c r="E600" i="4"/>
  <c r="D600" i="4"/>
  <c r="C600" i="4"/>
  <c r="G599" i="4"/>
  <c r="F599" i="4"/>
  <c r="D599" i="4"/>
  <c r="E599" i="4" s="1"/>
  <c r="C599" i="4"/>
  <c r="G598" i="4"/>
  <c r="F598" i="4"/>
  <c r="E598" i="4"/>
  <c r="D598" i="4"/>
  <c r="C598" i="4"/>
  <c r="G597" i="4"/>
  <c r="F597" i="4"/>
  <c r="D597" i="4"/>
  <c r="E597" i="4" s="1"/>
  <c r="C597" i="4"/>
  <c r="G596" i="4"/>
  <c r="F596" i="4"/>
  <c r="E596" i="4"/>
  <c r="D596" i="4"/>
  <c r="C596" i="4"/>
  <c r="G595" i="4"/>
  <c r="F595" i="4"/>
  <c r="D595" i="4"/>
  <c r="E595" i="4" s="1"/>
  <c r="C595" i="4"/>
  <c r="G594" i="4"/>
  <c r="F594" i="4"/>
  <c r="E594" i="4"/>
  <c r="D594" i="4"/>
  <c r="C594" i="4"/>
  <c r="G593" i="4"/>
  <c r="F593" i="4"/>
  <c r="D593" i="4"/>
  <c r="E593" i="4" s="1"/>
  <c r="C593" i="4"/>
  <c r="G592" i="4"/>
  <c r="F592" i="4"/>
  <c r="D592" i="4"/>
  <c r="E592" i="4" s="1"/>
  <c r="C592" i="4"/>
  <c r="G591" i="4"/>
  <c r="F591" i="4"/>
  <c r="D591" i="4"/>
  <c r="E591" i="4" s="1"/>
  <c r="C591" i="4"/>
  <c r="G590" i="4"/>
  <c r="F590" i="4"/>
  <c r="E590" i="4"/>
  <c r="D590" i="4"/>
  <c r="C590" i="4"/>
  <c r="G589" i="4"/>
  <c r="F589" i="4"/>
  <c r="D589" i="4"/>
  <c r="E589" i="4" s="1"/>
  <c r="C589" i="4"/>
  <c r="G588" i="4"/>
  <c r="F588" i="4"/>
  <c r="E588" i="4"/>
  <c r="D588" i="4"/>
  <c r="C588" i="4"/>
  <c r="G587" i="4"/>
  <c r="F587" i="4"/>
  <c r="D587" i="4"/>
  <c r="E587" i="4" s="1"/>
  <c r="C587" i="4"/>
  <c r="G586" i="4"/>
  <c r="F586" i="4"/>
  <c r="D586" i="4"/>
  <c r="E586" i="4" s="1"/>
  <c r="C586" i="4"/>
  <c r="G585" i="4"/>
  <c r="F585" i="4"/>
  <c r="D585" i="4"/>
  <c r="E585" i="4" s="1"/>
  <c r="C585" i="4"/>
  <c r="G584" i="4"/>
  <c r="F584" i="4"/>
  <c r="E584" i="4"/>
  <c r="D584" i="4"/>
  <c r="C584" i="4"/>
  <c r="G583" i="4"/>
  <c r="F583" i="4"/>
  <c r="D583" i="4"/>
  <c r="E583" i="4" s="1"/>
  <c r="C583" i="4"/>
  <c r="G582" i="4"/>
  <c r="F582" i="4"/>
  <c r="E582" i="4"/>
  <c r="D582" i="4"/>
  <c r="C582" i="4"/>
  <c r="G581" i="4"/>
  <c r="F581" i="4"/>
  <c r="D581" i="4"/>
  <c r="E581" i="4" s="1"/>
  <c r="C581" i="4"/>
  <c r="G580" i="4"/>
  <c r="F580" i="4"/>
  <c r="E580" i="4"/>
  <c r="D580" i="4"/>
  <c r="C580" i="4"/>
  <c r="G579" i="4"/>
  <c r="F579" i="4"/>
  <c r="E579" i="4"/>
  <c r="D579" i="4"/>
  <c r="C579" i="4"/>
  <c r="G578" i="4"/>
  <c r="F578" i="4"/>
  <c r="E578" i="4"/>
  <c r="D578" i="4"/>
  <c r="C578" i="4"/>
  <c r="G577" i="4"/>
  <c r="F577" i="4"/>
  <c r="D577" i="4"/>
  <c r="E577" i="4" s="1"/>
  <c r="C577" i="4"/>
  <c r="G576" i="4"/>
  <c r="F576" i="4"/>
  <c r="E576" i="4"/>
  <c r="D576" i="4"/>
  <c r="C576" i="4"/>
  <c r="G575" i="4"/>
  <c r="F575" i="4"/>
  <c r="D575" i="4"/>
  <c r="E575" i="4" s="1"/>
  <c r="C575" i="4"/>
  <c r="G574" i="4"/>
  <c r="F574" i="4"/>
  <c r="E574" i="4"/>
  <c r="D574" i="4"/>
  <c r="C574" i="4"/>
  <c r="G573" i="4"/>
  <c r="F573" i="4"/>
  <c r="E573" i="4"/>
  <c r="D573" i="4"/>
  <c r="C573" i="4"/>
  <c r="G572" i="4"/>
  <c r="F572" i="4"/>
  <c r="E572" i="4"/>
  <c r="D572" i="4"/>
  <c r="C572" i="4"/>
  <c r="G571" i="4"/>
  <c r="F571" i="4"/>
  <c r="D571" i="4"/>
  <c r="E571" i="4" s="1"/>
  <c r="C571" i="4"/>
  <c r="G570" i="4"/>
  <c r="F570" i="4"/>
  <c r="E570" i="4"/>
  <c r="D570" i="4"/>
  <c r="C570" i="4"/>
  <c r="G569" i="4"/>
  <c r="F569" i="4"/>
  <c r="D569" i="4"/>
  <c r="E569" i="4" s="1"/>
  <c r="C569" i="4"/>
  <c r="G568" i="4"/>
  <c r="F568" i="4"/>
  <c r="E568" i="4"/>
  <c r="D568" i="4"/>
  <c r="C568" i="4"/>
  <c r="G567" i="4"/>
  <c r="F567" i="4"/>
  <c r="D567" i="4"/>
  <c r="E567" i="4" s="1"/>
  <c r="C567" i="4"/>
  <c r="G566" i="4"/>
  <c r="F566" i="4"/>
  <c r="E566" i="4"/>
  <c r="D566" i="4"/>
  <c r="C566" i="4"/>
  <c r="G565" i="4"/>
  <c r="F565" i="4"/>
  <c r="D565" i="4"/>
  <c r="E565" i="4" s="1"/>
  <c r="C565" i="4"/>
  <c r="G564" i="4"/>
  <c r="F564" i="4"/>
  <c r="E564" i="4"/>
  <c r="D564" i="4"/>
  <c r="C564" i="4"/>
  <c r="G563" i="4"/>
  <c r="F563" i="4"/>
  <c r="E563" i="4"/>
  <c r="D563" i="4"/>
  <c r="C563" i="4"/>
  <c r="G562" i="4"/>
  <c r="F562" i="4"/>
  <c r="E562" i="4"/>
  <c r="D562" i="4"/>
  <c r="C562" i="4"/>
  <c r="G561" i="4"/>
  <c r="F561" i="4"/>
  <c r="D561" i="4"/>
  <c r="E561" i="4" s="1"/>
  <c r="C561" i="4"/>
  <c r="G560" i="4"/>
  <c r="F560" i="4"/>
  <c r="D560" i="4"/>
  <c r="E560" i="4" s="1"/>
  <c r="C560" i="4"/>
  <c r="G559" i="4"/>
  <c r="F559" i="4"/>
  <c r="D559" i="4"/>
  <c r="E559" i="4" s="1"/>
  <c r="C559" i="4"/>
  <c r="G558" i="4"/>
  <c r="F558" i="4"/>
  <c r="E558" i="4"/>
  <c r="D558" i="4"/>
  <c r="C558" i="4"/>
  <c r="G557" i="4"/>
  <c r="F557" i="4"/>
  <c r="D557" i="4"/>
  <c r="E557" i="4" s="1"/>
  <c r="C557" i="4"/>
  <c r="G556" i="4"/>
  <c r="F556" i="4"/>
  <c r="E556" i="4"/>
  <c r="D556" i="4"/>
  <c r="C556" i="4"/>
  <c r="G555" i="4"/>
  <c r="F555" i="4"/>
  <c r="D555" i="4"/>
  <c r="E555" i="4" s="1"/>
  <c r="C555" i="4"/>
  <c r="G554" i="4"/>
  <c r="F554" i="4"/>
  <c r="D554" i="4"/>
  <c r="E554" i="4" s="1"/>
  <c r="C554" i="4"/>
  <c r="G553" i="4"/>
  <c r="F553" i="4"/>
  <c r="D553" i="4"/>
  <c r="E553" i="4" s="1"/>
  <c r="C553" i="4"/>
  <c r="G552" i="4"/>
  <c r="F552" i="4"/>
  <c r="E552" i="4"/>
  <c r="D552" i="4"/>
  <c r="C552" i="4"/>
  <c r="G551" i="4"/>
  <c r="F551" i="4"/>
  <c r="D551" i="4"/>
  <c r="E551" i="4" s="1"/>
  <c r="C551" i="4"/>
  <c r="G550" i="4"/>
  <c r="F550" i="4"/>
  <c r="E550" i="4"/>
  <c r="D550" i="4"/>
  <c r="C550" i="4"/>
  <c r="G549" i="4"/>
  <c r="F549" i="4"/>
  <c r="D549" i="4"/>
  <c r="E549" i="4" s="1"/>
  <c r="C549" i="4"/>
  <c r="G548" i="4"/>
  <c r="F548" i="4"/>
  <c r="E548" i="4"/>
  <c r="D548" i="4"/>
  <c r="C548" i="4"/>
  <c r="G547" i="4"/>
  <c r="F547" i="4"/>
  <c r="D547" i="4"/>
  <c r="E547" i="4" s="1"/>
  <c r="C547" i="4"/>
  <c r="G546" i="4"/>
  <c r="F546" i="4"/>
  <c r="E546" i="4"/>
  <c r="D546" i="4"/>
  <c r="C546" i="4"/>
  <c r="G545" i="4"/>
  <c r="F545" i="4"/>
  <c r="D545" i="4"/>
  <c r="E545" i="4" s="1"/>
  <c r="C545" i="4"/>
  <c r="G544" i="4"/>
  <c r="F544" i="4"/>
  <c r="D544" i="4"/>
  <c r="E544" i="4" s="1"/>
  <c r="C544" i="4"/>
  <c r="G543" i="4"/>
  <c r="F543" i="4"/>
  <c r="D543" i="4"/>
  <c r="E543" i="4" s="1"/>
  <c r="C543" i="4"/>
  <c r="G542" i="4"/>
  <c r="F542" i="4"/>
  <c r="E542" i="4"/>
  <c r="D542" i="4"/>
  <c r="C542" i="4"/>
  <c r="G541" i="4"/>
  <c r="F541" i="4"/>
  <c r="E541" i="4"/>
  <c r="D541" i="4"/>
  <c r="C541" i="4"/>
  <c r="G540" i="4"/>
  <c r="F540" i="4"/>
  <c r="E540" i="4"/>
  <c r="D540" i="4"/>
  <c r="C540" i="4"/>
  <c r="G539" i="4"/>
  <c r="F539" i="4"/>
  <c r="D539" i="4"/>
  <c r="E539" i="4" s="1"/>
  <c r="C539" i="4"/>
  <c r="G538" i="4"/>
  <c r="F538" i="4"/>
  <c r="E538" i="4"/>
  <c r="D538" i="4"/>
  <c r="C538" i="4"/>
  <c r="G537" i="4"/>
  <c r="F537" i="4"/>
  <c r="D537" i="4"/>
  <c r="E537" i="4" s="1"/>
  <c r="C537" i="4"/>
  <c r="G536" i="4"/>
  <c r="F536" i="4"/>
  <c r="E536" i="4"/>
  <c r="D536" i="4"/>
  <c r="C536" i="4"/>
  <c r="G535" i="4"/>
  <c r="F535" i="4"/>
  <c r="D535" i="4"/>
  <c r="E535" i="4" s="1"/>
  <c r="C535" i="4"/>
  <c r="G534" i="4"/>
  <c r="F534" i="4"/>
  <c r="E534" i="4"/>
  <c r="D534" i="4"/>
  <c r="C534" i="4"/>
  <c r="G533" i="4"/>
  <c r="F533" i="4"/>
  <c r="D533" i="4"/>
  <c r="E533" i="4" s="1"/>
  <c r="C533" i="4"/>
  <c r="G532" i="4"/>
  <c r="F532" i="4"/>
  <c r="E532" i="4"/>
  <c r="D532" i="4"/>
  <c r="C532" i="4"/>
  <c r="G531" i="4"/>
  <c r="F531" i="4"/>
  <c r="E531" i="4"/>
  <c r="D531" i="4"/>
  <c r="C531" i="4"/>
  <c r="G530" i="4"/>
  <c r="F530" i="4"/>
  <c r="E530" i="4"/>
  <c r="D530" i="4"/>
  <c r="C530" i="4"/>
  <c r="G529" i="4"/>
  <c r="F529" i="4"/>
  <c r="D529" i="4"/>
  <c r="E529" i="4" s="1"/>
  <c r="C529" i="4"/>
  <c r="G528" i="4"/>
  <c r="F528" i="4"/>
  <c r="E528" i="4"/>
  <c r="D528" i="4"/>
  <c r="C528" i="4"/>
  <c r="G527" i="4"/>
  <c r="F527" i="4"/>
  <c r="D527" i="4"/>
  <c r="E527" i="4" s="1"/>
  <c r="C527" i="4"/>
  <c r="G526" i="4"/>
  <c r="F526" i="4"/>
  <c r="E526" i="4"/>
  <c r="D526" i="4"/>
  <c r="C526" i="4"/>
  <c r="G525" i="4"/>
  <c r="F525" i="4"/>
  <c r="E525" i="4"/>
  <c r="D525" i="4"/>
  <c r="C525" i="4"/>
  <c r="G524" i="4"/>
  <c r="F524" i="4"/>
  <c r="E524" i="4"/>
  <c r="D524" i="4"/>
  <c r="C524" i="4"/>
  <c r="G523" i="4"/>
  <c r="F523" i="4"/>
  <c r="D523" i="4"/>
  <c r="E523" i="4" s="1"/>
  <c r="C523" i="4"/>
  <c r="G522" i="4"/>
  <c r="F522" i="4"/>
  <c r="D522" i="4"/>
  <c r="E522" i="4" s="1"/>
  <c r="C522" i="4"/>
  <c r="G521" i="4"/>
  <c r="F521" i="4"/>
  <c r="D521" i="4"/>
  <c r="E521" i="4" s="1"/>
  <c r="C521" i="4"/>
  <c r="G520" i="4"/>
  <c r="F520" i="4"/>
  <c r="E520" i="4"/>
  <c r="D520" i="4"/>
  <c r="C520" i="4"/>
  <c r="G519" i="4"/>
  <c r="F519" i="4"/>
  <c r="D519" i="4"/>
  <c r="E519" i="4" s="1"/>
  <c r="C519" i="4"/>
  <c r="G518" i="4"/>
  <c r="F518" i="4"/>
  <c r="E518" i="4"/>
  <c r="D518" i="4"/>
  <c r="C518" i="4"/>
  <c r="G517" i="4"/>
  <c r="F517" i="4"/>
  <c r="D517" i="4"/>
  <c r="E517" i="4" s="1"/>
  <c r="C517" i="4"/>
  <c r="G516" i="4"/>
  <c r="F516" i="4"/>
  <c r="E516" i="4"/>
  <c r="D516" i="4"/>
  <c r="C516" i="4"/>
  <c r="G515" i="4"/>
  <c r="F515" i="4"/>
  <c r="D515" i="4"/>
  <c r="E515" i="4" s="1"/>
  <c r="C515" i="4"/>
  <c r="G514" i="4"/>
  <c r="F514" i="4"/>
  <c r="E514" i="4"/>
  <c r="D514" i="4"/>
  <c r="C514" i="4"/>
  <c r="G513" i="4"/>
  <c r="F513" i="4"/>
  <c r="D513" i="4"/>
  <c r="E513" i="4" s="1"/>
  <c r="C513" i="4"/>
  <c r="G512" i="4"/>
  <c r="F512" i="4"/>
  <c r="D512" i="4"/>
  <c r="E512" i="4" s="1"/>
  <c r="C512" i="4"/>
  <c r="G511" i="4"/>
  <c r="F511" i="4"/>
  <c r="D511" i="4"/>
  <c r="E511" i="4" s="1"/>
  <c r="C511" i="4"/>
  <c r="G510" i="4"/>
  <c r="F510" i="4"/>
  <c r="E510" i="4"/>
  <c r="D510" i="4"/>
  <c r="C510" i="4"/>
  <c r="G509" i="4"/>
  <c r="F509" i="4"/>
  <c r="D509" i="4"/>
  <c r="E509" i="4" s="1"/>
  <c r="C509" i="4"/>
  <c r="G508" i="4"/>
  <c r="F508" i="4"/>
  <c r="E508" i="4"/>
  <c r="D508" i="4"/>
  <c r="C508" i="4"/>
  <c r="G507" i="4"/>
  <c r="F507" i="4"/>
  <c r="D507" i="4"/>
  <c r="E507" i="4" s="1"/>
  <c r="C507" i="4"/>
  <c r="G506" i="4"/>
  <c r="F506" i="4"/>
  <c r="D506" i="4"/>
  <c r="E506" i="4" s="1"/>
  <c r="C506" i="4"/>
  <c r="G505" i="4"/>
  <c r="F505" i="4"/>
  <c r="D505" i="4"/>
  <c r="E505" i="4" s="1"/>
  <c r="C505" i="4"/>
  <c r="G504" i="4"/>
  <c r="F504" i="4"/>
  <c r="E504" i="4"/>
  <c r="D504" i="4"/>
  <c r="C504" i="4"/>
  <c r="G503" i="4"/>
  <c r="F503" i="4"/>
  <c r="D503" i="4"/>
  <c r="E503" i="4" s="1"/>
  <c r="C503" i="4"/>
  <c r="G502" i="4"/>
  <c r="F502" i="4"/>
  <c r="E502" i="4"/>
  <c r="D502" i="4"/>
  <c r="C502" i="4"/>
  <c r="G501" i="4"/>
  <c r="F501" i="4"/>
  <c r="D501" i="4"/>
  <c r="E501" i="4" s="1"/>
  <c r="C501" i="4"/>
  <c r="G500" i="4"/>
  <c r="F500" i="4"/>
  <c r="E500" i="4"/>
  <c r="D500" i="4"/>
  <c r="C500" i="4"/>
  <c r="G499" i="4"/>
  <c r="F499" i="4"/>
  <c r="D499" i="4"/>
  <c r="E499" i="4" s="1"/>
  <c r="C499" i="4"/>
  <c r="G498" i="4"/>
  <c r="F498" i="4"/>
  <c r="E498" i="4"/>
  <c r="D498" i="4"/>
  <c r="C498" i="4"/>
  <c r="G497" i="4"/>
  <c r="F497" i="4"/>
  <c r="D497" i="4"/>
  <c r="E497" i="4" s="1"/>
  <c r="C497" i="4"/>
  <c r="G496" i="4"/>
  <c r="F496" i="4"/>
  <c r="E496" i="4"/>
  <c r="D496" i="4"/>
  <c r="C496" i="4"/>
  <c r="G495" i="4"/>
  <c r="F495" i="4"/>
  <c r="D495" i="4"/>
  <c r="E495" i="4" s="1"/>
  <c r="C495" i="4"/>
  <c r="G494" i="4"/>
  <c r="F494" i="4"/>
  <c r="E494" i="4"/>
  <c r="D494" i="4"/>
  <c r="C494" i="4"/>
  <c r="G493" i="4"/>
  <c r="F493" i="4"/>
  <c r="E493" i="4"/>
  <c r="D493" i="4"/>
  <c r="C493" i="4"/>
  <c r="G492" i="4"/>
  <c r="F492" i="4"/>
  <c r="E492" i="4"/>
  <c r="D492" i="4"/>
  <c r="C492" i="4"/>
  <c r="G491" i="4"/>
  <c r="F491" i="4"/>
  <c r="D491" i="4"/>
  <c r="E491" i="4" s="1"/>
  <c r="C491" i="4"/>
  <c r="G490" i="4"/>
  <c r="F490" i="4"/>
  <c r="E490" i="4"/>
  <c r="D490" i="4"/>
  <c r="C490" i="4"/>
  <c r="G489" i="4"/>
  <c r="F489" i="4"/>
  <c r="D489" i="4"/>
  <c r="E489" i="4" s="1"/>
  <c r="C489" i="4"/>
  <c r="G488" i="4"/>
  <c r="F488" i="4"/>
  <c r="E488" i="4"/>
  <c r="D488" i="4"/>
  <c r="C488" i="4"/>
  <c r="G487" i="4"/>
  <c r="F487" i="4"/>
  <c r="D487" i="4"/>
  <c r="E487" i="4" s="1"/>
  <c r="C487" i="4"/>
  <c r="G486" i="4"/>
  <c r="F486" i="4"/>
  <c r="E486" i="4"/>
  <c r="D486" i="4"/>
  <c r="C486" i="4"/>
  <c r="G485" i="4"/>
  <c r="F485" i="4"/>
  <c r="D485" i="4"/>
  <c r="E485" i="4" s="1"/>
  <c r="C485" i="4"/>
  <c r="G484" i="4"/>
  <c r="F484" i="4"/>
  <c r="E484" i="4"/>
  <c r="D484" i="4"/>
  <c r="C484" i="4"/>
  <c r="G483" i="4"/>
  <c r="F483" i="4"/>
  <c r="E483" i="4"/>
  <c r="D483" i="4"/>
  <c r="C483" i="4"/>
  <c r="G482" i="4"/>
  <c r="F482" i="4"/>
  <c r="E482" i="4"/>
  <c r="D482" i="4"/>
  <c r="C482" i="4"/>
  <c r="G481" i="4"/>
  <c r="F481" i="4"/>
  <c r="D481" i="4"/>
  <c r="E481" i="4" s="1"/>
  <c r="C481" i="4"/>
  <c r="G480" i="4"/>
  <c r="F480" i="4"/>
  <c r="E480" i="4"/>
  <c r="D480" i="4"/>
  <c r="C480" i="4"/>
  <c r="G479" i="4"/>
  <c r="F479" i="4"/>
  <c r="D479" i="4"/>
  <c r="E479" i="4" s="1"/>
  <c r="C479" i="4"/>
  <c r="G478" i="4"/>
  <c r="F478" i="4"/>
  <c r="E478" i="4"/>
  <c r="D478" i="4"/>
  <c r="C478" i="4"/>
  <c r="G477" i="4"/>
  <c r="F477" i="4"/>
  <c r="D477" i="4"/>
  <c r="E477" i="4" s="1"/>
  <c r="C477" i="4"/>
  <c r="G476" i="4"/>
  <c r="F476" i="4"/>
  <c r="E476" i="4"/>
  <c r="D476" i="4"/>
  <c r="C476" i="4"/>
  <c r="G475" i="4"/>
  <c r="F475" i="4"/>
  <c r="D475" i="4"/>
  <c r="E475" i="4" s="1"/>
  <c r="C475" i="4"/>
  <c r="G474" i="4"/>
  <c r="F474" i="4"/>
  <c r="D474" i="4"/>
  <c r="E474" i="4" s="1"/>
  <c r="C474" i="4"/>
  <c r="G473" i="4"/>
  <c r="F473" i="4"/>
  <c r="D473" i="4"/>
  <c r="E473" i="4" s="1"/>
  <c r="C473" i="4"/>
  <c r="G472" i="4"/>
  <c r="F472" i="4"/>
  <c r="E472" i="4"/>
  <c r="D472" i="4"/>
  <c r="C472" i="4"/>
  <c r="G471" i="4"/>
  <c r="F471" i="4"/>
  <c r="D471" i="4"/>
  <c r="E471" i="4" s="1"/>
  <c r="C471" i="4"/>
  <c r="G470" i="4"/>
  <c r="F470" i="4"/>
  <c r="E470" i="4"/>
  <c r="D470" i="4"/>
  <c r="C470" i="4"/>
  <c r="G469" i="4"/>
  <c r="F469" i="4"/>
  <c r="D469" i="4"/>
  <c r="E469" i="4" s="1"/>
  <c r="C469" i="4"/>
  <c r="G468" i="4"/>
  <c r="F468" i="4"/>
  <c r="E468" i="4"/>
  <c r="D468" i="4"/>
  <c r="C468" i="4"/>
  <c r="G467" i="4"/>
  <c r="F467" i="4"/>
  <c r="D467" i="4"/>
  <c r="E467" i="4" s="1"/>
  <c r="C467" i="4"/>
  <c r="G466" i="4"/>
  <c r="F466" i="4"/>
  <c r="E466" i="4"/>
  <c r="D466" i="4"/>
  <c r="C466" i="4"/>
  <c r="G465" i="4"/>
  <c r="F465" i="4"/>
  <c r="D465" i="4"/>
  <c r="E465" i="4" s="1"/>
  <c r="C465" i="4"/>
  <c r="G464" i="4"/>
  <c r="F464" i="4"/>
  <c r="D464" i="4"/>
  <c r="E464" i="4" s="1"/>
  <c r="C464" i="4"/>
  <c r="G463" i="4"/>
  <c r="F463" i="4"/>
  <c r="D463" i="4"/>
  <c r="E463" i="4" s="1"/>
  <c r="C463" i="4"/>
  <c r="G462" i="4"/>
  <c r="F462" i="4"/>
  <c r="E462" i="4"/>
  <c r="D462" i="4"/>
  <c r="C462" i="4"/>
  <c r="G461" i="4"/>
  <c r="F461" i="4"/>
  <c r="D461" i="4"/>
  <c r="E461" i="4" s="1"/>
  <c r="C461" i="4"/>
  <c r="G460" i="4"/>
  <c r="F460" i="4"/>
  <c r="E460" i="4"/>
  <c r="D460" i="4"/>
  <c r="C460" i="4"/>
  <c r="G459" i="4"/>
  <c r="F459" i="4"/>
  <c r="D459" i="4"/>
  <c r="E459" i="4" s="1"/>
  <c r="C459" i="4"/>
  <c r="G458" i="4"/>
  <c r="F458" i="4"/>
  <c r="D458" i="4"/>
  <c r="E458" i="4" s="1"/>
  <c r="C458" i="4"/>
  <c r="G457" i="4"/>
  <c r="F457" i="4"/>
  <c r="D457" i="4"/>
  <c r="E457" i="4" s="1"/>
  <c r="C457" i="4"/>
  <c r="G456" i="4"/>
  <c r="F456" i="4"/>
  <c r="E456" i="4"/>
  <c r="D456" i="4"/>
  <c r="C456" i="4"/>
  <c r="G455" i="4"/>
  <c r="F455" i="4"/>
  <c r="D455" i="4"/>
  <c r="E455" i="4" s="1"/>
  <c r="C455" i="4"/>
  <c r="G454" i="4"/>
  <c r="F454" i="4"/>
  <c r="E454" i="4"/>
  <c r="D454" i="4"/>
  <c r="C454" i="4"/>
  <c r="G453" i="4"/>
  <c r="F453" i="4"/>
  <c r="D453" i="4"/>
  <c r="E453" i="4" s="1"/>
  <c r="C453" i="4"/>
  <c r="G452" i="4"/>
  <c r="F452" i="4"/>
  <c r="E452" i="4"/>
  <c r="D452" i="4"/>
  <c r="C452" i="4"/>
  <c r="G451" i="4"/>
  <c r="F451" i="4"/>
  <c r="D451" i="4"/>
  <c r="E451" i="4" s="1"/>
  <c r="C451" i="4"/>
  <c r="G450" i="4"/>
  <c r="F450" i="4"/>
  <c r="E450" i="4"/>
  <c r="D450" i="4"/>
  <c r="C450" i="4"/>
  <c r="G449" i="4"/>
  <c r="F449" i="4"/>
  <c r="D449" i="4"/>
  <c r="E449" i="4" s="1"/>
  <c r="C449" i="4"/>
  <c r="G448" i="4"/>
  <c r="F448" i="4"/>
  <c r="E448" i="4"/>
  <c r="D448" i="4"/>
  <c r="C448" i="4"/>
  <c r="G447" i="4"/>
  <c r="F447" i="4"/>
  <c r="D447" i="4"/>
  <c r="E447" i="4" s="1"/>
  <c r="C447" i="4"/>
  <c r="G446" i="4"/>
  <c r="F446" i="4"/>
  <c r="E446" i="4"/>
  <c r="D446" i="4"/>
  <c r="C446" i="4"/>
  <c r="G445" i="4"/>
  <c r="F445" i="4"/>
  <c r="E445" i="4"/>
  <c r="D445" i="4"/>
  <c r="C445" i="4"/>
  <c r="G444" i="4"/>
  <c r="F444" i="4"/>
  <c r="E444" i="4"/>
  <c r="D444" i="4"/>
  <c r="C444" i="4"/>
  <c r="G443" i="4"/>
  <c r="F443" i="4"/>
  <c r="D443" i="4"/>
  <c r="E443" i="4" s="1"/>
  <c r="C443" i="4"/>
  <c r="G442" i="4"/>
  <c r="F442" i="4"/>
  <c r="E442" i="4"/>
  <c r="D442" i="4"/>
  <c r="C442" i="4"/>
  <c r="G441" i="4"/>
  <c r="F441" i="4"/>
  <c r="D441" i="4"/>
  <c r="E441" i="4" s="1"/>
  <c r="C441" i="4"/>
  <c r="G440" i="4"/>
  <c r="F440" i="4"/>
  <c r="E440" i="4"/>
  <c r="D440" i="4"/>
  <c r="C440" i="4"/>
  <c r="G439" i="4"/>
  <c r="F439" i="4"/>
  <c r="D439" i="4"/>
  <c r="E439" i="4" s="1"/>
  <c r="C439" i="4"/>
  <c r="G438" i="4"/>
  <c r="F438" i="4"/>
  <c r="E438" i="4"/>
  <c r="D438" i="4"/>
  <c r="C438" i="4"/>
  <c r="G437" i="4"/>
  <c r="F437" i="4"/>
  <c r="D437" i="4"/>
  <c r="E437" i="4" s="1"/>
  <c r="C437" i="4"/>
  <c r="G436" i="4"/>
  <c r="F436" i="4"/>
  <c r="E436" i="4"/>
  <c r="D436" i="4"/>
  <c r="C436" i="4"/>
  <c r="G435" i="4"/>
  <c r="F435" i="4"/>
  <c r="E435" i="4"/>
  <c r="D435" i="4"/>
  <c r="C435" i="4"/>
  <c r="G434" i="4"/>
  <c r="F434" i="4"/>
  <c r="E434" i="4"/>
  <c r="D434" i="4"/>
  <c r="C434" i="4"/>
  <c r="G433" i="4"/>
  <c r="F433" i="4"/>
  <c r="D433" i="4"/>
  <c r="E433" i="4" s="1"/>
  <c r="C433" i="4"/>
  <c r="G432" i="4"/>
  <c r="F432" i="4"/>
  <c r="D432" i="4"/>
  <c r="E432" i="4" s="1"/>
  <c r="C432" i="4"/>
  <c r="G431" i="4"/>
  <c r="F431" i="4"/>
  <c r="D431" i="4"/>
  <c r="E431" i="4" s="1"/>
  <c r="C431" i="4"/>
  <c r="G430" i="4"/>
  <c r="F430" i="4"/>
  <c r="E430" i="4"/>
  <c r="D430" i="4"/>
  <c r="C430" i="4"/>
  <c r="G429" i="4"/>
  <c r="F429" i="4"/>
  <c r="D429" i="4"/>
  <c r="E429" i="4" s="1"/>
  <c r="C429" i="4"/>
  <c r="G428" i="4"/>
  <c r="F428" i="4"/>
  <c r="E428" i="4"/>
  <c r="D428" i="4"/>
  <c r="C428" i="4"/>
  <c r="G427" i="4"/>
  <c r="F427" i="4"/>
  <c r="D427" i="4"/>
  <c r="E427" i="4" s="1"/>
  <c r="C427" i="4"/>
  <c r="G426" i="4"/>
  <c r="F426" i="4"/>
  <c r="D426" i="4"/>
  <c r="E426" i="4" s="1"/>
  <c r="C426" i="4"/>
  <c r="G425" i="4"/>
  <c r="F425" i="4"/>
  <c r="D425" i="4"/>
  <c r="E425" i="4" s="1"/>
  <c r="C425" i="4"/>
  <c r="G424" i="4"/>
  <c r="F424" i="4"/>
  <c r="E424" i="4"/>
  <c r="D424" i="4"/>
  <c r="C424" i="4"/>
  <c r="G423" i="4"/>
  <c r="F423" i="4"/>
  <c r="D423" i="4"/>
  <c r="E423" i="4" s="1"/>
  <c r="C423" i="4"/>
  <c r="G422" i="4"/>
  <c r="F422" i="4"/>
  <c r="E422" i="4"/>
  <c r="D422" i="4"/>
  <c r="C422" i="4"/>
  <c r="G421" i="4"/>
  <c r="F421" i="4"/>
  <c r="D421" i="4"/>
  <c r="E421" i="4" s="1"/>
  <c r="C421" i="4"/>
  <c r="G420" i="4"/>
  <c r="F420" i="4"/>
  <c r="E420" i="4"/>
  <c r="D420" i="4"/>
  <c r="C420" i="4"/>
  <c r="G419" i="4"/>
  <c r="F419" i="4"/>
  <c r="D419" i="4"/>
  <c r="E419" i="4" s="1"/>
  <c r="C419" i="4"/>
  <c r="G418" i="4"/>
  <c r="F418" i="4"/>
  <c r="E418" i="4"/>
  <c r="D418" i="4"/>
  <c r="C418" i="4"/>
  <c r="G417" i="4"/>
  <c r="F417" i="4"/>
  <c r="D417" i="4"/>
  <c r="E417" i="4" s="1"/>
  <c r="C417" i="4"/>
  <c r="G416" i="4"/>
  <c r="F416" i="4"/>
  <c r="D416" i="4"/>
  <c r="E416" i="4" s="1"/>
  <c r="C416" i="4"/>
  <c r="G415" i="4"/>
  <c r="F415" i="4"/>
  <c r="D415" i="4"/>
  <c r="E415" i="4" s="1"/>
  <c r="C415" i="4"/>
  <c r="G414" i="4"/>
  <c r="F414" i="4"/>
  <c r="E414" i="4"/>
  <c r="D414" i="4"/>
  <c r="C414" i="4"/>
  <c r="G413" i="4"/>
  <c r="F413" i="4"/>
  <c r="D413" i="4"/>
  <c r="E413" i="4" s="1"/>
  <c r="C413" i="4"/>
  <c r="G412" i="4"/>
  <c r="F412" i="4"/>
  <c r="E412" i="4"/>
  <c r="D412" i="4"/>
  <c r="C412" i="4"/>
  <c r="G411" i="4"/>
  <c r="F411" i="4"/>
  <c r="D411" i="4"/>
  <c r="E411" i="4" s="1"/>
  <c r="C411" i="4"/>
  <c r="G410" i="4"/>
  <c r="F410" i="4"/>
  <c r="E410" i="4"/>
  <c r="D410" i="4"/>
  <c r="C410" i="4"/>
  <c r="G409" i="4"/>
  <c r="F409" i="4"/>
  <c r="D409" i="4"/>
  <c r="E409" i="4" s="1"/>
  <c r="C409" i="4"/>
  <c r="G408" i="4"/>
  <c r="F408" i="4"/>
  <c r="E408" i="4"/>
  <c r="D408" i="4"/>
  <c r="C408" i="4"/>
  <c r="G407" i="4"/>
  <c r="F407" i="4"/>
  <c r="D407" i="4"/>
  <c r="E407" i="4" s="1"/>
  <c r="C407" i="4"/>
  <c r="G406" i="4"/>
  <c r="F406" i="4"/>
  <c r="E406" i="4"/>
  <c r="D406" i="4"/>
  <c r="C406" i="4"/>
  <c r="G405" i="4"/>
  <c r="F405" i="4"/>
  <c r="D405" i="4"/>
  <c r="E405" i="4" s="1"/>
  <c r="C405" i="4"/>
  <c r="G404" i="4"/>
  <c r="F404" i="4"/>
  <c r="E404" i="4"/>
  <c r="D404" i="4"/>
  <c r="C404" i="4"/>
  <c r="G403" i="4"/>
  <c r="F403" i="4"/>
  <c r="E403" i="4"/>
  <c r="D403" i="4"/>
  <c r="C403" i="4"/>
  <c r="G402" i="4"/>
  <c r="F402" i="4"/>
  <c r="E402" i="4"/>
  <c r="D402" i="4"/>
  <c r="C402" i="4"/>
  <c r="G401" i="4"/>
  <c r="F401" i="4"/>
  <c r="D401" i="4"/>
  <c r="E401" i="4" s="1"/>
  <c r="C401" i="4"/>
  <c r="G400" i="4"/>
  <c r="F400" i="4"/>
  <c r="E400" i="4"/>
  <c r="D400" i="4"/>
  <c r="C400" i="4"/>
  <c r="G399" i="4"/>
  <c r="F399" i="4"/>
  <c r="D399" i="4"/>
  <c r="E399" i="4" s="1"/>
  <c r="C399" i="4"/>
  <c r="G398" i="4"/>
  <c r="F398" i="4"/>
  <c r="E398" i="4"/>
  <c r="D398" i="4"/>
  <c r="C398" i="4"/>
  <c r="G397" i="4"/>
  <c r="F397" i="4"/>
  <c r="E397" i="4"/>
  <c r="D397" i="4"/>
  <c r="C397" i="4"/>
  <c r="G396" i="4"/>
  <c r="F396" i="4"/>
  <c r="E396" i="4"/>
  <c r="D396" i="4"/>
  <c r="C396" i="4"/>
  <c r="G395" i="4"/>
  <c r="F395" i="4"/>
  <c r="D395" i="4"/>
  <c r="E395" i="4" s="1"/>
  <c r="C395" i="4"/>
  <c r="G394" i="4"/>
  <c r="F394" i="4"/>
  <c r="D394" i="4"/>
  <c r="E394" i="4" s="1"/>
  <c r="C394" i="4"/>
  <c r="G393" i="4"/>
  <c r="F393" i="4"/>
  <c r="D393" i="4"/>
  <c r="E393" i="4" s="1"/>
  <c r="C393" i="4"/>
  <c r="G392" i="4"/>
  <c r="F392" i="4"/>
  <c r="E392" i="4"/>
  <c r="D392" i="4"/>
  <c r="C392" i="4"/>
  <c r="G391" i="4"/>
  <c r="F391" i="4"/>
  <c r="D391" i="4"/>
  <c r="E391" i="4" s="1"/>
  <c r="C391" i="4"/>
  <c r="G390" i="4"/>
  <c r="F390" i="4"/>
  <c r="E390" i="4"/>
  <c r="D390" i="4"/>
  <c r="C390" i="4"/>
  <c r="G389" i="4"/>
  <c r="F389" i="4"/>
  <c r="D389" i="4"/>
  <c r="E389" i="4" s="1"/>
  <c r="C389" i="4"/>
  <c r="G388" i="4"/>
  <c r="F388" i="4"/>
  <c r="E388" i="4"/>
  <c r="D388" i="4"/>
  <c r="C388" i="4"/>
  <c r="G387" i="4"/>
  <c r="F387" i="4"/>
  <c r="D387" i="4"/>
  <c r="E387" i="4" s="1"/>
  <c r="C387" i="4"/>
  <c r="G386" i="4"/>
  <c r="F386" i="4"/>
  <c r="E386" i="4"/>
  <c r="D386" i="4"/>
  <c r="C386" i="4"/>
  <c r="G385" i="4"/>
  <c r="F385" i="4"/>
  <c r="D385" i="4"/>
  <c r="E385" i="4" s="1"/>
  <c r="C385" i="4"/>
  <c r="G384" i="4"/>
  <c r="F384" i="4"/>
  <c r="D384" i="4"/>
  <c r="E384" i="4" s="1"/>
  <c r="C384" i="4"/>
  <c r="G383" i="4"/>
  <c r="F383" i="4"/>
  <c r="D383" i="4"/>
  <c r="E383" i="4" s="1"/>
  <c r="C383" i="4"/>
  <c r="G382" i="4"/>
  <c r="F382" i="4"/>
  <c r="E382" i="4"/>
  <c r="D382" i="4"/>
  <c r="C382" i="4"/>
  <c r="G381" i="4"/>
  <c r="F381" i="4"/>
  <c r="D381" i="4"/>
  <c r="E381" i="4" s="1"/>
  <c r="C381" i="4"/>
  <c r="G380" i="4"/>
  <c r="F380" i="4"/>
  <c r="E380" i="4"/>
  <c r="D380" i="4"/>
  <c r="C380" i="4"/>
  <c r="G379" i="4"/>
  <c r="F379" i="4"/>
  <c r="D379" i="4"/>
  <c r="E379" i="4" s="1"/>
  <c r="C379" i="4"/>
  <c r="G378" i="4"/>
  <c r="F378" i="4"/>
  <c r="D378" i="4"/>
  <c r="E378" i="4" s="1"/>
  <c r="C378" i="4"/>
  <c r="G377" i="4"/>
  <c r="F377" i="4"/>
  <c r="D377" i="4"/>
  <c r="E377" i="4" s="1"/>
  <c r="C377" i="4"/>
  <c r="G376" i="4"/>
  <c r="F376" i="4"/>
  <c r="E376" i="4"/>
  <c r="D376" i="4"/>
  <c r="C376" i="4"/>
  <c r="G375" i="4"/>
  <c r="F375" i="4"/>
  <c r="D375" i="4"/>
  <c r="E375" i="4" s="1"/>
  <c r="C375" i="4"/>
  <c r="G374" i="4"/>
  <c r="F374" i="4"/>
  <c r="E374" i="4"/>
  <c r="D374" i="4"/>
  <c r="C374" i="4"/>
  <c r="G373" i="4"/>
  <c r="F373" i="4"/>
  <c r="D373" i="4"/>
  <c r="E373" i="4" s="1"/>
  <c r="C373" i="4"/>
  <c r="G372" i="4"/>
  <c r="F372" i="4"/>
  <c r="E372" i="4"/>
  <c r="D372" i="4"/>
  <c r="C372" i="4"/>
  <c r="G371" i="4"/>
  <c r="F371" i="4"/>
  <c r="D371" i="4"/>
  <c r="E371" i="4" s="1"/>
  <c r="C371" i="4"/>
  <c r="G370" i="4"/>
  <c r="F370" i="4"/>
  <c r="E370" i="4"/>
  <c r="D370" i="4"/>
  <c r="C370" i="4"/>
  <c r="G369" i="4"/>
  <c r="F369" i="4"/>
  <c r="D369" i="4"/>
  <c r="E369" i="4" s="1"/>
  <c r="C369" i="4"/>
  <c r="G368" i="4"/>
  <c r="F368" i="4"/>
  <c r="D368" i="4"/>
  <c r="E368" i="4" s="1"/>
  <c r="C368" i="4"/>
  <c r="G367" i="4"/>
  <c r="F367" i="4"/>
  <c r="E367" i="4"/>
  <c r="D367" i="4"/>
  <c r="C367" i="4"/>
  <c r="G366" i="4"/>
  <c r="F366" i="4"/>
  <c r="E366" i="4"/>
  <c r="D366" i="4"/>
  <c r="C366" i="4"/>
  <c r="G365" i="4"/>
  <c r="F365" i="4"/>
  <c r="D365" i="4"/>
  <c r="E365" i="4" s="1"/>
  <c r="C365" i="4"/>
  <c r="G364" i="4"/>
  <c r="F364" i="4"/>
  <c r="D364" i="4"/>
  <c r="E364" i="4" s="1"/>
  <c r="C364" i="4"/>
  <c r="G363" i="4"/>
  <c r="F363" i="4"/>
  <c r="D363" i="4"/>
  <c r="E363" i="4" s="1"/>
  <c r="C363" i="4"/>
  <c r="G362" i="4"/>
  <c r="F362" i="4"/>
  <c r="D362" i="4"/>
  <c r="E362" i="4" s="1"/>
  <c r="C362" i="4"/>
  <c r="G361" i="4"/>
  <c r="F361" i="4"/>
  <c r="D361" i="4"/>
  <c r="E361" i="4" s="1"/>
  <c r="C361" i="4"/>
  <c r="G360" i="4"/>
  <c r="F360" i="4"/>
  <c r="E360" i="4"/>
  <c r="D360" i="4"/>
  <c r="C360" i="4"/>
  <c r="G359" i="4"/>
  <c r="F359" i="4"/>
  <c r="D359" i="4"/>
  <c r="E359" i="4" s="1"/>
  <c r="C359" i="4"/>
  <c r="G358" i="4"/>
  <c r="F358" i="4"/>
  <c r="E358" i="4"/>
  <c r="D358" i="4"/>
  <c r="C358" i="4"/>
  <c r="G357" i="4"/>
  <c r="F357" i="4"/>
  <c r="D357" i="4"/>
  <c r="E357" i="4" s="1"/>
  <c r="C357" i="4"/>
  <c r="G356" i="4"/>
  <c r="F356" i="4"/>
  <c r="E356" i="4"/>
  <c r="D356" i="4"/>
  <c r="C356" i="4"/>
  <c r="G355" i="4"/>
  <c r="F355" i="4"/>
  <c r="D355" i="4"/>
  <c r="E355" i="4" s="1"/>
  <c r="C355" i="4"/>
  <c r="G354" i="4"/>
  <c r="F354" i="4"/>
  <c r="E354" i="4"/>
  <c r="D354" i="4"/>
  <c r="C354" i="4"/>
  <c r="G353" i="4"/>
  <c r="F353" i="4"/>
  <c r="D353" i="4"/>
  <c r="E353" i="4" s="1"/>
  <c r="C353" i="4"/>
  <c r="G352" i="4"/>
  <c r="F352" i="4"/>
  <c r="E352" i="4"/>
  <c r="D352" i="4"/>
  <c r="C352" i="4"/>
  <c r="G351" i="4"/>
  <c r="F351" i="4"/>
  <c r="D351" i="4"/>
  <c r="E351" i="4" s="1"/>
  <c r="C351" i="4"/>
  <c r="G350" i="4"/>
  <c r="F350" i="4"/>
  <c r="E350" i="4"/>
  <c r="D350" i="4"/>
  <c r="C350" i="4"/>
  <c r="G349" i="4"/>
  <c r="F349" i="4"/>
  <c r="D349" i="4"/>
  <c r="E349" i="4" s="1"/>
  <c r="C349" i="4"/>
  <c r="G348" i="4"/>
  <c r="F348" i="4"/>
  <c r="D348" i="4"/>
  <c r="E348" i="4" s="1"/>
  <c r="C348" i="4"/>
  <c r="G347" i="4"/>
  <c r="F347" i="4"/>
  <c r="D347" i="4"/>
  <c r="E347" i="4" s="1"/>
  <c r="C347" i="4"/>
  <c r="G346" i="4"/>
  <c r="F346" i="4"/>
  <c r="D346" i="4"/>
  <c r="E346" i="4" s="1"/>
  <c r="C346" i="4"/>
  <c r="G345" i="4"/>
  <c r="F345" i="4"/>
  <c r="D345" i="4"/>
  <c r="E345" i="4" s="1"/>
  <c r="C345" i="4"/>
  <c r="G344" i="4"/>
  <c r="F344" i="4"/>
  <c r="E344" i="4"/>
  <c r="D344" i="4"/>
  <c r="C344" i="4"/>
  <c r="G343" i="4"/>
  <c r="F343" i="4"/>
  <c r="D343" i="4"/>
  <c r="E343" i="4" s="1"/>
  <c r="C343" i="4"/>
  <c r="G342" i="4"/>
  <c r="F342" i="4"/>
  <c r="E342" i="4"/>
  <c r="D342" i="4"/>
  <c r="C342" i="4"/>
  <c r="G341" i="4"/>
  <c r="F341" i="4"/>
  <c r="D341" i="4"/>
  <c r="E341" i="4" s="1"/>
  <c r="C341" i="4"/>
  <c r="G340" i="4"/>
  <c r="F340" i="4"/>
  <c r="D340" i="4"/>
  <c r="E340" i="4" s="1"/>
  <c r="C340" i="4"/>
  <c r="G339" i="4"/>
  <c r="F339" i="4"/>
  <c r="E339" i="4"/>
  <c r="D339" i="4"/>
  <c r="C339" i="4"/>
  <c r="G338" i="4"/>
  <c r="F338" i="4"/>
  <c r="E338" i="4"/>
  <c r="D338" i="4"/>
  <c r="C338" i="4"/>
  <c r="G337" i="4"/>
  <c r="F337" i="4"/>
  <c r="D337" i="4"/>
  <c r="E337" i="4" s="1"/>
  <c r="C337" i="4"/>
  <c r="G336" i="4"/>
  <c r="F336" i="4"/>
  <c r="E336" i="4"/>
  <c r="D336" i="4"/>
  <c r="C336" i="4"/>
  <c r="G335" i="4"/>
  <c r="F335" i="4"/>
  <c r="E335" i="4"/>
  <c r="D335" i="4"/>
  <c r="C335" i="4"/>
  <c r="G334" i="4"/>
  <c r="F334" i="4"/>
  <c r="E334" i="4"/>
  <c r="D334" i="4"/>
  <c r="C334" i="4"/>
  <c r="G333" i="4"/>
  <c r="F333" i="4"/>
  <c r="D333" i="4"/>
  <c r="E333" i="4" s="1"/>
  <c r="C333" i="4"/>
  <c r="G332" i="4"/>
  <c r="F332" i="4"/>
  <c r="E332" i="4"/>
  <c r="D332" i="4"/>
  <c r="C332" i="4"/>
  <c r="G331" i="4"/>
  <c r="F331" i="4"/>
  <c r="D331" i="4"/>
  <c r="E331" i="4" s="1"/>
  <c r="C331" i="4"/>
  <c r="G330" i="4"/>
  <c r="F330" i="4"/>
  <c r="D330" i="4"/>
  <c r="E330" i="4" s="1"/>
  <c r="C330" i="4"/>
  <c r="G329" i="4"/>
  <c r="F329" i="4"/>
  <c r="D329" i="4"/>
  <c r="E329" i="4" s="1"/>
  <c r="C329" i="4"/>
  <c r="G328" i="4"/>
  <c r="F328" i="4"/>
  <c r="E328" i="4"/>
  <c r="D328" i="4"/>
  <c r="C328" i="4"/>
  <c r="G327" i="4"/>
  <c r="F327" i="4"/>
  <c r="D327" i="4"/>
  <c r="E327" i="4" s="1"/>
  <c r="C327" i="4"/>
  <c r="G326" i="4"/>
  <c r="F326" i="4"/>
  <c r="E326" i="4"/>
  <c r="D326" i="4"/>
  <c r="C326" i="4"/>
  <c r="G325" i="4"/>
  <c r="F325" i="4"/>
  <c r="D325" i="4"/>
  <c r="E325" i="4" s="1"/>
  <c r="C325" i="4"/>
  <c r="G324" i="4"/>
  <c r="F324" i="4"/>
  <c r="D324" i="4"/>
  <c r="E324" i="4" s="1"/>
  <c r="C324" i="4"/>
  <c r="G323" i="4"/>
  <c r="F323" i="4"/>
  <c r="E323" i="4"/>
  <c r="D323" i="4"/>
  <c r="C323" i="4"/>
  <c r="G322" i="4"/>
  <c r="F322" i="4"/>
  <c r="E322" i="4"/>
  <c r="D322" i="4"/>
  <c r="C322" i="4"/>
  <c r="G321" i="4"/>
  <c r="F321" i="4"/>
  <c r="D321" i="4"/>
  <c r="E321" i="4" s="1"/>
  <c r="C321" i="4"/>
  <c r="G320" i="4"/>
  <c r="F320" i="4"/>
  <c r="D320" i="4"/>
  <c r="E320" i="4" s="1"/>
  <c r="C320" i="4"/>
  <c r="G319" i="4"/>
  <c r="F319" i="4"/>
  <c r="D319" i="4"/>
  <c r="E319" i="4" s="1"/>
  <c r="C319" i="4"/>
  <c r="G318" i="4"/>
  <c r="F318" i="4"/>
  <c r="E318" i="4"/>
  <c r="D318" i="4"/>
  <c r="C318" i="4"/>
  <c r="G317" i="4"/>
  <c r="F317" i="4"/>
  <c r="D317" i="4"/>
  <c r="E317" i="4" s="1"/>
  <c r="C317" i="4"/>
  <c r="G316" i="4"/>
  <c r="F316" i="4"/>
  <c r="E316" i="4"/>
  <c r="D316" i="4"/>
  <c r="C316" i="4"/>
  <c r="G315" i="4"/>
  <c r="F315" i="4"/>
  <c r="D315" i="4"/>
  <c r="E315" i="4" s="1"/>
  <c r="C315" i="4"/>
  <c r="G314" i="4"/>
  <c r="F314" i="4"/>
  <c r="D314" i="4"/>
  <c r="E314" i="4" s="1"/>
  <c r="C314" i="4"/>
  <c r="G313" i="4"/>
  <c r="F313" i="4"/>
  <c r="D313" i="4"/>
  <c r="E313" i="4" s="1"/>
  <c r="C313" i="4"/>
  <c r="G312" i="4"/>
  <c r="F312" i="4"/>
  <c r="E312" i="4"/>
  <c r="D312" i="4"/>
  <c r="C312" i="4"/>
  <c r="G311" i="4"/>
  <c r="F311" i="4"/>
  <c r="E311" i="4"/>
  <c r="D311" i="4"/>
  <c r="C311" i="4"/>
  <c r="G310" i="4"/>
  <c r="F310" i="4"/>
  <c r="E310" i="4"/>
  <c r="D310" i="4"/>
  <c r="C310" i="4"/>
  <c r="G309" i="4"/>
  <c r="F309" i="4"/>
  <c r="D309" i="4"/>
  <c r="E309" i="4" s="1"/>
  <c r="C309" i="4"/>
  <c r="G308" i="4"/>
  <c r="F308" i="4"/>
  <c r="E308" i="4"/>
  <c r="D308" i="4"/>
  <c r="C308" i="4"/>
  <c r="G307" i="4"/>
  <c r="F307" i="4"/>
  <c r="E307" i="4"/>
  <c r="D307" i="4"/>
  <c r="C307" i="4"/>
  <c r="G306" i="4"/>
  <c r="F306" i="4"/>
  <c r="E306" i="4"/>
  <c r="D306" i="4"/>
  <c r="C306" i="4"/>
  <c r="G305" i="4"/>
  <c r="F305" i="4"/>
  <c r="D305" i="4"/>
  <c r="E305" i="4" s="1"/>
  <c r="C305" i="4"/>
  <c r="G304" i="4"/>
  <c r="F304" i="4"/>
  <c r="D304" i="4"/>
  <c r="E304" i="4" s="1"/>
  <c r="C304" i="4"/>
  <c r="G303" i="4"/>
  <c r="F303" i="4"/>
  <c r="D303" i="4"/>
  <c r="E303" i="4" s="1"/>
  <c r="C303" i="4"/>
  <c r="G302" i="4"/>
  <c r="F302" i="4"/>
  <c r="E302" i="4"/>
  <c r="D302" i="4"/>
  <c r="C302" i="4"/>
  <c r="G301" i="4"/>
  <c r="F301" i="4"/>
  <c r="E301" i="4"/>
  <c r="D301" i="4"/>
  <c r="C301" i="4"/>
  <c r="G300" i="4"/>
  <c r="F300" i="4"/>
  <c r="D300" i="4"/>
  <c r="E300" i="4" s="1"/>
  <c r="C300" i="4"/>
  <c r="G299" i="4"/>
  <c r="F299" i="4"/>
  <c r="D299" i="4"/>
  <c r="E299" i="4" s="1"/>
  <c r="C299" i="4"/>
  <c r="G298" i="4"/>
  <c r="F298" i="4"/>
  <c r="E298" i="4"/>
  <c r="D298" i="4"/>
  <c r="C298" i="4"/>
  <c r="G297" i="4"/>
  <c r="F297" i="4"/>
  <c r="D297" i="4"/>
  <c r="E297" i="4" s="1"/>
  <c r="C297" i="4"/>
  <c r="G296" i="4"/>
  <c r="F296" i="4"/>
  <c r="E296" i="4"/>
  <c r="D296" i="4"/>
  <c r="C296" i="4"/>
  <c r="G295" i="4"/>
  <c r="F295" i="4"/>
  <c r="D295" i="4"/>
  <c r="E295" i="4" s="1"/>
  <c r="C295" i="4"/>
  <c r="G294" i="4"/>
  <c r="F294" i="4"/>
  <c r="E294" i="4"/>
  <c r="D294" i="4"/>
  <c r="C294" i="4"/>
  <c r="G293" i="4"/>
  <c r="F293" i="4"/>
  <c r="D293" i="4"/>
  <c r="E293" i="4" s="1"/>
  <c r="C293" i="4"/>
  <c r="G292" i="4"/>
  <c r="F292" i="4"/>
  <c r="D292" i="4"/>
  <c r="E292" i="4" s="1"/>
  <c r="C292" i="4"/>
  <c r="G291" i="4"/>
  <c r="F291" i="4"/>
  <c r="D291" i="4"/>
  <c r="E291" i="4" s="1"/>
  <c r="C291" i="4"/>
  <c r="G290" i="4"/>
  <c r="F290" i="4"/>
  <c r="E290" i="4"/>
  <c r="D290" i="4"/>
  <c r="C290" i="4"/>
  <c r="G289" i="4"/>
  <c r="F289" i="4"/>
  <c r="D289" i="4"/>
  <c r="E289" i="4" s="1"/>
  <c r="C289" i="4"/>
  <c r="G288" i="4"/>
  <c r="F288" i="4"/>
  <c r="E288" i="4"/>
  <c r="D288" i="4"/>
  <c r="C288" i="4"/>
  <c r="G287" i="4"/>
  <c r="F287" i="4"/>
  <c r="D287" i="4"/>
  <c r="E287" i="4" s="1"/>
  <c r="C287" i="4"/>
  <c r="G286" i="4"/>
  <c r="F286" i="4"/>
  <c r="E286" i="4"/>
  <c r="D286" i="4"/>
  <c r="C286" i="4"/>
  <c r="G285" i="4"/>
  <c r="F285" i="4"/>
  <c r="D285" i="4"/>
  <c r="E285" i="4" s="1"/>
  <c r="C285" i="4"/>
  <c r="G284" i="4"/>
  <c r="F284" i="4"/>
  <c r="D284" i="4"/>
  <c r="E284" i="4" s="1"/>
  <c r="C284" i="4"/>
  <c r="G283" i="4"/>
  <c r="F283" i="4"/>
  <c r="D283" i="4"/>
  <c r="E283" i="4" s="1"/>
  <c r="C283" i="4"/>
  <c r="G282" i="4"/>
  <c r="F282" i="4"/>
  <c r="D282" i="4"/>
  <c r="E282" i="4" s="1"/>
  <c r="C282" i="4"/>
  <c r="G281" i="4"/>
  <c r="F281" i="4"/>
  <c r="D281" i="4"/>
  <c r="E281" i="4" s="1"/>
  <c r="C281" i="4"/>
  <c r="G280" i="4"/>
  <c r="F280" i="4"/>
  <c r="E280" i="4"/>
  <c r="D280" i="4"/>
  <c r="C280" i="4"/>
  <c r="G279" i="4"/>
  <c r="F279" i="4"/>
  <c r="D279" i="4"/>
  <c r="E279" i="4" s="1"/>
  <c r="C279" i="4"/>
  <c r="G278" i="4"/>
  <c r="F278" i="4"/>
  <c r="E278" i="4"/>
  <c r="D278" i="4"/>
  <c r="C278" i="4"/>
  <c r="G277" i="4"/>
  <c r="F277" i="4"/>
  <c r="D277" i="4"/>
  <c r="E277" i="4" s="1"/>
  <c r="C277" i="4"/>
  <c r="G276" i="4"/>
  <c r="F276" i="4"/>
  <c r="D276" i="4"/>
  <c r="E276" i="4" s="1"/>
  <c r="C276" i="4"/>
  <c r="G275" i="4"/>
  <c r="F275" i="4"/>
  <c r="E275" i="4"/>
  <c r="D275" i="4"/>
  <c r="C275" i="4"/>
  <c r="G274" i="4"/>
  <c r="F274" i="4"/>
  <c r="E274" i="4"/>
  <c r="D274" i="4"/>
  <c r="C274" i="4"/>
  <c r="G273" i="4"/>
  <c r="F273" i="4"/>
  <c r="D273" i="4"/>
  <c r="E273" i="4" s="1"/>
  <c r="C273" i="4"/>
  <c r="G272" i="4"/>
  <c r="F272" i="4"/>
  <c r="E272" i="4"/>
  <c r="D272" i="4"/>
  <c r="C272" i="4"/>
  <c r="G271" i="4"/>
  <c r="F271" i="4"/>
  <c r="E271" i="4"/>
  <c r="D271" i="4"/>
  <c r="C271" i="4"/>
  <c r="G270" i="4"/>
  <c r="F270" i="4"/>
  <c r="E270" i="4"/>
  <c r="D270" i="4"/>
  <c r="C270" i="4"/>
  <c r="G269" i="4"/>
  <c r="F269" i="4"/>
  <c r="D269" i="4"/>
  <c r="E269" i="4" s="1"/>
  <c r="C269" i="4"/>
  <c r="G268" i="4"/>
  <c r="F268" i="4"/>
  <c r="E268" i="4"/>
  <c r="D268" i="4"/>
  <c r="C268" i="4"/>
  <c r="G267" i="4"/>
  <c r="F267" i="4"/>
  <c r="D267" i="4"/>
  <c r="E267" i="4" s="1"/>
  <c r="C267" i="4"/>
  <c r="G266" i="4"/>
  <c r="F266" i="4"/>
  <c r="D266" i="4"/>
  <c r="E266" i="4" s="1"/>
  <c r="C266" i="4"/>
  <c r="G265" i="4"/>
  <c r="F265" i="4"/>
  <c r="E265" i="4"/>
  <c r="D265" i="4"/>
  <c r="C265" i="4"/>
  <c r="G264" i="4"/>
  <c r="F264" i="4"/>
  <c r="E264" i="4"/>
  <c r="D264" i="4"/>
  <c r="C264" i="4"/>
  <c r="G263" i="4"/>
  <c r="F263" i="4"/>
  <c r="D263" i="4"/>
  <c r="E263" i="4" s="1"/>
  <c r="C263" i="4"/>
  <c r="G262" i="4"/>
  <c r="F262" i="4"/>
  <c r="D262" i="4"/>
  <c r="E262" i="4" s="1"/>
  <c r="C262" i="4"/>
  <c r="G261" i="4"/>
  <c r="F261" i="4"/>
  <c r="D261" i="4"/>
  <c r="E261" i="4" s="1"/>
  <c r="C261" i="4"/>
  <c r="G260" i="4"/>
  <c r="F260" i="4"/>
  <c r="E260" i="4"/>
  <c r="D260" i="4"/>
  <c r="C260" i="4"/>
  <c r="G259" i="4"/>
  <c r="F259" i="4"/>
  <c r="D259" i="4"/>
  <c r="E259" i="4" s="1"/>
  <c r="C259" i="4"/>
  <c r="G258" i="4"/>
  <c r="F258" i="4"/>
  <c r="E258" i="4"/>
  <c r="D258" i="4"/>
  <c r="C258" i="4"/>
  <c r="G257" i="4"/>
  <c r="F257" i="4"/>
  <c r="D257" i="4"/>
  <c r="E257" i="4" s="1"/>
  <c r="C257" i="4"/>
  <c r="G256" i="4"/>
  <c r="F256" i="4"/>
  <c r="D256" i="4"/>
  <c r="E256" i="4" s="1"/>
  <c r="C256" i="4"/>
  <c r="G255" i="4"/>
  <c r="F255" i="4"/>
  <c r="E255" i="4"/>
  <c r="D255" i="4"/>
  <c r="C255" i="4"/>
  <c r="G254" i="4"/>
  <c r="F254" i="4"/>
  <c r="E254" i="4"/>
  <c r="D254" i="4"/>
  <c r="C254" i="4"/>
  <c r="G253" i="4"/>
  <c r="F253" i="4"/>
  <c r="D253" i="4"/>
  <c r="E253" i="4" s="1"/>
  <c r="C253" i="4"/>
  <c r="G252" i="4"/>
  <c r="F252" i="4"/>
  <c r="D252" i="4"/>
  <c r="E252" i="4" s="1"/>
  <c r="C252" i="4"/>
  <c r="G251" i="4"/>
  <c r="F251" i="4"/>
  <c r="D251" i="4"/>
  <c r="E251" i="4" s="1"/>
  <c r="C251" i="4"/>
  <c r="G250" i="4"/>
  <c r="F250" i="4"/>
  <c r="E250" i="4"/>
  <c r="D250" i="4"/>
  <c r="C250" i="4"/>
  <c r="G249" i="4"/>
  <c r="F249" i="4"/>
  <c r="D249" i="4"/>
  <c r="E249" i="4" s="1"/>
  <c r="C249" i="4"/>
  <c r="G248" i="4"/>
  <c r="F248" i="4"/>
  <c r="E248" i="4"/>
  <c r="D248" i="4"/>
  <c r="C248" i="4"/>
  <c r="G247" i="4"/>
  <c r="F247" i="4"/>
  <c r="D247" i="4"/>
  <c r="E247" i="4" s="1"/>
  <c r="C247" i="4"/>
  <c r="G246" i="4"/>
  <c r="F246" i="4"/>
  <c r="E246" i="4"/>
  <c r="D246" i="4"/>
  <c r="C246" i="4"/>
  <c r="G245" i="4"/>
  <c r="F245" i="4"/>
  <c r="D245" i="4"/>
  <c r="E245" i="4" s="1"/>
  <c r="C245" i="4"/>
  <c r="G244" i="4"/>
  <c r="F244" i="4"/>
  <c r="D244" i="4"/>
  <c r="E244" i="4" s="1"/>
  <c r="C244" i="4"/>
  <c r="G243" i="4"/>
  <c r="F243" i="4"/>
  <c r="D243" i="4"/>
  <c r="E243" i="4" s="1"/>
  <c r="C243" i="4"/>
  <c r="G242" i="4"/>
  <c r="F242" i="4"/>
  <c r="E242" i="4"/>
  <c r="D242" i="4"/>
  <c r="C242" i="4"/>
  <c r="G241" i="4"/>
  <c r="F241" i="4"/>
  <c r="D241" i="4"/>
  <c r="E241" i="4" s="1"/>
  <c r="C241" i="4"/>
  <c r="G240" i="4"/>
  <c r="F240" i="4"/>
  <c r="E240" i="4"/>
  <c r="D240" i="4"/>
  <c r="C240" i="4"/>
  <c r="G239" i="4"/>
  <c r="F239" i="4"/>
  <c r="D239" i="4"/>
  <c r="E239" i="4" s="1"/>
  <c r="C239" i="4"/>
  <c r="G238" i="4"/>
  <c r="F238" i="4"/>
  <c r="E238" i="4"/>
  <c r="D238" i="4"/>
  <c r="C238" i="4"/>
  <c r="G237" i="4"/>
  <c r="F237" i="4"/>
  <c r="D237" i="4"/>
  <c r="E237" i="4" s="1"/>
  <c r="C237" i="4"/>
  <c r="G236" i="4"/>
  <c r="F236" i="4"/>
  <c r="E236" i="4"/>
  <c r="D236" i="4"/>
  <c r="C236" i="4"/>
  <c r="G235" i="4"/>
  <c r="F235" i="4"/>
  <c r="D235" i="4"/>
  <c r="E235" i="4" s="1"/>
  <c r="C235" i="4"/>
  <c r="G234" i="4"/>
  <c r="F234" i="4"/>
  <c r="D234" i="4"/>
  <c r="E234" i="4" s="1"/>
  <c r="C234" i="4"/>
  <c r="G233" i="4"/>
  <c r="F233" i="4"/>
  <c r="D233" i="4"/>
  <c r="E233" i="4" s="1"/>
  <c r="C233" i="4"/>
  <c r="G232" i="4"/>
  <c r="F232" i="4"/>
  <c r="E232" i="4"/>
  <c r="D232" i="4"/>
  <c r="C232" i="4"/>
  <c r="G231" i="4"/>
  <c r="F231" i="4"/>
  <c r="D231" i="4"/>
  <c r="E231" i="4" s="1"/>
  <c r="C231" i="4"/>
  <c r="G230" i="4"/>
  <c r="F230" i="4"/>
  <c r="D230" i="4"/>
  <c r="E230" i="4" s="1"/>
  <c r="C230" i="4"/>
  <c r="G229" i="4"/>
  <c r="F229" i="4"/>
  <c r="D229" i="4"/>
  <c r="E229" i="4" s="1"/>
  <c r="C229" i="4"/>
  <c r="G228" i="4"/>
  <c r="F228" i="4"/>
  <c r="E228" i="4"/>
  <c r="D228" i="4"/>
  <c r="C228" i="4"/>
  <c r="G227" i="4"/>
  <c r="F227" i="4"/>
  <c r="D227" i="4"/>
  <c r="E227" i="4" s="1"/>
  <c r="C227" i="4"/>
  <c r="G226" i="4"/>
  <c r="F226" i="4"/>
  <c r="E226" i="4"/>
  <c r="D226" i="4"/>
  <c r="C226" i="4"/>
  <c r="G225" i="4"/>
  <c r="F225" i="4"/>
  <c r="D225" i="4"/>
  <c r="E225" i="4" s="1"/>
  <c r="C225" i="4"/>
  <c r="G224" i="4"/>
  <c r="F224" i="4"/>
  <c r="D224" i="4"/>
  <c r="E224" i="4" s="1"/>
  <c r="C224" i="4"/>
  <c r="G223" i="4"/>
  <c r="F223" i="4"/>
  <c r="D223" i="4"/>
  <c r="E223" i="4" s="1"/>
  <c r="C223" i="4"/>
  <c r="G222" i="4"/>
  <c r="F222" i="4"/>
  <c r="E222" i="4"/>
  <c r="D222" i="4"/>
  <c r="C222" i="4"/>
  <c r="G221" i="4"/>
  <c r="F221" i="4"/>
  <c r="D221" i="4"/>
  <c r="E221" i="4" s="1"/>
  <c r="C221" i="4"/>
  <c r="G220" i="4"/>
  <c r="F220" i="4"/>
  <c r="D220" i="4"/>
  <c r="E220" i="4" s="1"/>
  <c r="C220" i="4"/>
  <c r="G219" i="4"/>
  <c r="F219" i="4"/>
  <c r="D219" i="4"/>
  <c r="E219" i="4" s="1"/>
  <c r="C219" i="4"/>
  <c r="G218" i="4"/>
  <c r="F218" i="4"/>
  <c r="E218" i="4"/>
  <c r="D218" i="4"/>
  <c r="C218" i="4"/>
  <c r="G217" i="4"/>
  <c r="F217" i="4"/>
  <c r="D217" i="4"/>
  <c r="E217" i="4" s="1"/>
  <c r="C217" i="4"/>
  <c r="G216" i="4"/>
  <c r="F216" i="4"/>
  <c r="E216" i="4"/>
  <c r="D216" i="4"/>
  <c r="C216" i="4"/>
  <c r="G215" i="4"/>
  <c r="F215" i="4"/>
  <c r="D215" i="4"/>
  <c r="E215" i="4" s="1"/>
  <c r="C215" i="4"/>
  <c r="G214" i="4"/>
  <c r="F214" i="4"/>
  <c r="D214" i="4"/>
  <c r="E214" i="4" s="1"/>
  <c r="C214" i="4"/>
  <c r="G213" i="4"/>
  <c r="F213" i="4"/>
  <c r="D213" i="4"/>
  <c r="E213" i="4" s="1"/>
  <c r="C213" i="4"/>
  <c r="G212" i="4"/>
  <c r="F212" i="4"/>
  <c r="D212" i="4"/>
  <c r="E212" i="4" s="1"/>
  <c r="C212" i="4"/>
  <c r="G211" i="4"/>
  <c r="F211" i="4"/>
  <c r="D211" i="4"/>
  <c r="E211" i="4" s="1"/>
  <c r="C211" i="4"/>
  <c r="G210" i="4"/>
  <c r="F210" i="4"/>
  <c r="E210" i="4"/>
  <c r="D210" i="4"/>
  <c r="C210" i="4"/>
  <c r="G209" i="4"/>
  <c r="F209" i="4"/>
  <c r="E209" i="4"/>
  <c r="D209" i="4"/>
  <c r="C209" i="4"/>
  <c r="G208" i="4"/>
  <c r="F208" i="4"/>
  <c r="E208" i="4"/>
  <c r="D208" i="4"/>
  <c r="C208" i="4"/>
  <c r="G207" i="4"/>
  <c r="F207" i="4"/>
  <c r="E207" i="4"/>
  <c r="D207" i="4"/>
  <c r="C207" i="4"/>
  <c r="G206" i="4"/>
  <c r="F206" i="4"/>
  <c r="D206" i="4"/>
  <c r="E206" i="4" s="1"/>
  <c r="C206" i="4"/>
  <c r="G205" i="4"/>
  <c r="F205" i="4"/>
  <c r="E205" i="4"/>
  <c r="D205" i="4"/>
  <c r="C205" i="4"/>
  <c r="G204" i="4"/>
  <c r="F204" i="4"/>
  <c r="D204" i="4"/>
  <c r="E204" i="4" s="1"/>
  <c r="C204" i="4"/>
  <c r="G203" i="4"/>
  <c r="F203" i="4"/>
  <c r="D203" i="4"/>
  <c r="E203" i="4" s="1"/>
  <c r="C203" i="4"/>
  <c r="G202" i="4"/>
  <c r="F202" i="4"/>
  <c r="E202" i="4"/>
  <c r="D202" i="4"/>
  <c r="C202" i="4"/>
  <c r="G201" i="4"/>
  <c r="F201" i="4"/>
  <c r="E201" i="4"/>
  <c r="D201" i="4"/>
  <c r="C201" i="4"/>
  <c r="G200" i="4"/>
  <c r="F200" i="4"/>
  <c r="E200" i="4"/>
  <c r="D200" i="4"/>
  <c r="C200" i="4"/>
  <c r="G199" i="4"/>
  <c r="F199" i="4"/>
  <c r="D199" i="4"/>
  <c r="E199" i="4" s="1"/>
  <c r="C199" i="4"/>
  <c r="G198" i="4"/>
  <c r="F198" i="4"/>
  <c r="D198" i="4"/>
  <c r="E198" i="4" s="1"/>
  <c r="C198" i="4"/>
  <c r="G197" i="4"/>
  <c r="F197" i="4"/>
  <c r="D197" i="4"/>
  <c r="E197" i="4" s="1"/>
  <c r="C197" i="4"/>
  <c r="G196" i="4"/>
  <c r="F196" i="4"/>
  <c r="D196" i="4"/>
  <c r="E196" i="4" s="1"/>
  <c r="C196" i="4"/>
  <c r="G195" i="4"/>
  <c r="F195" i="4"/>
  <c r="E195" i="4"/>
  <c r="D195" i="4"/>
  <c r="C195" i="4"/>
  <c r="G194" i="4"/>
  <c r="F194" i="4"/>
  <c r="E194" i="4"/>
  <c r="D194" i="4"/>
  <c r="C194" i="4"/>
  <c r="G193" i="4"/>
  <c r="F193" i="4"/>
  <c r="E193" i="4"/>
  <c r="D193" i="4"/>
  <c r="C193" i="4"/>
  <c r="G192" i="4"/>
  <c r="F192" i="4"/>
  <c r="D192" i="4"/>
  <c r="E192" i="4" s="1"/>
  <c r="C192" i="4"/>
  <c r="G191" i="4"/>
  <c r="F191" i="4"/>
  <c r="D191" i="4"/>
  <c r="E191" i="4" s="1"/>
  <c r="C191" i="4"/>
  <c r="G190" i="4"/>
  <c r="F190" i="4"/>
  <c r="D190" i="4"/>
  <c r="E190" i="4" s="1"/>
  <c r="C190" i="4"/>
  <c r="G189" i="4"/>
  <c r="F189" i="4"/>
  <c r="E189" i="4"/>
  <c r="D189" i="4"/>
  <c r="C189" i="4"/>
  <c r="G188" i="4"/>
  <c r="F188" i="4"/>
  <c r="E188" i="4"/>
  <c r="D188" i="4"/>
  <c r="C188" i="4"/>
  <c r="G187" i="4"/>
  <c r="F187" i="4"/>
  <c r="D187" i="4"/>
  <c r="E187" i="4" s="1"/>
  <c r="C187" i="4"/>
  <c r="G186" i="4"/>
  <c r="F186" i="4"/>
  <c r="D186" i="4"/>
  <c r="E186" i="4" s="1"/>
  <c r="C186" i="4"/>
  <c r="G185" i="4"/>
  <c r="F185" i="4"/>
  <c r="D185" i="4"/>
  <c r="E185" i="4" s="1"/>
  <c r="C185" i="4"/>
  <c r="G184" i="4"/>
  <c r="F184" i="4"/>
  <c r="D184" i="4"/>
  <c r="E184" i="4" s="1"/>
  <c r="C184" i="4"/>
  <c r="G183" i="4"/>
  <c r="F183" i="4"/>
  <c r="E183" i="4"/>
  <c r="D183" i="4"/>
  <c r="C183" i="4"/>
  <c r="G182" i="4"/>
  <c r="F182" i="4"/>
  <c r="E182" i="4"/>
  <c r="D182" i="4"/>
  <c r="C182" i="4"/>
  <c r="G181" i="4"/>
  <c r="F181" i="4"/>
  <c r="D181" i="4"/>
  <c r="E181" i="4" s="1"/>
  <c r="C181" i="4"/>
  <c r="G180" i="4"/>
  <c r="F180" i="4"/>
  <c r="E180" i="4"/>
  <c r="D180" i="4"/>
  <c r="C180" i="4"/>
  <c r="G179" i="4"/>
  <c r="F179" i="4"/>
  <c r="D179" i="4"/>
  <c r="E179" i="4" s="1"/>
  <c r="C179" i="4"/>
  <c r="G178" i="4"/>
  <c r="F178" i="4"/>
  <c r="E178" i="4"/>
  <c r="D178" i="4"/>
  <c r="C178" i="4"/>
  <c r="G177" i="4"/>
  <c r="F177" i="4"/>
  <c r="D177" i="4"/>
  <c r="E177" i="4" s="1"/>
  <c r="C177" i="4"/>
  <c r="G176" i="4"/>
  <c r="F176" i="4"/>
  <c r="E176" i="4"/>
  <c r="D176" i="4"/>
  <c r="C176" i="4"/>
  <c r="G175" i="4"/>
  <c r="F175" i="4"/>
  <c r="E175" i="4"/>
  <c r="D175" i="4"/>
  <c r="C175" i="4"/>
  <c r="G174" i="4"/>
  <c r="F174" i="4"/>
  <c r="D174" i="4"/>
  <c r="E174" i="4" s="1"/>
  <c r="C174" i="4"/>
  <c r="G173" i="4"/>
  <c r="F173" i="4"/>
  <c r="D173" i="4"/>
  <c r="E173" i="4" s="1"/>
  <c r="C173" i="4"/>
  <c r="G172" i="4"/>
  <c r="F172" i="4"/>
  <c r="D172" i="4"/>
  <c r="E172" i="4" s="1"/>
  <c r="C172" i="4"/>
  <c r="G171" i="4"/>
  <c r="F171" i="4"/>
  <c r="D171" i="4"/>
  <c r="E171" i="4" s="1"/>
  <c r="C171" i="4"/>
  <c r="G170" i="4"/>
  <c r="F170" i="4"/>
  <c r="E170" i="4"/>
  <c r="D170" i="4"/>
  <c r="C170" i="4"/>
  <c r="G169" i="4"/>
  <c r="F169" i="4"/>
  <c r="E169" i="4"/>
  <c r="D169" i="4"/>
  <c r="C169" i="4"/>
  <c r="G168" i="4"/>
  <c r="F168" i="4"/>
  <c r="E168" i="4"/>
  <c r="D168" i="4"/>
  <c r="C168" i="4"/>
  <c r="G167" i="4"/>
  <c r="F167" i="4"/>
  <c r="D167" i="4"/>
  <c r="E167" i="4" s="1"/>
  <c r="C167" i="4"/>
  <c r="G166" i="4"/>
  <c r="F166" i="4"/>
  <c r="E166" i="4"/>
  <c r="D166" i="4"/>
  <c r="C166" i="4"/>
  <c r="G165" i="4"/>
  <c r="F165" i="4"/>
  <c r="D165" i="4"/>
  <c r="E165" i="4" s="1"/>
  <c r="C165" i="4"/>
  <c r="G164" i="4"/>
  <c r="F164" i="4"/>
  <c r="D164" i="4"/>
  <c r="E164" i="4" s="1"/>
  <c r="C164" i="4"/>
  <c r="G163" i="4"/>
  <c r="F163" i="4"/>
  <c r="E163" i="4"/>
  <c r="D163" i="4"/>
  <c r="C163" i="4"/>
  <c r="G162" i="4"/>
  <c r="F162" i="4"/>
  <c r="E162" i="4"/>
  <c r="D162" i="4"/>
  <c r="C162" i="4"/>
  <c r="G161" i="4"/>
  <c r="F161" i="4"/>
  <c r="D161" i="4"/>
  <c r="E161" i="4" s="1"/>
  <c r="C161" i="4"/>
  <c r="G160" i="4"/>
  <c r="F160" i="4"/>
  <c r="D160" i="4"/>
  <c r="E160" i="4" s="1"/>
  <c r="C160" i="4"/>
  <c r="G159" i="4"/>
  <c r="F159" i="4"/>
  <c r="D159" i="4"/>
  <c r="E159" i="4" s="1"/>
  <c r="C159" i="4"/>
  <c r="G158" i="4"/>
  <c r="F158" i="4"/>
  <c r="D158" i="4"/>
  <c r="E158" i="4" s="1"/>
  <c r="C158" i="4"/>
  <c r="G157" i="4"/>
  <c r="F157" i="4"/>
  <c r="E157" i="4"/>
  <c r="D157" i="4"/>
  <c r="C157" i="4"/>
  <c r="G156" i="4"/>
  <c r="F156" i="4"/>
  <c r="E156" i="4"/>
  <c r="D156" i="4"/>
  <c r="C156" i="4"/>
  <c r="G155" i="4"/>
  <c r="F155" i="4"/>
  <c r="E155" i="4"/>
  <c r="D155" i="4"/>
  <c r="C155" i="4"/>
  <c r="G154" i="4"/>
  <c r="F154" i="4"/>
  <c r="D154" i="4"/>
  <c r="E154" i="4" s="1"/>
  <c r="C154" i="4"/>
  <c r="G153" i="4"/>
  <c r="F153" i="4"/>
  <c r="E153" i="4"/>
  <c r="D153" i="4"/>
  <c r="C153" i="4"/>
  <c r="G152" i="4"/>
  <c r="F152" i="4"/>
  <c r="D152" i="4"/>
  <c r="E152" i="4" s="1"/>
  <c r="C152" i="4"/>
  <c r="G151" i="4"/>
  <c r="F151" i="4"/>
  <c r="E151" i="4"/>
  <c r="D151" i="4"/>
  <c r="C151" i="4"/>
  <c r="G150" i="4"/>
  <c r="F150" i="4"/>
  <c r="D150" i="4"/>
  <c r="E150" i="4" s="1"/>
  <c r="C150" i="4"/>
  <c r="G149" i="4"/>
  <c r="F149" i="4"/>
  <c r="D149" i="4"/>
  <c r="E149" i="4" s="1"/>
  <c r="C149" i="4"/>
  <c r="G148" i="4"/>
  <c r="F148" i="4"/>
  <c r="D148" i="4"/>
  <c r="E148" i="4" s="1"/>
  <c r="C148" i="4"/>
  <c r="G147" i="4"/>
  <c r="F147" i="4"/>
  <c r="E147" i="4"/>
  <c r="D147" i="4"/>
  <c r="C147" i="4"/>
  <c r="G146" i="4"/>
  <c r="F146" i="4"/>
  <c r="E146" i="4"/>
  <c r="D146" i="4"/>
  <c r="C146" i="4"/>
  <c r="G145" i="4"/>
  <c r="F145" i="4"/>
  <c r="D145" i="4"/>
  <c r="E145" i="4" s="1"/>
  <c r="C145" i="4"/>
  <c r="G144" i="4"/>
  <c r="F144" i="4"/>
  <c r="D144" i="4"/>
  <c r="E144" i="4" s="1"/>
  <c r="C144" i="4"/>
  <c r="G143" i="4"/>
  <c r="F143" i="4"/>
  <c r="D143" i="4"/>
  <c r="E143" i="4" s="1"/>
  <c r="C143" i="4"/>
  <c r="G142" i="4"/>
  <c r="F142" i="4"/>
  <c r="D142" i="4"/>
  <c r="E142" i="4" s="1"/>
  <c r="C142" i="4"/>
  <c r="G141" i="4"/>
  <c r="F141" i="4"/>
  <c r="E141" i="4"/>
  <c r="D141" i="4"/>
  <c r="C141" i="4"/>
  <c r="G140" i="4"/>
  <c r="F140" i="4"/>
  <c r="E140" i="4"/>
  <c r="D140" i="4"/>
  <c r="C140" i="4"/>
  <c r="G139" i="4"/>
  <c r="F139" i="4"/>
  <c r="E139" i="4"/>
  <c r="D139" i="4"/>
  <c r="C139" i="4"/>
  <c r="G138" i="4"/>
  <c r="F138" i="4"/>
  <c r="D138" i="4"/>
  <c r="E138" i="4" s="1"/>
  <c r="C138" i="4"/>
  <c r="G137" i="4"/>
  <c r="F137" i="4"/>
  <c r="E137" i="4"/>
  <c r="D137" i="4"/>
  <c r="C137" i="4"/>
  <c r="G136" i="4"/>
  <c r="F136" i="4"/>
  <c r="D136" i="4"/>
  <c r="E136" i="4" s="1"/>
  <c r="C136" i="4"/>
  <c r="G135" i="4"/>
  <c r="F135" i="4"/>
  <c r="E135" i="4"/>
  <c r="D135" i="4"/>
  <c r="C135" i="4"/>
  <c r="G134" i="4"/>
  <c r="F134" i="4"/>
  <c r="D134" i="4"/>
  <c r="E134" i="4" s="1"/>
  <c r="C134" i="4"/>
  <c r="G133" i="4"/>
  <c r="F133" i="4"/>
  <c r="D133" i="4"/>
  <c r="E133" i="4" s="1"/>
  <c r="C133" i="4"/>
  <c r="G132" i="4"/>
  <c r="F132" i="4"/>
  <c r="D132" i="4"/>
  <c r="E132" i="4" s="1"/>
  <c r="C132" i="4"/>
  <c r="G131" i="4"/>
  <c r="F131" i="4"/>
  <c r="E131" i="4"/>
  <c r="D131" i="4"/>
  <c r="C131" i="4"/>
  <c r="G130" i="4"/>
  <c r="F130" i="4"/>
  <c r="E130" i="4"/>
  <c r="D130" i="4"/>
  <c r="C130" i="4"/>
  <c r="G129" i="4"/>
  <c r="F129" i="4"/>
  <c r="D129" i="4"/>
  <c r="E129" i="4" s="1"/>
  <c r="C129" i="4"/>
  <c r="G128" i="4"/>
  <c r="F128" i="4"/>
  <c r="D128" i="4"/>
  <c r="E128" i="4" s="1"/>
  <c r="C128" i="4"/>
  <c r="G127" i="4"/>
  <c r="F127" i="4"/>
  <c r="D127" i="4"/>
  <c r="E127" i="4" s="1"/>
  <c r="C127" i="4"/>
  <c r="G126" i="4"/>
  <c r="F126" i="4"/>
  <c r="D126" i="4"/>
  <c r="E126" i="4" s="1"/>
  <c r="C126" i="4"/>
  <c r="G125" i="4"/>
  <c r="F125" i="4"/>
  <c r="E125" i="4"/>
  <c r="D125" i="4"/>
  <c r="C125" i="4"/>
  <c r="G124" i="4"/>
  <c r="F124" i="4"/>
  <c r="E124" i="4"/>
  <c r="D124" i="4"/>
  <c r="C124" i="4"/>
  <c r="G123" i="4"/>
  <c r="F123" i="4"/>
  <c r="E123" i="4"/>
  <c r="D123" i="4"/>
  <c r="C123" i="4"/>
  <c r="G122" i="4"/>
  <c r="F122" i="4"/>
  <c r="D122" i="4"/>
  <c r="E122" i="4" s="1"/>
  <c r="C122" i="4"/>
  <c r="G121" i="4"/>
  <c r="F121" i="4"/>
  <c r="E121" i="4"/>
  <c r="D121" i="4"/>
  <c r="C121" i="4"/>
  <c r="G120" i="4"/>
  <c r="F120" i="4"/>
  <c r="D120" i="4"/>
  <c r="E120" i="4" s="1"/>
  <c r="C120" i="4"/>
  <c r="G119" i="4"/>
  <c r="F119" i="4"/>
  <c r="E119" i="4"/>
  <c r="D119" i="4"/>
  <c r="C119" i="4"/>
  <c r="G118" i="4"/>
  <c r="F118" i="4"/>
  <c r="D118" i="4"/>
  <c r="E118" i="4" s="1"/>
  <c r="C118" i="4"/>
  <c r="G117" i="4"/>
  <c r="F117" i="4"/>
  <c r="D117" i="4"/>
  <c r="E117" i="4" s="1"/>
  <c r="C117" i="4"/>
  <c r="G116" i="4"/>
  <c r="F116" i="4"/>
  <c r="D116" i="4"/>
  <c r="E116" i="4" s="1"/>
  <c r="C116" i="4"/>
  <c r="G115" i="4"/>
  <c r="F115" i="4"/>
  <c r="E115" i="4"/>
  <c r="D115" i="4"/>
  <c r="C115" i="4"/>
  <c r="G114" i="4"/>
  <c r="F114" i="4"/>
  <c r="E114" i="4"/>
  <c r="D114" i="4"/>
  <c r="C114" i="4"/>
  <c r="G113" i="4"/>
  <c r="F113" i="4"/>
  <c r="D113" i="4"/>
  <c r="E113" i="4" s="1"/>
  <c r="C113" i="4"/>
  <c r="G112" i="4"/>
  <c r="F112" i="4"/>
  <c r="D112" i="4"/>
  <c r="E112" i="4" s="1"/>
  <c r="C112" i="4"/>
  <c r="G111" i="4"/>
  <c r="F111" i="4"/>
  <c r="D111" i="4"/>
  <c r="E111" i="4" s="1"/>
  <c r="C111" i="4"/>
  <c r="G110" i="4"/>
  <c r="F110" i="4"/>
  <c r="D110" i="4"/>
  <c r="E110" i="4" s="1"/>
  <c r="C110" i="4"/>
  <c r="G109" i="4"/>
  <c r="F109" i="4"/>
  <c r="E109" i="4"/>
  <c r="D109" i="4"/>
  <c r="C109" i="4"/>
  <c r="G108" i="4"/>
  <c r="F108" i="4"/>
  <c r="E108" i="4"/>
  <c r="D108" i="4"/>
  <c r="C108" i="4"/>
  <c r="G107" i="4"/>
  <c r="F107" i="4"/>
  <c r="E107" i="4"/>
  <c r="D107" i="4"/>
  <c r="C107" i="4"/>
  <c r="G106" i="4"/>
  <c r="F106" i="4"/>
  <c r="D106" i="4"/>
  <c r="E106" i="4" s="1"/>
  <c r="C106" i="4"/>
  <c r="G105" i="4"/>
  <c r="F105" i="4"/>
  <c r="E105" i="4"/>
  <c r="D105" i="4"/>
  <c r="C105" i="4"/>
  <c r="G104" i="4"/>
  <c r="F104" i="4"/>
  <c r="D104" i="4"/>
  <c r="E104" i="4" s="1"/>
  <c r="C104" i="4"/>
  <c r="G103" i="4"/>
  <c r="F103" i="4"/>
  <c r="E103" i="4"/>
  <c r="D103" i="4"/>
  <c r="C103" i="4"/>
  <c r="G102" i="4"/>
  <c r="F102" i="4"/>
  <c r="D102" i="4"/>
  <c r="E102" i="4" s="1"/>
  <c r="C102" i="4"/>
  <c r="G101" i="4"/>
  <c r="F101" i="4"/>
  <c r="D101" i="4"/>
  <c r="E101" i="4" s="1"/>
  <c r="C101" i="4"/>
  <c r="G100" i="4"/>
  <c r="F100" i="4"/>
  <c r="D100" i="4"/>
  <c r="E100" i="4" s="1"/>
  <c r="C100" i="4"/>
  <c r="G99" i="4"/>
  <c r="F99" i="4"/>
  <c r="E99" i="4"/>
  <c r="D99" i="4"/>
  <c r="C99" i="4"/>
  <c r="G98" i="4"/>
  <c r="F98" i="4"/>
  <c r="E98" i="4"/>
  <c r="D98" i="4"/>
  <c r="C98" i="4"/>
  <c r="G97" i="4"/>
  <c r="F97" i="4"/>
  <c r="D97" i="4"/>
  <c r="E97" i="4" s="1"/>
  <c r="C97" i="4"/>
  <c r="G96" i="4"/>
  <c r="F96" i="4"/>
  <c r="D96" i="4"/>
  <c r="E96" i="4" s="1"/>
  <c r="C96" i="4"/>
  <c r="G95" i="4"/>
  <c r="F95" i="4"/>
  <c r="D95" i="4"/>
  <c r="E95" i="4" s="1"/>
  <c r="C95" i="4"/>
  <c r="G94" i="4"/>
  <c r="F94" i="4"/>
  <c r="D94" i="4"/>
  <c r="E94" i="4" s="1"/>
  <c r="C94" i="4"/>
  <c r="G93" i="4"/>
  <c r="F93" i="4"/>
  <c r="E93" i="4"/>
  <c r="D93" i="4"/>
  <c r="C93" i="4"/>
  <c r="G92" i="4"/>
  <c r="F92" i="4"/>
  <c r="E92" i="4"/>
  <c r="D92" i="4"/>
  <c r="C92" i="4"/>
  <c r="G91" i="4"/>
  <c r="F91" i="4"/>
  <c r="E91" i="4"/>
  <c r="D91" i="4"/>
  <c r="C91" i="4"/>
  <c r="G90" i="4"/>
  <c r="F90" i="4"/>
  <c r="D90" i="4"/>
  <c r="E90" i="4" s="1"/>
  <c r="C90" i="4"/>
  <c r="G89" i="4"/>
  <c r="F89" i="4"/>
  <c r="E89" i="4"/>
  <c r="D89" i="4"/>
  <c r="C89" i="4"/>
  <c r="G88" i="4"/>
  <c r="F88" i="4"/>
  <c r="D88" i="4"/>
  <c r="E88" i="4" s="1"/>
  <c r="C88" i="4"/>
  <c r="G87" i="4"/>
  <c r="F87" i="4"/>
  <c r="E87" i="4"/>
  <c r="D87" i="4"/>
  <c r="C87" i="4"/>
  <c r="G86" i="4"/>
  <c r="F86" i="4"/>
  <c r="D86" i="4"/>
  <c r="E86" i="4" s="1"/>
  <c r="C86" i="4"/>
  <c r="G85" i="4"/>
  <c r="F85" i="4"/>
  <c r="D85" i="4"/>
  <c r="E85" i="4" s="1"/>
  <c r="C85" i="4"/>
  <c r="G84" i="4"/>
  <c r="F84" i="4"/>
  <c r="D84" i="4"/>
  <c r="E84" i="4" s="1"/>
  <c r="C84" i="4"/>
  <c r="G83" i="4"/>
  <c r="F83" i="4"/>
  <c r="E83" i="4"/>
  <c r="D83" i="4"/>
  <c r="C83" i="4"/>
  <c r="G82" i="4"/>
  <c r="F82" i="4"/>
  <c r="E82" i="4"/>
  <c r="D82" i="4"/>
  <c r="C82" i="4"/>
  <c r="G81" i="4"/>
  <c r="F81" i="4"/>
  <c r="D81" i="4"/>
  <c r="E81" i="4" s="1"/>
  <c r="C81" i="4"/>
  <c r="G80" i="4"/>
  <c r="F80" i="4"/>
  <c r="D80" i="4"/>
  <c r="E80" i="4" s="1"/>
  <c r="C80" i="4"/>
  <c r="G79" i="4"/>
  <c r="F79" i="4"/>
  <c r="D79" i="4"/>
  <c r="E79" i="4" s="1"/>
  <c r="C79" i="4"/>
  <c r="G78" i="4"/>
  <c r="F78" i="4"/>
  <c r="D78" i="4"/>
  <c r="E78" i="4" s="1"/>
  <c r="C78" i="4"/>
  <c r="G77" i="4"/>
  <c r="F77" i="4"/>
  <c r="E77" i="4"/>
  <c r="D77" i="4"/>
  <c r="C77" i="4"/>
  <c r="G76" i="4"/>
  <c r="F76" i="4"/>
  <c r="E76" i="4"/>
  <c r="D76" i="4"/>
  <c r="C76" i="4"/>
  <c r="G75" i="4"/>
  <c r="F75" i="4"/>
  <c r="E75" i="4"/>
  <c r="D75" i="4"/>
  <c r="C75" i="4"/>
  <c r="G74" i="4"/>
  <c r="F74" i="4"/>
  <c r="D74" i="4"/>
  <c r="E74" i="4" s="1"/>
  <c r="C74" i="4"/>
  <c r="G73" i="4"/>
  <c r="F73" i="4"/>
  <c r="E73" i="4"/>
  <c r="D73" i="4"/>
  <c r="C73" i="4"/>
  <c r="G72" i="4"/>
  <c r="F72" i="4"/>
  <c r="D72" i="4"/>
  <c r="E72" i="4" s="1"/>
  <c r="C72" i="4"/>
  <c r="G71" i="4"/>
  <c r="F71" i="4"/>
  <c r="E71" i="4"/>
  <c r="D71" i="4"/>
  <c r="C71" i="4"/>
  <c r="G70" i="4"/>
  <c r="F70" i="4"/>
  <c r="D70" i="4"/>
  <c r="E70" i="4" s="1"/>
  <c r="C70" i="4"/>
  <c r="G69" i="4"/>
  <c r="F69" i="4"/>
  <c r="D69" i="4"/>
  <c r="E69" i="4" s="1"/>
  <c r="C69" i="4"/>
  <c r="G68" i="4"/>
  <c r="F68" i="4"/>
  <c r="D68" i="4"/>
  <c r="E68" i="4" s="1"/>
  <c r="C68" i="4"/>
  <c r="G67" i="4"/>
  <c r="F67" i="4"/>
  <c r="E67" i="4"/>
  <c r="D67" i="4"/>
  <c r="C67" i="4"/>
  <c r="G66" i="4"/>
  <c r="F66" i="4"/>
  <c r="E66" i="4"/>
  <c r="D66" i="4"/>
  <c r="C66" i="4"/>
  <c r="G65" i="4"/>
  <c r="F65" i="4"/>
  <c r="D65" i="4"/>
  <c r="E65" i="4" s="1"/>
  <c r="C65" i="4"/>
  <c r="G64" i="4"/>
  <c r="F64" i="4"/>
  <c r="D64" i="4"/>
  <c r="E64" i="4" s="1"/>
  <c r="C64" i="4"/>
  <c r="G63" i="4"/>
  <c r="F63" i="4"/>
  <c r="D63" i="4"/>
  <c r="E63" i="4" s="1"/>
  <c r="C63" i="4"/>
  <c r="G62" i="4"/>
  <c r="F62" i="4"/>
  <c r="D62" i="4"/>
  <c r="E62" i="4" s="1"/>
  <c r="C62" i="4"/>
  <c r="G61" i="4"/>
  <c r="F61" i="4"/>
  <c r="E61" i="4"/>
  <c r="D61" i="4"/>
  <c r="C61" i="4"/>
  <c r="G60" i="4"/>
  <c r="F60" i="4"/>
  <c r="E60" i="4"/>
  <c r="D60" i="4"/>
  <c r="C60" i="4"/>
  <c r="G59" i="4"/>
  <c r="F59" i="4"/>
  <c r="E59" i="4"/>
  <c r="D59" i="4"/>
  <c r="C59" i="4"/>
  <c r="G58" i="4"/>
  <c r="F58" i="4"/>
  <c r="D58" i="4"/>
  <c r="E58" i="4" s="1"/>
  <c r="C58" i="4"/>
  <c r="G57" i="4"/>
  <c r="F57" i="4"/>
  <c r="E57" i="4"/>
  <c r="D57" i="4"/>
  <c r="C57" i="4"/>
  <c r="G56" i="4"/>
  <c r="F56" i="4"/>
  <c r="D56" i="4"/>
  <c r="E56" i="4" s="1"/>
  <c r="C56" i="4"/>
  <c r="G55" i="4"/>
  <c r="F55" i="4"/>
  <c r="E55" i="4"/>
  <c r="D55" i="4"/>
  <c r="C55" i="4"/>
  <c r="G54" i="4"/>
  <c r="F54" i="4"/>
  <c r="D54" i="4"/>
  <c r="E54" i="4" s="1"/>
  <c r="C54" i="4"/>
  <c r="G53" i="4"/>
  <c r="F53" i="4"/>
  <c r="D53" i="4"/>
  <c r="E53" i="4" s="1"/>
  <c r="C53" i="4"/>
  <c r="G52" i="4"/>
  <c r="F52" i="4"/>
  <c r="D52" i="4"/>
  <c r="E52" i="4" s="1"/>
  <c r="C52" i="4"/>
  <c r="G51" i="4"/>
  <c r="F51" i="4"/>
  <c r="E51" i="4"/>
  <c r="D51" i="4"/>
  <c r="C51" i="4"/>
  <c r="G50" i="4"/>
  <c r="F50" i="4"/>
  <c r="E50" i="4"/>
  <c r="D50" i="4"/>
  <c r="C50" i="4"/>
  <c r="G49" i="4"/>
  <c r="F49" i="4"/>
  <c r="D49" i="4"/>
  <c r="E49" i="4" s="1"/>
  <c r="C49" i="4"/>
  <c r="G48" i="4"/>
  <c r="F48" i="4"/>
  <c r="D48" i="4"/>
  <c r="E48" i="4" s="1"/>
  <c r="C48" i="4"/>
  <c r="G47" i="4"/>
  <c r="F47" i="4"/>
  <c r="D47" i="4"/>
  <c r="E47" i="4" s="1"/>
  <c r="C47" i="4"/>
  <c r="G46" i="4"/>
  <c r="F46" i="4"/>
  <c r="D46" i="4"/>
  <c r="E46" i="4" s="1"/>
  <c r="C46" i="4"/>
  <c r="G45" i="4"/>
  <c r="F45" i="4"/>
  <c r="E45" i="4"/>
  <c r="D45" i="4"/>
  <c r="C45" i="4"/>
  <c r="G44" i="4"/>
  <c r="F44" i="4"/>
  <c r="E44" i="4"/>
  <c r="D44" i="4"/>
  <c r="C44" i="4"/>
  <c r="G43" i="4"/>
  <c r="F43" i="4"/>
  <c r="E43" i="4"/>
  <c r="D43" i="4"/>
  <c r="C43" i="4"/>
  <c r="G42" i="4"/>
  <c r="F42" i="4"/>
  <c r="D42" i="4"/>
  <c r="E42" i="4" s="1"/>
  <c r="C42" i="4"/>
  <c r="G41" i="4"/>
  <c r="F41" i="4"/>
  <c r="E41" i="4"/>
  <c r="D41" i="4"/>
  <c r="C41" i="4"/>
  <c r="G40" i="4"/>
  <c r="F40" i="4"/>
  <c r="D40" i="4"/>
  <c r="E40" i="4" s="1"/>
  <c r="C40" i="4"/>
  <c r="G39" i="4"/>
  <c r="F39" i="4"/>
  <c r="E39" i="4"/>
  <c r="D39" i="4"/>
  <c r="C39" i="4"/>
  <c r="G38" i="4"/>
  <c r="F38" i="4"/>
  <c r="D38" i="4"/>
  <c r="E38" i="4" s="1"/>
  <c r="C38" i="4"/>
  <c r="G37" i="4"/>
  <c r="F37" i="4"/>
  <c r="D37" i="4"/>
  <c r="E37" i="4" s="1"/>
  <c r="C37" i="4"/>
  <c r="G36" i="4"/>
  <c r="F36" i="4"/>
  <c r="D36" i="4"/>
  <c r="E36" i="4" s="1"/>
  <c r="C36" i="4"/>
  <c r="G35" i="4"/>
  <c r="F35" i="4"/>
  <c r="E35" i="4"/>
  <c r="D35" i="4"/>
  <c r="C35" i="4"/>
  <c r="G34" i="4"/>
  <c r="F34" i="4"/>
  <c r="E34" i="4"/>
  <c r="D34" i="4"/>
  <c r="C34" i="4"/>
  <c r="G33" i="4"/>
  <c r="F33" i="4"/>
  <c r="D33" i="4"/>
  <c r="E33" i="4" s="1"/>
  <c r="C33" i="4"/>
  <c r="G32" i="4"/>
  <c r="F32" i="4"/>
  <c r="D32" i="4"/>
  <c r="E32" i="4" s="1"/>
  <c r="C32" i="4"/>
  <c r="G31" i="4"/>
  <c r="F31" i="4"/>
  <c r="D31" i="4"/>
  <c r="E31" i="4" s="1"/>
  <c r="C31" i="4"/>
  <c r="G30" i="4"/>
  <c r="F30" i="4"/>
  <c r="D30" i="4"/>
  <c r="E30" i="4" s="1"/>
  <c r="C30" i="4"/>
  <c r="G29" i="4"/>
  <c r="F29" i="4"/>
  <c r="E29" i="4"/>
  <c r="D29" i="4"/>
  <c r="C29" i="4"/>
  <c r="G28" i="4"/>
  <c r="F28" i="4"/>
  <c r="E28" i="4"/>
  <c r="D28" i="4"/>
  <c r="C28" i="4"/>
  <c r="G27" i="4"/>
  <c r="F27" i="4"/>
  <c r="E27" i="4"/>
  <c r="D27" i="4"/>
  <c r="C27" i="4"/>
  <c r="G26" i="4"/>
  <c r="F26" i="4"/>
  <c r="D26" i="4"/>
  <c r="E26" i="4" s="1"/>
  <c r="C26" i="4"/>
  <c r="G25" i="4"/>
  <c r="F25" i="4"/>
  <c r="E25" i="4"/>
  <c r="D25" i="4"/>
  <c r="C25" i="4"/>
  <c r="G24" i="4"/>
  <c r="F24" i="4"/>
  <c r="D24" i="4"/>
  <c r="E24" i="4" s="1"/>
  <c r="C24" i="4"/>
  <c r="G23" i="4"/>
  <c r="F23" i="4"/>
  <c r="E23" i="4"/>
  <c r="D23" i="4"/>
  <c r="C23" i="4"/>
  <c r="G22" i="4"/>
  <c r="F22" i="4"/>
  <c r="D22" i="4"/>
  <c r="E22" i="4" s="1"/>
  <c r="C22" i="4"/>
  <c r="G21" i="4"/>
  <c r="F21" i="4"/>
  <c r="D21" i="4"/>
  <c r="E21" i="4" s="1"/>
  <c r="C21" i="4"/>
  <c r="G20" i="4"/>
  <c r="F20" i="4"/>
  <c r="D20" i="4"/>
  <c r="E20" i="4" s="1"/>
  <c r="C20" i="4"/>
  <c r="G19" i="4"/>
  <c r="F19" i="4"/>
  <c r="E19" i="4"/>
  <c r="D19" i="4"/>
  <c r="C19" i="4"/>
  <c r="G18" i="4"/>
  <c r="F18" i="4"/>
  <c r="D18" i="4"/>
  <c r="E18" i="4" s="1"/>
  <c r="C18" i="4"/>
  <c r="G17" i="4"/>
  <c r="F17" i="4"/>
  <c r="D17" i="4"/>
  <c r="E17" i="4" s="1"/>
  <c r="C17" i="4"/>
  <c r="G16" i="4"/>
  <c r="F16" i="4"/>
  <c r="D16" i="4"/>
  <c r="E16" i="4" s="1"/>
  <c r="C16" i="4"/>
  <c r="G15" i="4"/>
  <c r="F15" i="4"/>
  <c r="D15" i="4"/>
  <c r="E15" i="4" s="1"/>
  <c r="C15" i="4"/>
  <c r="G14" i="4"/>
  <c r="F14" i="4"/>
  <c r="D14" i="4"/>
  <c r="E14" i="4" s="1"/>
  <c r="C14" i="4"/>
  <c r="G13" i="4"/>
  <c r="F13" i="4"/>
  <c r="E13" i="4"/>
  <c r="D13" i="4"/>
  <c r="C13" i="4"/>
  <c r="G12" i="4"/>
  <c r="F12" i="4"/>
  <c r="E12" i="4"/>
  <c r="D12" i="4"/>
  <c r="C12" i="4"/>
  <c r="G11" i="4"/>
  <c r="F11" i="4"/>
  <c r="E11" i="4"/>
  <c r="D11" i="4"/>
  <c r="C11" i="4"/>
  <c r="C14" i="1" s="1"/>
  <c r="C15" i="1" s="1"/>
  <c r="G10" i="4"/>
  <c r="F10" i="4"/>
  <c r="D10" i="4"/>
  <c r="E10" i="4" s="1"/>
  <c r="C10" i="4"/>
  <c r="G9" i="4"/>
  <c r="F9" i="4"/>
  <c r="E9" i="4"/>
  <c r="D9" i="4"/>
  <c r="C9" i="4"/>
  <c r="G8" i="4"/>
  <c r="F8" i="4"/>
  <c r="D8" i="4"/>
  <c r="E8" i="4" s="1"/>
  <c r="C8" i="4"/>
  <c r="G7" i="4"/>
  <c r="F7" i="4"/>
  <c r="E7" i="4"/>
  <c r="D7" i="4"/>
  <c r="C7" i="4"/>
  <c r="G6" i="4"/>
  <c r="F6" i="4"/>
  <c r="D6" i="4"/>
  <c r="E6" i="4" s="1"/>
  <c r="C6" i="4"/>
  <c r="G5" i="4"/>
  <c r="F5" i="4"/>
  <c r="D5" i="4"/>
  <c r="E5" i="4" s="1"/>
  <c r="C5" i="4"/>
  <c r="G4" i="4"/>
  <c r="F4" i="4"/>
  <c r="D4" i="4"/>
  <c r="E4" i="4" s="1"/>
  <c r="C4" i="4"/>
  <c r="G3" i="4"/>
  <c r="F3" i="4"/>
  <c r="E3" i="4"/>
  <c r="D3" i="4"/>
  <c r="C3" i="4"/>
  <c r="G2" i="4"/>
  <c r="F2" i="4"/>
  <c r="D2" i="4"/>
  <c r="E2" i="4" s="1"/>
  <c r="D13" i="1"/>
  <c r="C13" i="1"/>
  <c r="D12" i="1"/>
  <c r="D17" i="1" s="1"/>
  <c r="C12" i="1"/>
  <c r="C17" i="1" s="1"/>
  <c r="D16" i="1" l="1"/>
  <c r="C16" i="1"/>
  <c r="B56" i="6"/>
  <c r="B52" i="6"/>
  <c r="B48" i="6"/>
  <c r="D48" i="6" s="1"/>
  <c r="B44" i="6"/>
  <c r="B40" i="6"/>
  <c r="B36" i="6"/>
  <c r="B32" i="6"/>
  <c r="D32" i="6" s="1"/>
  <c r="B28" i="6"/>
  <c r="D28" i="6" s="1"/>
  <c r="B24" i="6"/>
  <c r="B20" i="6"/>
  <c r="B16" i="6"/>
  <c r="D16" i="6" s="1"/>
  <c r="B12" i="6"/>
  <c r="D12" i="6" s="1"/>
  <c r="B8" i="6"/>
  <c r="B4" i="6"/>
  <c r="B55" i="6"/>
  <c r="D55" i="6" s="1"/>
  <c r="B51" i="6"/>
  <c r="B47" i="6"/>
  <c r="B43" i="6"/>
  <c r="B39" i="6"/>
  <c r="D39" i="6" s="1"/>
  <c r="B35" i="6"/>
  <c r="B31" i="6"/>
  <c r="B27" i="6"/>
  <c r="B23" i="6"/>
  <c r="D23" i="6" s="1"/>
  <c r="B19" i="6"/>
  <c r="D19" i="6" s="1"/>
  <c r="B15" i="6"/>
  <c r="B11" i="6"/>
  <c r="B7" i="6"/>
  <c r="D7" i="6" s="1"/>
  <c r="B3" i="6"/>
  <c r="D3" i="6" s="1"/>
  <c r="B2" i="6"/>
  <c r="B54" i="6"/>
  <c r="B50" i="6"/>
  <c r="B46" i="6"/>
  <c r="D46" i="6" s="1"/>
  <c r="B42" i="6"/>
  <c r="D42" i="6" s="1"/>
  <c r="B38" i="6"/>
  <c r="B34" i="6"/>
  <c r="D34" i="6" s="1"/>
  <c r="B30" i="6"/>
  <c r="B26" i="6"/>
  <c r="B22" i="6"/>
  <c r="B18" i="6"/>
  <c r="D18" i="6" s="1"/>
  <c r="B14" i="6"/>
  <c r="D14" i="6" s="1"/>
  <c r="B10" i="6"/>
  <c r="B6" i="6"/>
  <c r="B53" i="6"/>
  <c r="D53" i="6" s="1"/>
  <c r="B49" i="6"/>
  <c r="D49" i="6" s="1"/>
  <c r="B45" i="6"/>
  <c r="D45" i="6" s="1"/>
  <c r="B41" i="6"/>
  <c r="D41" i="6" s="1"/>
  <c r="B37" i="6"/>
  <c r="D37" i="6" s="1"/>
  <c r="B33" i="6"/>
  <c r="B29" i="6"/>
  <c r="B25" i="6"/>
  <c r="D25" i="6" s="1"/>
  <c r="B21" i="6"/>
  <c r="D21" i="6" s="1"/>
  <c r="B17" i="6"/>
  <c r="B13" i="6"/>
  <c r="B9" i="6"/>
  <c r="D9" i="6" s="1"/>
  <c r="B5" i="6"/>
  <c r="D5" i="6" s="1"/>
  <c r="C5" i="6"/>
  <c r="C7" i="6"/>
  <c r="E7" i="6" s="1"/>
  <c r="C8" i="6"/>
  <c r="E8" i="6" s="1"/>
  <c r="C23" i="6"/>
  <c r="E23" i="6" s="1"/>
  <c r="C42" i="6"/>
  <c r="E42" i="6" s="1"/>
  <c r="C25" i="6"/>
  <c r="C6" i="6"/>
  <c r="C22" i="6"/>
  <c r="E22" i="6" s="1"/>
  <c r="C9" i="6"/>
  <c r="C26" i="6"/>
  <c r="E26" i="6" s="1"/>
  <c r="C10" i="6"/>
  <c r="E10" i="6" s="1"/>
  <c r="C29" i="6"/>
  <c r="C11" i="6"/>
  <c r="C30" i="6"/>
  <c r="C12" i="6"/>
  <c r="E12" i="6" s="1"/>
  <c r="C33" i="6"/>
  <c r="C13" i="6"/>
  <c r="E13" i="6" s="1"/>
  <c r="C34" i="6"/>
  <c r="C14" i="6"/>
  <c r="C37" i="6"/>
  <c r="E37" i="6" s="1"/>
  <c r="C15" i="6"/>
  <c r="E15" i="6" s="1"/>
  <c r="C38" i="6"/>
  <c r="C16" i="6"/>
  <c r="C41" i="6"/>
  <c r="E41" i="6" s="1"/>
  <c r="C17" i="6"/>
  <c r="E17" i="6" s="1"/>
  <c r="C56" i="6"/>
  <c r="C52" i="6"/>
  <c r="C48" i="6"/>
  <c r="C44" i="6"/>
  <c r="C40" i="6"/>
  <c r="E40" i="6" s="1"/>
  <c r="C36" i="6"/>
  <c r="C32" i="6"/>
  <c r="E32" i="6" s="1"/>
  <c r="C28" i="6"/>
  <c r="E28" i="6" s="1"/>
  <c r="C24" i="6"/>
  <c r="C55" i="6"/>
  <c r="C51" i="6"/>
  <c r="E51" i="6" s="1"/>
  <c r="C47" i="6"/>
  <c r="E47" i="6" s="1"/>
  <c r="C43" i="6"/>
  <c r="C39" i="6"/>
  <c r="E39" i="6" s="1"/>
  <c r="C35" i="6"/>
  <c r="E35" i="6" s="1"/>
  <c r="C31" i="6"/>
  <c r="E31" i="6" s="1"/>
  <c r="C27" i="6"/>
  <c r="E27" i="6" s="1"/>
  <c r="C2" i="6"/>
  <c r="C54" i="6"/>
  <c r="E54" i="6" s="1"/>
  <c r="C53" i="6"/>
  <c r="C18" i="6"/>
  <c r="C45" i="6"/>
  <c r="E45" i="6" s="1"/>
  <c r="C3" i="6"/>
  <c r="E3" i="6" s="1"/>
  <c r="C19" i="6"/>
  <c r="E19" i="6" s="1"/>
  <c r="C46" i="6"/>
  <c r="E46" i="6" s="1"/>
  <c r="C4" i="6"/>
  <c r="E4" i="6" s="1"/>
  <c r="C20" i="6"/>
  <c r="E20" i="6" s="1"/>
  <c r="C49" i="6"/>
  <c r="E49" i="6" s="1"/>
  <c r="C50" i="6"/>
  <c r="E50" i="6" l="1"/>
  <c r="E43" i="6"/>
  <c r="E38" i="6"/>
  <c r="E25" i="6"/>
  <c r="D8" i="6"/>
  <c r="D6" i="6"/>
  <c r="D11" i="6"/>
  <c r="D20" i="6"/>
  <c r="E55" i="6"/>
  <c r="E14" i="6"/>
  <c r="E24" i="6"/>
  <c r="E34" i="6"/>
  <c r="D10" i="6"/>
  <c r="D15" i="6"/>
  <c r="D24" i="6"/>
  <c r="E36" i="6"/>
  <c r="D22" i="6"/>
  <c r="D27" i="6"/>
  <c r="D36" i="6"/>
  <c r="E33" i="6"/>
  <c r="E18" i="6"/>
  <c r="E30" i="6"/>
  <c r="D13" i="6"/>
  <c r="D26" i="6"/>
  <c r="D31" i="6"/>
  <c r="D40" i="6"/>
  <c r="E53" i="6"/>
  <c r="E44" i="6"/>
  <c r="E11" i="6"/>
  <c r="D17" i="6"/>
  <c r="D30" i="6"/>
  <c r="D35" i="6"/>
  <c r="D44" i="6"/>
  <c r="E5" i="6"/>
  <c r="D38" i="6"/>
  <c r="D43" i="6"/>
  <c r="D52" i="6"/>
  <c r="E48" i="6"/>
  <c r="E52" i="6"/>
  <c r="E56" i="6"/>
  <c r="D29" i="6"/>
  <c r="D47" i="6"/>
  <c r="D56" i="6"/>
  <c r="E29" i="6"/>
  <c r="E9" i="6"/>
  <c r="D33" i="6"/>
  <c r="D51" i="6"/>
  <c r="E21" i="6"/>
  <c r="D50" i="6"/>
  <c r="E16" i="6"/>
  <c r="E6" i="6"/>
  <c r="D54" i="6"/>
  <c r="D4" i="6"/>
</calcChain>
</file>

<file path=xl/sharedStrings.xml><?xml version="1.0" encoding="utf-8"?>
<sst xmlns="http://schemas.openxmlformats.org/spreadsheetml/2006/main" count="142" uniqueCount="126">
  <si>
    <t>Concentrated Tech Portfolio  vs.  S&amp;P 500</t>
  </si>
  <si>
    <t>Risk-adjusted performance  |  Jan 2022 – Jul 2026  (~4.5 yrs of daily data)</t>
  </si>
  <si>
    <t>Assumptions</t>
  </si>
  <si>
    <t>Risk-free rate</t>
  </si>
  <si>
    <t>Trading days / year</t>
  </si>
  <si>
    <t>Start date</t>
  </si>
  <si>
    <t>End date</t>
  </si>
  <si>
    <t>Metric</t>
  </si>
  <si>
    <t>Tech Portfolio</t>
  </si>
  <si>
    <t>S&amp;P 500</t>
  </si>
  <si>
    <t>Takeaway</t>
  </si>
  <si>
    <t>Total Return</t>
  </si>
  <si>
    <t>Tech grew far more in total</t>
  </si>
  <si>
    <t>Annualized Return (CAGR)</t>
  </si>
  <si>
    <t>Tech won on raw return</t>
  </si>
  <si>
    <t>Annualized Volatility</t>
  </si>
  <si>
    <t>Tech swung much harder</t>
  </si>
  <si>
    <t>Sharpe Ratio (rf 2%)</t>
  </si>
  <si>
    <t>Tech edged it risk-adjusted</t>
  </si>
  <si>
    <t>Max Drawdown</t>
  </si>
  <si>
    <t>Tech's worst fall was deeper</t>
  </si>
  <si>
    <t>Final value of $100</t>
  </si>
  <si>
    <t>The verdict</t>
  </si>
  <si>
    <t>"Just buy the S&amp;P" isn't really about higher returns — here the concentrated tech basket actually returned MORE (18% vs 12% CAGR) and was even slightly better risk-adjusted (Sharpe 0.65 vs 0.57).
The real case for the index is the ride: ~40% lower volatility, a drawdown half as deep (–24% vs –36%), and zero research effort. For an investor who can't stomach watching a third of their money evaporate, the S&amp;P delivers most of the reward with far less pain.
Caveat: these 10 names were picked knowing they'd done well — hindsight bias inflates the tech result. A fair test would choose names without knowing the outcome.</t>
  </si>
  <si>
    <t>Method &amp; data</t>
  </si>
  <si>
    <t>• 9 large-cap names (NVDA, AMZN, MSFT, GOOGL, TSLA, AAPL, TSM, MU, HOOD) vs the S&amp;P 500 — see Holdings tab. Daily closes, 2022–2026.</t>
  </si>
  <si>
    <t>• SQL structured the raw prices: LAG() for daily returns, a running MAX() for the drawdown series.</t>
  </si>
  <si>
    <t>• CAGR from first/last value; volatility = daily-return stdev × √252; Sharpe vs 2% risk-free; max drawdown = deepest peak-to-trough.</t>
  </si>
  <si>
    <t>• Both series indexed to $100 at the start so the growth chart is a like-for-like comparison.</t>
  </si>
  <si>
    <t>Visual Comparison  —  Tech Portfolio vs S&amp;P 500</t>
  </si>
  <si>
    <t>Portfolio Holdings</t>
  </si>
  <si>
    <t>Concentrated basket of 9 large-cap names, benchmarked against SPY (S&amp;P 500 ETF).</t>
  </si>
  <si>
    <t>Ticker</t>
  </si>
  <si>
    <t>Company</t>
  </si>
  <si>
    <t>Shares</t>
  </si>
  <si>
    <t>Role</t>
  </si>
  <si>
    <t>NVDA</t>
  </si>
  <si>
    <t>NVIDIA Corp.</t>
  </si>
  <si>
    <t>Holding</t>
  </si>
  <si>
    <t>AMZN</t>
  </si>
  <si>
    <t>Amazon.com Inc.</t>
  </si>
  <si>
    <t>MSFT</t>
  </si>
  <si>
    <t>Microsoft Corp.</t>
  </si>
  <si>
    <t>GOOGL</t>
  </si>
  <si>
    <t>Alphabet Inc. (Google)</t>
  </si>
  <si>
    <t>TSLA</t>
  </si>
  <si>
    <t>Tesla Inc.</t>
  </si>
  <si>
    <t>AAPL</t>
  </si>
  <si>
    <t>Apple Inc.</t>
  </si>
  <si>
    <t>TSM</t>
  </si>
  <si>
    <t>Taiwan Semiconductor (TSMC)</t>
  </si>
  <si>
    <t>MU</t>
  </si>
  <si>
    <t>Micron Technology</t>
  </si>
  <si>
    <t>HOOD</t>
  </si>
  <si>
    <t>Robinhood Markets</t>
  </si>
  <si>
    <t>SPY</t>
  </si>
  <si>
    <t>SPDR S&amp;P 500 ETF</t>
  </si>
  <si>
    <t>Benchmark</t>
  </si>
  <si>
    <t>Note: shares are as provided; dollar weights require per-share prices, which are not in this dataset.</t>
  </si>
  <si>
    <t>Date</t>
  </si>
  <si>
    <t>Value ($)</t>
  </si>
  <si>
    <t>Daily Return</t>
  </si>
  <si>
    <t>Running Peak ($)</t>
  </si>
  <si>
    <t>Drawdown</t>
  </si>
  <si>
    <t>Indexed (=100)</t>
  </si>
  <si>
    <t>Month</t>
  </si>
  <si>
    <t>Tech End ($)</t>
  </si>
  <si>
    <t>S&amp;P End ($)</t>
  </si>
  <si>
    <t>Tech Return</t>
  </si>
  <si>
    <t>S&amp;P Return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</si>
  <si>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</si>
  <si>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</si>
  <si>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</si>
  <si>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</si>
  <si>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</si>
  <si>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</si>
  <si>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</si>
  <si>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</si>
  <si>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</si>
  <si>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</si>
  <si>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</si>
  <si>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</si>
  <si>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</si>
  <si>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</si>
  <si>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</si>
  <si>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</si>
  <si>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</si>
  <si>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</si>
  <si>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</si>
  <si>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</si>
  <si>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</si>
  <si>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</si>
  <si>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</si>
  <si>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</si>
  <si>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</si>
  <si>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</si>
  <si>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</si>
  <si>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</si>
  <si>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</si>
  <si>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</si>
  <si>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</si>
  <si>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</si>
  <si>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</si>
  <si>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</si>
  <si>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</si>
  <si>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</si>
  <si>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</si>
  <si>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</si>
  <si>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</si>
  <si>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</si>
  <si>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</si>
  <si>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</si>
  <si>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</si>
  <si>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</si>
  <si>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</si>
  <si>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</si>
  <si>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</si>
  <si>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</si>
  <si>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</si>
  <si>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</si>
  <si>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</si>
  <si>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</si>
  <si>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</si>
  <si>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</si>
  <si>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</si>
  <si>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• Data are from Python Library, yfinance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</si>
</sst>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$#,##0"/>
    <numFmt numFmtId="166" formatCode="0.00%;\(0.00%\);\-"/>
    <numFmt numFmtId="167" formatCode="0.0%;\(0.0%\);\-"/>
    <numFmt numFmtId="168" formatCode="0.0%"/>
  </numFmts>
  <fonts count="1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1A1A1A"/>
      <name val="Arial"/>
    </font>
    <font>
      <b/>
      <sz val="18"/>
      <color rgb="FFFFFFFF"/>
      <name val="Arial"/>
    </font>
    <font>
      <i/>
      <sz val="10"/>
      <color rgb="FFFFFFFF"/>
      <name val="Arial"/>
    </font>
    <font>
      <b/>
      <sz val="11"/>
      <color rgb="FF1F3864"/>
      <name val="Arial"/>
    </font>
    <font>
      <sz val="10"/>
      <color rgb="FF1A1A1A"/>
      <name val="Arial"/>
    </font>
    <font>
      <b/>
      <sz val="10"/>
      <color rgb="FF0000FF"/>
      <name val="Arial"/>
    </font>
    <font>
      <b/>
      <sz val="10"/>
      <color rgb="FF1A1A1A"/>
      <name val="Arial"/>
    </font>
    <font>
      <b/>
      <sz val="11"/>
      <color rgb="FF2E5496"/>
      <name val="Arial"/>
    </font>
    <font>
      <b/>
      <sz val="11"/>
      <color rgb="FF1A1A1A"/>
      <name val="Arial"/>
    </font>
    <font>
      <i/>
      <sz val="9"/>
      <color rgb="FF1A1A1A"/>
      <name val="Arial"/>
    </font>
    <font>
      <b/>
      <sz val="10"/>
      <color rgb="FF1F3864"/>
      <name val="Arial"/>
    </font>
    <font>
      <b/>
      <sz val="16"/>
      <color rgb="FF1F3864"/>
      <name val="Arial"/>
    </font>
    <font>
      <i/>
      <sz val="10"/>
      <color rgb="FF2E5496"/>
      <name val="Arial"/>
    </font>
    <font>
      <sz val="10"/>
      <color rgb="FF8C9BAB"/>
      <name val="Arial"/>
    </font>
    <font>
      <i/>
      <sz val="9"/>
      <color rgb="FF666666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DF1F7"/>
      </patternFill>
    </fill>
    <fill>
      <patternFill patternType="solid">
        <fgColor rgb="FF2E5496"/>
      </patternFill>
    </fill>
    <fill>
      <patternFill patternType="solid">
        <fgColor rgb="FFFFF2CC"/>
      </patternFill>
    </fill>
    <fill>
      <patternFill patternType="solid">
        <fgColor rgb="FFF2F5FA"/>
      </patternFill>
    </fill>
    <fill>
      <patternFill patternType="solid">
        <fgColor rgb="FFE2EFDA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  <border>
      <left style="thin">
        <color rgb="FFBFC9D9"/>
      </left>
      <right style="thin">
        <color rgb="FFBFC9D9"/>
      </right>
      <top style="thin">
        <color rgb="FFBFC9D9"/>
      </top>
      <bottom/>
      <diagonal/>
    </border>
    <border>
      <left style="thin">
        <color rgb="FFBFC9D9"/>
      </left>
      <right style="thin">
        <color rgb="FFBFC9D9"/>
      </right>
      <top/>
      <bottom/>
      <diagonal/>
    </border>
    <border>
      <left style="thin">
        <color rgb="FFBFC9D9"/>
      </left>
      <right style="thin">
        <color rgb="FFBFC9D9"/>
      </right>
      <top/>
      <bottom style="thin">
        <color rgb="FFBFC9D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5" fillId="0" borderId="0" xfId="0" applyFont="1"/>
    <xf numFmtId="0" fontId="6" fillId="0" borderId="0" xfId="0" applyFont="1"/>
    <xf numFmtId="168" fontId="7" fillId="6" borderId="1" xfId="0" applyNumberFormat="1" applyFont="1" applyFill="1" applyBorder="1" applyAlignment="1">
      <alignment horizontal="center"/>
    </xf>
    <xf numFmtId="1" fontId="7" fillId="6" borderId="1" xfId="0" applyNumberFormat="1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8" fillId="7" borderId="1" xfId="0" applyFont="1" applyFill="1" applyBorder="1"/>
    <xf numFmtId="168" fontId="9" fillId="8" borderId="1" xfId="0" applyNumberFormat="1" applyFont="1" applyFill="1" applyBorder="1" applyAlignment="1">
      <alignment horizontal="center"/>
    </xf>
    <xf numFmtId="168" fontId="10" fillId="3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left" indent="1"/>
    </xf>
    <xf numFmtId="168" fontId="9" fillId="3" borderId="1" xfId="0" applyNumberFormat="1" applyFont="1" applyFill="1" applyBorder="1" applyAlignment="1">
      <alignment horizontal="center"/>
    </xf>
    <xf numFmtId="168" fontId="10" fillId="8" borderId="1" xfId="0" applyNumberFormat="1" applyFont="1" applyFill="1" applyBorder="1" applyAlignment="1">
      <alignment horizontal="center"/>
    </xf>
    <xf numFmtId="2" fontId="9" fillId="8" borderId="1" xfId="0" applyNumberFormat="1" applyFont="1" applyFill="1" applyBorder="1" applyAlignment="1">
      <alignment horizontal="center"/>
    </xf>
    <xf numFmtId="2" fontId="10" fillId="3" borderId="1" xfId="0" applyNumberFormat="1" applyFont="1" applyFill="1" applyBorder="1" applyAlignment="1">
      <alignment horizontal="center"/>
    </xf>
    <xf numFmtId="165" fontId="9" fillId="8" borderId="1" xfId="0" applyNumberFormat="1" applyFont="1" applyFill="1" applyBorder="1" applyAlignment="1">
      <alignment horizontal="center"/>
    </xf>
    <xf numFmtId="165" fontId="10" fillId="3" borderId="1" xfId="0" applyNumberFormat="1" applyFont="1" applyFill="1" applyBorder="1" applyAlignment="1">
      <alignment horizontal="center"/>
    </xf>
    <xf numFmtId="0" fontId="12" fillId="0" borderId="0" xfId="0" applyFont="1"/>
    <xf numFmtId="0" fontId="1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 indent="1"/>
    </xf>
    <xf numFmtId="3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 indent="1"/>
    </xf>
    <xf numFmtId="3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left" indent="1"/>
    </xf>
    <xf numFmtId="3" fontId="6" fillId="9" borderId="1" xfId="0" applyNumberFormat="1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166" fontId="2" fillId="3" borderId="1" xfId="0" applyNumberFormat="1" applyFont="1" applyFill="1" applyBorder="1"/>
    <xf numFmtId="167" fontId="2" fillId="3" borderId="1" xfId="0" applyNumberFormat="1" applyFont="1" applyFill="1" applyBorder="1"/>
    <xf numFmtId="2" fontId="2" fillId="3" borderId="1" xfId="0" applyNumberFormat="1" applyFont="1" applyFill="1" applyBorder="1"/>
    <xf numFmtId="0" fontId="2" fillId="3" borderId="1" xfId="0" applyFont="1" applyFill="1" applyBorder="1"/>
    <xf numFmtId="164" fontId="2" fillId="4" borderId="1" xfId="0" applyNumberFormat="1" applyFont="1" applyFill="1" applyBorder="1"/>
    <xf numFmtId="165" fontId="2" fillId="4" borderId="1" xfId="0" applyNumberFormat="1" applyFont="1" applyFill="1" applyBorder="1"/>
    <xf numFmtId="166" fontId="2" fillId="4" borderId="1" xfId="0" applyNumberFormat="1" applyFont="1" applyFill="1" applyBorder="1"/>
    <xf numFmtId="167" fontId="2" fillId="4" borderId="1" xfId="0" applyNumberFormat="1" applyFont="1" applyFill="1" applyBorder="1"/>
    <xf numFmtId="2" fontId="2" fillId="4" borderId="1" xfId="0" applyNumberFormat="1" applyFont="1" applyFill="1" applyBorder="1"/>
    <xf numFmtId="0" fontId="2" fillId="4" borderId="1" xfId="0" applyFont="1" applyFill="1" applyBorder="1"/>
    <xf numFmtId="0" fontId="2" fillId="0" borderId="0" xfId="0" applyFont="1" applyAlignment="1">
      <alignment horizontal="left" vertical="center" indent="1"/>
    </xf>
    <xf numFmtId="0" fontId="0" fillId="0" borderId="0" xfId="0"/>
    <xf numFmtId="0" fontId="3" fillId="2" borderId="0" xfId="0" applyFont="1" applyFill="1" applyAlignment="1">
      <alignment horizontal="left" vertical="center" indent="1"/>
    </xf>
    <xf numFmtId="0" fontId="6" fillId="4" borderId="2" xfId="0" applyFont="1" applyFill="1" applyBorder="1" applyAlignment="1">
      <alignment horizontal="left" vertical="top" wrapText="1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0" xfId="0" applyFont="1"/>
    <xf numFmtId="0" fontId="4" fillId="5" borderId="0" xfId="0" applyFont="1" applyFill="1" applyAlignment="1">
      <alignment horizontal="left" vertical="center" indent="1"/>
    </xf>
    <xf numFmtId="0" fontId="13" fillId="0" borderId="0" xfId="0" applyFont="1"/>
    <xf numFmtId="0" fontId="14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2000" b="1">
                <a:solidFill>
                  <a:srgbClr val="1F3864"/>
                </a:solidFill>
                <a:latin typeface="Arial"/>
              </a:defRPr>
            </a:pPr>
            <a:r>
              <a:rPr lang="en-US" sz="2000" b="1">
                <a:solidFill>
                  <a:srgbClr val="1F3864"/>
                </a:solidFill>
                <a:latin typeface="Arial"/>
              </a:rPr>
              <a:t>Growth of $100 Invested (indexed to start)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Tech Portfolio</c:v>
          </c:tx>
          <c:spPr>
            <a:ln w="22000">
              <a:solidFill>
                <a:srgbClr val="2E5496"/>
              </a:solidFill>
              <a:prstDash val="solid"/>
            </a:ln>
          </c:spPr>
          <c:marker>
            <c:symbol val="none"/>
          </c:marker>
          <c:cat>
            <c:numRef>
              <c:f>'Tech Portfolio'!$A$2:$A$1130</c:f>
              <c:numCache>
                <c:formatCode>yyyy\-mm\-dd</c:formatCode>
                <c:ptCount val="112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44579</c:v>
                </c:pt>
                <c:pt idx="11">
                  <c:v>44580</c:v>
                </c:pt>
                <c:pt idx="12">
                  <c:v>44581</c:v>
                </c:pt>
                <c:pt idx="13">
                  <c:v>44582</c:v>
                </c:pt>
                <c:pt idx="14">
                  <c:v>44585</c:v>
                </c:pt>
                <c:pt idx="15">
                  <c:v>44586</c:v>
                </c:pt>
                <c:pt idx="16">
                  <c:v>44587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44614</c:v>
                </c:pt>
                <c:pt idx="35">
                  <c:v>44615</c:v>
                </c:pt>
                <c:pt idx="36">
                  <c:v>44616</c:v>
                </c:pt>
                <c:pt idx="37">
                  <c:v>44617</c:v>
                </c:pt>
                <c:pt idx="38">
                  <c:v>44620</c:v>
                </c:pt>
                <c:pt idx="39">
                  <c:v>44621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44672</c:v>
                </c:pt>
                <c:pt idx="76">
                  <c:v>44673</c:v>
                </c:pt>
                <c:pt idx="77">
                  <c:v>44676</c:v>
                </c:pt>
                <c:pt idx="78">
                  <c:v>44677</c:v>
                </c:pt>
                <c:pt idx="79">
                  <c:v>44678</c:v>
                </c:pt>
                <c:pt idx="80">
                  <c:v>44679</c:v>
                </c:pt>
                <c:pt idx="81">
                  <c:v>44680</c:v>
                </c:pt>
                <c:pt idx="82">
                  <c:v>44683</c:v>
                </c:pt>
                <c:pt idx="83">
                  <c:v>44684</c:v>
                </c:pt>
                <c:pt idx="84">
                  <c:v>44685</c:v>
                </c:pt>
                <c:pt idx="85">
                  <c:v>44686</c:v>
                </c:pt>
                <c:pt idx="86">
                  <c:v>44687</c:v>
                </c:pt>
                <c:pt idx="87">
                  <c:v>44690</c:v>
                </c:pt>
                <c:pt idx="88">
                  <c:v>44691</c:v>
                </c:pt>
                <c:pt idx="89">
                  <c:v>44692</c:v>
                </c:pt>
                <c:pt idx="90">
                  <c:v>44693</c:v>
                </c:pt>
                <c:pt idx="91">
                  <c:v>44694</c:v>
                </c:pt>
                <c:pt idx="92">
                  <c:v>44697</c:v>
                </c:pt>
                <c:pt idx="93">
                  <c:v>44698</c:v>
                </c:pt>
                <c:pt idx="94">
                  <c:v>44699</c:v>
                </c:pt>
                <c:pt idx="95">
                  <c:v>44700</c:v>
                </c:pt>
                <c:pt idx="96">
                  <c:v>44701</c:v>
                </c:pt>
                <c:pt idx="97">
                  <c:v>44704</c:v>
                </c:pt>
                <c:pt idx="98">
                  <c:v>44705</c:v>
                </c:pt>
                <c:pt idx="99">
                  <c:v>44706</c:v>
                </c:pt>
                <c:pt idx="100">
                  <c:v>44707</c:v>
                </c:pt>
                <c:pt idx="101">
                  <c:v>44708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44728</c:v>
                </c:pt>
                <c:pt idx="115">
                  <c:v>44729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44782</c:v>
                </c:pt>
                <c:pt idx="151">
                  <c:v>44783</c:v>
                </c:pt>
                <c:pt idx="152">
                  <c:v>44784</c:v>
                </c:pt>
                <c:pt idx="153">
                  <c:v>44785</c:v>
                </c:pt>
                <c:pt idx="154">
                  <c:v>44788</c:v>
                </c:pt>
                <c:pt idx="155">
                  <c:v>44789</c:v>
                </c:pt>
                <c:pt idx="156">
                  <c:v>44790</c:v>
                </c:pt>
                <c:pt idx="157">
                  <c:v>44791</c:v>
                </c:pt>
                <c:pt idx="158">
                  <c:v>44792</c:v>
                </c:pt>
                <c:pt idx="159">
                  <c:v>44795</c:v>
                </c:pt>
                <c:pt idx="160">
                  <c:v>44796</c:v>
                </c:pt>
                <c:pt idx="161">
                  <c:v>44797</c:v>
                </c:pt>
                <c:pt idx="162">
                  <c:v>44798</c:v>
                </c:pt>
                <c:pt idx="163">
                  <c:v>44799</c:v>
                </c:pt>
                <c:pt idx="164">
                  <c:v>44802</c:v>
                </c:pt>
                <c:pt idx="165">
                  <c:v>44803</c:v>
                </c:pt>
                <c:pt idx="166">
                  <c:v>44804</c:v>
                </c:pt>
                <c:pt idx="167">
                  <c:v>44805</c:v>
                </c:pt>
                <c:pt idx="168">
                  <c:v>44806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44816</c:v>
                </c:pt>
                <c:pt idx="174">
                  <c:v>44817</c:v>
                </c:pt>
                <c:pt idx="175">
                  <c:v>44818</c:v>
                </c:pt>
                <c:pt idx="176">
                  <c:v>44819</c:v>
                </c:pt>
                <c:pt idx="177">
                  <c:v>44820</c:v>
                </c:pt>
                <c:pt idx="178">
                  <c:v>44823</c:v>
                </c:pt>
                <c:pt idx="179">
                  <c:v>44824</c:v>
                </c:pt>
                <c:pt idx="180">
                  <c:v>44825</c:v>
                </c:pt>
                <c:pt idx="181">
                  <c:v>44826</c:v>
                </c:pt>
                <c:pt idx="182">
                  <c:v>44827</c:v>
                </c:pt>
                <c:pt idx="183">
                  <c:v>44830</c:v>
                </c:pt>
                <c:pt idx="184">
                  <c:v>44831</c:v>
                </c:pt>
                <c:pt idx="185">
                  <c:v>44832</c:v>
                </c:pt>
                <c:pt idx="186">
                  <c:v>44833</c:v>
                </c:pt>
                <c:pt idx="187">
                  <c:v>44834</c:v>
                </c:pt>
                <c:pt idx="188">
                  <c:v>44837</c:v>
                </c:pt>
                <c:pt idx="189">
                  <c:v>44838</c:v>
                </c:pt>
                <c:pt idx="190">
                  <c:v>44839</c:v>
                </c:pt>
                <c:pt idx="191">
                  <c:v>44840</c:v>
                </c:pt>
                <c:pt idx="192">
                  <c:v>44841</c:v>
                </c:pt>
                <c:pt idx="193">
                  <c:v>44844</c:v>
                </c:pt>
                <c:pt idx="194">
                  <c:v>44845</c:v>
                </c:pt>
                <c:pt idx="195">
                  <c:v>44846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44867</c:v>
                </c:pt>
                <c:pt idx="211">
                  <c:v>44868</c:v>
                </c:pt>
                <c:pt idx="212">
                  <c:v>44869</c:v>
                </c:pt>
                <c:pt idx="213">
                  <c:v>44872</c:v>
                </c:pt>
                <c:pt idx="214">
                  <c:v>44873</c:v>
                </c:pt>
                <c:pt idx="215">
                  <c:v>44874</c:v>
                </c:pt>
                <c:pt idx="216">
                  <c:v>44875</c:v>
                </c:pt>
                <c:pt idx="217">
                  <c:v>44876</c:v>
                </c:pt>
                <c:pt idx="218">
                  <c:v>44879</c:v>
                </c:pt>
                <c:pt idx="219">
                  <c:v>44880</c:v>
                </c:pt>
                <c:pt idx="220">
                  <c:v>44881</c:v>
                </c:pt>
                <c:pt idx="221">
                  <c:v>44882</c:v>
                </c:pt>
                <c:pt idx="222">
                  <c:v>44883</c:v>
                </c:pt>
                <c:pt idx="223">
                  <c:v>44886</c:v>
                </c:pt>
                <c:pt idx="224">
                  <c:v>44887</c:v>
                </c:pt>
                <c:pt idx="225">
                  <c:v>44888</c:v>
                </c:pt>
                <c:pt idx="226">
                  <c:v>44890</c:v>
                </c:pt>
                <c:pt idx="227">
                  <c:v>44893</c:v>
                </c:pt>
                <c:pt idx="228">
                  <c:v>44894</c:v>
                </c:pt>
                <c:pt idx="229">
                  <c:v>44895</c:v>
                </c:pt>
                <c:pt idx="230">
                  <c:v>44896</c:v>
                </c:pt>
                <c:pt idx="231">
                  <c:v>44897</c:v>
                </c:pt>
                <c:pt idx="232">
                  <c:v>44900</c:v>
                </c:pt>
                <c:pt idx="233">
                  <c:v>44901</c:v>
                </c:pt>
                <c:pt idx="234">
                  <c:v>44902</c:v>
                </c:pt>
                <c:pt idx="235">
                  <c:v>44903</c:v>
                </c:pt>
                <c:pt idx="236">
                  <c:v>44904</c:v>
                </c:pt>
                <c:pt idx="237">
                  <c:v>44907</c:v>
                </c:pt>
                <c:pt idx="238">
                  <c:v>44908</c:v>
                </c:pt>
                <c:pt idx="239">
                  <c:v>44909</c:v>
                </c:pt>
                <c:pt idx="240">
                  <c:v>44910</c:v>
                </c:pt>
                <c:pt idx="241">
                  <c:v>44911</c:v>
                </c:pt>
                <c:pt idx="242">
                  <c:v>44914</c:v>
                </c:pt>
                <c:pt idx="243">
                  <c:v>44915</c:v>
                </c:pt>
                <c:pt idx="244">
                  <c:v>44916</c:v>
                </c:pt>
                <c:pt idx="245">
                  <c:v>44917</c:v>
                </c:pt>
                <c:pt idx="246">
                  <c:v>44918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44925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44943</c:v>
                </c:pt>
                <c:pt idx="261">
                  <c:v>44944</c:v>
                </c:pt>
                <c:pt idx="262">
                  <c:v>44945</c:v>
                </c:pt>
                <c:pt idx="263">
                  <c:v>44946</c:v>
                </c:pt>
                <c:pt idx="264">
                  <c:v>44949</c:v>
                </c:pt>
                <c:pt idx="265">
                  <c:v>44950</c:v>
                </c:pt>
                <c:pt idx="266">
                  <c:v>44951</c:v>
                </c:pt>
                <c:pt idx="267">
                  <c:v>44952</c:v>
                </c:pt>
                <c:pt idx="268">
                  <c:v>44953</c:v>
                </c:pt>
                <c:pt idx="269">
                  <c:v>44956</c:v>
                </c:pt>
                <c:pt idx="270">
                  <c:v>44957</c:v>
                </c:pt>
                <c:pt idx="271">
                  <c:v>44958</c:v>
                </c:pt>
                <c:pt idx="272">
                  <c:v>44959</c:v>
                </c:pt>
                <c:pt idx="273">
                  <c:v>44960</c:v>
                </c:pt>
                <c:pt idx="274">
                  <c:v>44963</c:v>
                </c:pt>
                <c:pt idx="275">
                  <c:v>44964</c:v>
                </c:pt>
                <c:pt idx="276">
                  <c:v>44965</c:v>
                </c:pt>
                <c:pt idx="277">
                  <c:v>44966</c:v>
                </c:pt>
                <c:pt idx="278">
                  <c:v>44967</c:v>
                </c:pt>
                <c:pt idx="279">
                  <c:v>44970</c:v>
                </c:pt>
                <c:pt idx="280">
                  <c:v>44971</c:v>
                </c:pt>
                <c:pt idx="281">
                  <c:v>44972</c:v>
                </c:pt>
                <c:pt idx="282">
                  <c:v>44973</c:v>
                </c:pt>
                <c:pt idx="283">
                  <c:v>44974</c:v>
                </c:pt>
                <c:pt idx="284">
                  <c:v>44978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45037</c:v>
                </c:pt>
                <c:pt idx="327">
                  <c:v>45040</c:v>
                </c:pt>
                <c:pt idx="328">
                  <c:v>45041</c:v>
                </c:pt>
                <c:pt idx="329">
                  <c:v>45042</c:v>
                </c:pt>
                <c:pt idx="330">
                  <c:v>45043</c:v>
                </c:pt>
                <c:pt idx="331">
                  <c:v>45044</c:v>
                </c:pt>
                <c:pt idx="332">
                  <c:v>45047</c:v>
                </c:pt>
                <c:pt idx="333">
                  <c:v>45048</c:v>
                </c:pt>
                <c:pt idx="334">
                  <c:v>45049</c:v>
                </c:pt>
                <c:pt idx="335">
                  <c:v>45050</c:v>
                </c:pt>
                <c:pt idx="336">
                  <c:v>45051</c:v>
                </c:pt>
                <c:pt idx="337">
                  <c:v>45054</c:v>
                </c:pt>
                <c:pt idx="338">
                  <c:v>45055</c:v>
                </c:pt>
                <c:pt idx="339">
                  <c:v>45056</c:v>
                </c:pt>
                <c:pt idx="340">
                  <c:v>45057</c:v>
                </c:pt>
                <c:pt idx="341">
                  <c:v>45058</c:v>
                </c:pt>
                <c:pt idx="342">
                  <c:v>45061</c:v>
                </c:pt>
                <c:pt idx="343">
                  <c:v>45062</c:v>
                </c:pt>
                <c:pt idx="344">
                  <c:v>45063</c:v>
                </c:pt>
                <c:pt idx="345">
                  <c:v>45064</c:v>
                </c:pt>
                <c:pt idx="346">
                  <c:v>45065</c:v>
                </c:pt>
                <c:pt idx="347">
                  <c:v>45068</c:v>
                </c:pt>
                <c:pt idx="348">
                  <c:v>45069</c:v>
                </c:pt>
                <c:pt idx="349">
                  <c:v>45070</c:v>
                </c:pt>
                <c:pt idx="350">
                  <c:v>45071</c:v>
                </c:pt>
                <c:pt idx="351">
                  <c:v>45072</c:v>
                </c:pt>
                <c:pt idx="352">
                  <c:v>45076</c:v>
                </c:pt>
                <c:pt idx="353">
                  <c:v>45077</c:v>
                </c:pt>
                <c:pt idx="354">
                  <c:v>45078</c:v>
                </c:pt>
                <c:pt idx="355">
                  <c:v>45079</c:v>
                </c:pt>
                <c:pt idx="356">
                  <c:v>45082</c:v>
                </c:pt>
                <c:pt idx="357">
                  <c:v>45083</c:v>
                </c:pt>
                <c:pt idx="358">
                  <c:v>45084</c:v>
                </c:pt>
                <c:pt idx="359">
                  <c:v>45085</c:v>
                </c:pt>
                <c:pt idx="360">
                  <c:v>45086</c:v>
                </c:pt>
                <c:pt idx="361">
                  <c:v>45089</c:v>
                </c:pt>
                <c:pt idx="362">
                  <c:v>45090</c:v>
                </c:pt>
                <c:pt idx="363">
                  <c:v>45091</c:v>
                </c:pt>
                <c:pt idx="364">
                  <c:v>45092</c:v>
                </c:pt>
                <c:pt idx="365">
                  <c:v>45093</c:v>
                </c:pt>
                <c:pt idx="366">
                  <c:v>45097</c:v>
                </c:pt>
                <c:pt idx="367">
                  <c:v>45098</c:v>
                </c:pt>
                <c:pt idx="368">
                  <c:v>45099</c:v>
                </c:pt>
                <c:pt idx="369">
                  <c:v>45100</c:v>
                </c:pt>
                <c:pt idx="370">
                  <c:v>45103</c:v>
                </c:pt>
                <c:pt idx="371">
                  <c:v>45104</c:v>
                </c:pt>
                <c:pt idx="372">
                  <c:v>45105</c:v>
                </c:pt>
                <c:pt idx="373">
                  <c:v>45106</c:v>
                </c:pt>
                <c:pt idx="374">
                  <c:v>45107</c:v>
                </c:pt>
                <c:pt idx="375">
                  <c:v>45110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45174</c:v>
                </c:pt>
                <c:pt idx="420">
                  <c:v>45175</c:v>
                </c:pt>
                <c:pt idx="421">
                  <c:v>45176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45211</c:v>
                </c:pt>
                <c:pt idx="447">
                  <c:v>45212</c:v>
                </c:pt>
                <c:pt idx="448">
                  <c:v>45215</c:v>
                </c:pt>
                <c:pt idx="449">
                  <c:v>45216</c:v>
                </c:pt>
                <c:pt idx="450">
                  <c:v>45217</c:v>
                </c:pt>
                <c:pt idx="451">
                  <c:v>45218</c:v>
                </c:pt>
                <c:pt idx="452">
                  <c:v>45219</c:v>
                </c:pt>
                <c:pt idx="453">
                  <c:v>45222</c:v>
                </c:pt>
                <c:pt idx="454">
                  <c:v>45223</c:v>
                </c:pt>
                <c:pt idx="455">
                  <c:v>45224</c:v>
                </c:pt>
                <c:pt idx="456">
                  <c:v>45225</c:v>
                </c:pt>
                <c:pt idx="457">
                  <c:v>45226</c:v>
                </c:pt>
                <c:pt idx="458">
                  <c:v>45229</c:v>
                </c:pt>
                <c:pt idx="459">
                  <c:v>45230</c:v>
                </c:pt>
                <c:pt idx="460">
                  <c:v>45231</c:v>
                </c:pt>
                <c:pt idx="461">
                  <c:v>45232</c:v>
                </c:pt>
                <c:pt idx="462">
                  <c:v>45233</c:v>
                </c:pt>
                <c:pt idx="463">
                  <c:v>45236</c:v>
                </c:pt>
                <c:pt idx="464">
                  <c:v>45237</c:v>
                </c:pt>
                <c:pt idx="465">
                  <c:v>45238</c:v>
                </c:pt>
                <c:pt idx="466">
                  <c:v>45239</c:v>
                </c:pt>
                <c:pt idx="467">
                  <c:v>45240</c:v>
                </c:pt>
                <c:pt idx="468">
                  <c:v>45243</c:v>
                </c:pt>
                <c:pt idx="469">
                  <c:v>45244</c:v>
                </c:pt>
                <c:pt idx="470">
                  <c:v>45245</c:v>
                </c:pt>
                <c:pt idx="471">
                  <c:v>45246</c:v>
                </c:pt>
                <c:pt idx="472">
                  <c:v>45247</c:v>
                </c:pt>
                <c:pt idx="473">
                  <c:v>45250</c:v>
                </c:pt>
                <c:pt idx="474">
                  <c:v>45251</c:v>
                </c:pt>
                <c:pt idx="475">
                  <c:v>45252</c:v>
                </c:pt>
                <c:pt idx="476">
                  <c:v>45254</c:v>
                </c:pt>
                <c:pt idx="477">
                  <c:v>45257</c:v>
                </c:pt>
                <c:pt idx="478">
                  <c:v>45258</c:v>
                </c:pt>
                <c:pt idx="479">
                  <c:v>45259</c:v>
                </c:pt>
                <c:pt idx="480">
                  <c:v>45260</c:v>
                </c:pt>
                <c:pt idx="481">
                  <c:v>45261</c:v>
                </c:pt>
                <c:pt idx="482">
                  <c:v>45264</c:v>
                </c:pt>
                <c:pt idx="483">
                  <c:v>45265</c:v>
                </c:pt>
                <c:pt idx="484">
                  <c:v>45266</c:v>
                </c:pt>
                <c:pt idx="485">
                  <c:v>45267</c:v>
                </c:pt>
                <c:pt idx="486">
                  <c:v>45268</c:v>
                </c:pt>
                <c:pt idx="487">
                  <c:v>45271</c:v>
                </c:pt>
                <c:pt idx="488">
                  <c:v>45272</c:v>
                </c:pt>
                <c:pt idx="489">
                  <c:v>45273</c:v>
                </c:pt>
                <c:pt idx="490">
                  <c:v>45274</c:v>
                </c:pt>
                <c:pt idx="491">
                  <c:v>45275</c:v>
                </c:pt>
                <c:pt idx="492">
                  <c:v>45278</c:v>
                </c:pt>
                <c:pt idx="493">
                  <c:v>45279</c:v>
                </c:pt>
                <c:pt idx="494">
                  <c:v>45280</c:v>
                </c:pt>
                <c:pt idx="495">
                  <c:v>45281</c:v>
                </c:pt>
                <c:pt idx="496">
                  <c:v>45282</c:v>
                </c:pt>
                <c:pt idx="497">
                  <c:v>45286</c:v>
                </c:pt>
                <c:pt idx="498">
                  <c:v>45287</c:v>
                </c:pt>
                <c:pt idx="499">
                  <c:v>45288</c:v>
                </c:pt>
                <c:pt idx="500">
                  <c:v>45289</c:v>
                </c:pt>
                <c:pt idx="501">
                  <c:v>45293</c:v>
                </c:pt>
                <c:pt idx="502">
                  <c:v>45294</c:v>
                </c:pt>
                <c:pt idx="503">
                  <c:v>45295</c:v>
                </c:pt>
                <c:pt idx="504">
                  <c:v>45296</c:v>
                </c:pt>
                <c:pt idx="505">
                  <c:v>45299</c:v>
                </c:pt>
                <c:pt idx="506">
                  <c:v>45300</c:v>
                </c:pt>
                <c:pt idx="507">
                  <c:v>45301</c:v>
                </c:pt>
                <c:pt idx="508">
                  <c:v>45302</c:v>
                </c:pt>
                <c:pt idx="509">
                  <c:v>45303</c:v>
                </c:pt>
                <c:pt idx="510">
                  <c:v>45307</c:v>
                </c:pt>
                <c:pt idx="511">
                  <c:v>45308</c:v>
                </c:pt>
                <c:pt idx="512">
                  <c:v>45309</c:v>
                </c:pt>
                <c:pt idx="513">
                  <c:v>45310</c:v>
                </c:pt>
                <c:pt idx="514">
                  <c:v>45313</c:v>
                </c:pt>
                <c:pt idx="515">
                  <c:v>45314</c:v>
                </c:pt>
                <c:pt idx="516">
                  <c:v>45315</c:v>
                </c:pt>
                <c:pt idx="517">
                  <c:v>45316</c:v>
                </c:pt>
                <c:pt idx="518">
                  <c:v>45317</c:v>
                </c:pt>
                <c:pt idx="519">
                  <c:v>45320</c:v>
                </c:pt>
                <c:pt idx="520">
                  <c:v>45321</c:v>
                </c:pt>
                <c:pt idx="521">
                  <c:v>45322</c:v>
                </c:pt>
                <c:pt idx="522">
                  <c:v>45323</c:v>
                </c:pt>
                <c:pt idx="523">
                  <c:v>45324</c:v>
                </c:pt>
                <c:pt idx="524">
                  <c:v>45327</c:v>
                </c:pt>
                <c:pt idx="525">
                  <c:v>45328</c:v>
                </c:pt>
                <c:pt idx="526">
                  <c:v>45329</c:v>
                </c:pt>
                <c:pt idx="527">
                  <c:v>45330</c:v>
                </c:pt>
                <c:pt idx="528">
                  <c:v>45331</c:v>
                </c:pt>
                <c:pt idx="529">
                  <c:v>45334</c:v>
                </c:pt>
                <c:pt idx="530">
                  <c:v>45335</c:v>
                </c:pt>
                <c:pt idx="531">
                  <c:v>45336</c:v>
                </c:pt>
                <c:pt idx="532">
                  <c:v>45337</c:v>
                </c:pt>
                <c:pt idx="533">
                  <c:v>45338</c:v>
                </c:pt>
                <c:pt idx="534">
                  <c:v>45342</c:v>
                </c:pt>
                <c:pt idx="535">
                  <c:v>45343</c:v>
                </c:pt>
                <c:pt idx="536">
                  <c:v>45344</c:v>
                </c:pt>
                <c:pt idx="537">
                  <c:v>45345</c:v>
                </c:pt>
                <c:pt idx="538">
                  <c:v>45348</c:v>
                </c:pt>
                <c:pt idx="539">
                  <c:v>45349</c:v>
                </c:pt>
                <c:pt idx="540">
                  <c:v>45350</c:v>
                </c:pt>
                <c:pt idx="541">
                  <c:v>45351</c:v>
                </c:pt>
                <c:pt idx="542">
                  <c:v>45352</c:v>
                </c:pt>
                <c:pt idx="543">
                  <c:v>45355</c:v>
                </c:pt>
                <c:pt idx="544">
                  <c:v>45356</c:v>
                </c:pt>
                <c:pt idx="545">
                  <c:v>45357</c:v>
                </c:pt>
                <c:pt idx="546">
                  <c:v>45358</c:v>
                </c:pt>
                <c:pt idx="547">
                  <c:v>45359</c:v>
                </c:pt>
                <c:pt idx="548">
                  <c:v>45362</c:v>
                </c:pt>
                <c:pt idx="549">
                  <c:v>45363</c:v>
                </c:pt>
                <c:pt idx="550">
                  <c:v>45364</c:v>
                </c:pt>
                <c:pt idx="551">
                  <c:v>45365</c:v>
                </c:pt>
                <c:pt idx="552">
                  <c:v>45366</c:v>
                </c:pt>
                <c:pt idx="553">
                  <c:v>45369</c:v>
                </c:pt>
                <c:pt idx="554">
                  <c:v>45370</c:v>
                </c:pt>
                <c:pt idx="555">
                  <c:v>45371</c:v>
                </c:pt>
                <c:pt idx="556">
                  <c:v>45372</c:v>
                </c:pt>
                <c:pt idx="557">
                  <c:v>45373</c:v>
                </c:pt>
                <c:pt idx="558">
                  <c:v>45376</c:v>
                </c:pt>
                <c:pt idx="559">
                  <c:v>45377</c:v>
                </c:pt>
                <c:pt idx="560">
                  <c:v>45378</c:v>
                </c:pt>
                <c:pt idx="561">
                  <c:v>45379</c:v>
                </c:pt>
                <c:pt idx="562">
                  <c:v>45383</c:v>
                </c:pt>
                <c:pt idx="563">
                  <c:v>45384</c:v>
                </c:pt>
                <c:pt idx="564">
                  <c:v>45385</c:v>
                </c:pt>
                <c:pt idx="565">
                  <c:v>45386</c:v>
                </c:pt>
                <c:pt idx="566">
                  <c:v>45387</c:v>
                </c:pt>
                <c:pt idx="567">
                  <c:v>45390</c:v>
                </c:pt>
                <c:pt idx="568">
                  <c:v>45391</c:v>
                </c:pt>
                <c:pt idx="569">
                  <c:v>45392</c:v>
                </c:pt>
                <c:pt idx="570">
                  <c:v>45393</c:v>
                </c:pt>
                <c:pt idx="571">
                  <c:v>45394</c:v>
                </c:pt>
                <c:pt idx="572">
                  <c:v>45397</c:v>
                </c:pt>
                <c:pt idx="573">
                  <c:v>45398</c:v>
                </c:pt>
                <c:pt idx="574">
                  <c:v>45399</c:v>
                </c:pt>
                <c:pt idx="575">
                  <c:v>45400</c:v>
                </c:pt>
                <c:pt idx="576">
                  <c:v>45401</c:v>
                </c:pt>
                <c:pt idx="577">
                  <c:v>45404</c:v>
                </c:pt>
                <c:pt idx="578">
                  <c:v>45405</c:v>
                </c:pt>
                <c:pt idx="579">
                  <c:v>45406</c:v>
                </c:pt>
                <c:pt idx="580">
                  <c:v>45407</c:v>
                </c:pt>
                <c:pt idx="581">
                  <c:v>45408</c:v>
                </c:pt>
                <c:pt idx="582">
                  <c:v>45411</c:v>
                </c:pt>
                <c:pt idx="583">
                  <c:v>45412</c:v>
                </c:pt>
                <c:pt idx="584">
                  <c:v>45413</c:v>
                </c:pt>
                <c:pt idx="585">
                  <c:v>45414</c:v>
                </c:pt>
                <c:pt idx="586">
                  <c:v>45415</c:v>
                </c:pt>
                <c:pt idx="587">
                  <c:v>45418</c:v>
                </c:pt>
                <c:pt idx="588">
                  <c:v>45419</c:v>
                </c:pt>
                <c:pt idx="589">
                  <c:v>45420</c:v>
                </c:pt>
                <c:pt idx="590">
                  <c:v>45421</c:v>
                </c:pt>
                <c:pt idx="591">
                  <c:v>45422</c:v>
                </c:pt>
                <c:pt idx="592">
                  <c:v>45425</c:v>
                </c:pt>
                <c:pt idx="593">
                  <c:v>45426</c:v>
                </c:pt>
                <c:pt idx="594">
                  <c:v>45427</c:v>
                </c:pt>
                <c:pt idx="595">
                  <c:v>45428</c:v>
                </c:pt>
                <c:pt idx="596">
                  <c:v>45429</c:v>
                </c:pt>
                <c:pt idx="597">
                  <c:v>45432</c:v>
                </c:pt>
                <c:pt idx="598">
                  <c:v>45433</c:v>
                </c:pt>
                <c:pt idx="599">
                  <c:v>45434</c:v>
                </c:pt>
                <c:pt idx="600">
                  <c:v>45435</c:v>
                </c:pt>
                <c:pt idx="601">
                  <c:v>45436</c:v>
                </c:pt>
                <c:pt idx="602">
                  <c:v>45440</c:v>
                </c:pt>
                <c:pt idx="603">
                  <c:v>45441</c:v>
                </c:pt>
                <c:pt idx="604">
                  <c:v>45442</c:v>
                </c:pt>
                <c:pt idx="605">
                  <c:v>45443</c:v>
                </c:pt>
                <c:pt idx="606">
                  <c:v>45446</c:v>
                </c:pt>
                <c:pt idx="607">
                  <c:v>45447</c:v>
                </c:pt>
                <c:pt idx="608">
                  <c:v>45448</c:v>
                </c:pt>
                <c:pt idx="609">
                  <c:v>45449</c:v>
                </c:pt>
                <c:pt idx="610">
                  <c:v>45450</c:v>
                </c:pt>
                <c:pt idx="611">
                  <c:v>45453</c:v>
                </c:pt>
                <c:pt idx="612">
                  <c:v>45454</c:v>
                </c:pt>
                <c:pt idx="613">
                  <c:v>45455</c:v>
                </c:pt>
                <c:pt idx="614">
                  <c:v>45456</c:v>
                </c:pt>
                <c:pt idx="615">
                  <c:v>45457</c:v>
                </c:pt>
                <c:pt idx="616">
                  <c:v>45460</c:v>
                </c:pt>
                <c:pt idx="617">
                  <c:v>45461</c:v>
                </c:pt>
                <c:pt idx="618">
                  <c:v>45463</c:v>
                </c:pt>
                <c:pt idx="619">
                  <c:v>45464</c:v>
                </c:pt>
                <c:pt idx="620">
                  <c:v>45467</c:v>
                </c:pt>
                <c:pt idx="621">
                  <c:v>45468</c:v>
                </c:pt>
                <c:pt idx="622">
                  <c:v>45469</c:v>
                </c:pt>
                <c:pt idx="623">
                  <c:v>45470</c:v>
                </c:pt>
                <c:pt idx="624">
                  <c:v>45471</c:v>
                </c:pt>
                <c:pt idx="625">
                  <c:v>45474</c:v>
                </c:pt>
                <c:pt idx="626">
                  <c:v>45475</c:v>
                </c:pt>
                <c:pt idx="627">
                  <c:v>45476</c:v>
                </c:pt>
                <c:pt idx="628">
                  <c:v>45478</c:v>
                </c:pt>
                <c:pt idx="629">
                  <c:v>45481</c:v>
                </c:pt>
                <c:pt idx="630">
                  <c:v>45482</c:v>
                </c:pt>
                <c:pt idx="631">
                  <c:v>45483</c:v>
                </c:pt>
                <c:pt idx="632">
                  <c:v>45484</c:v>
                </c:pt>
                <c:pt idx="633">
                  <c:v>45485</c:v>
                </c:pt>
                <c:pt idx="634">
                  <c:v>45488</c:v>
                </c:pt>
                <c:pt idx="635">
                  <c:v>45489</c:v>
                </c:pt>
                <c:pt idx="636">
                  <c:v>45490</c:v>
                </c:pt>
                <c:pt idx="637">
                  <c:v>45491</c:v>
                </c:pt>
                <c:pt idx="638">
                  <c:v>45492</c:v>
                </c:pt>
                <c:pt idx="639">
                  <c:v>45495</c:v>
                </c:pt>
                <c:pt idx="640">
                  <c:v>45496</c:v>
                </c:pt>
                <c:pt idx="641">
                  <c:v>45497</c:v>
                </c:pt>
                <c:pt idx="642">
                  <c:v>45498</c:v>
                </c:pt>
                <c:pt idx="643">
                  <c:v>45499</c:v>
                </c:pt>
                <c:pt idx="644">
                  <c:v>45502</c:v>
                </c:pt>
                <c:pt idx="645">
                  <c:v>45503</c:v>
                </c:pt>
                <c:pt idx="646">
                  <c:v>45504</c:v>
                </c:pt>
                <c:pt idx="647">
                  <c:v>45505</c:v>
                </c:pt>
                <c:pt idx="648">
                  <c:v>45506</c:v>
                </c:pt>
                <c:pt idx="649">
                  <c:v>45509</c:v>
                </c:pt>
                <c:pt idx="650">
                  <c:v>45510</c:v>
                </c:pt>
                <c:pt idx="651">
                  <c:v>45511</c:v>
                </c:pt>
                <c:pt idx="652">
                  <c:v>45512</c:v>
                </c:pt>
                <c:pt idx="653">
                  <c:v>45513</c:v>
                </c:pt>
                <c:pt idx="654">
                  <c:v>45516</c:v>
                </c:pt>
                <c:pt idx="655">
                  <c:v>45517</c:v>
                </c:pt>
                <c:pt idx="656">
                  <c:v>45518</c:v>
                </c:pt>
                <c:pt idx="657">
                  <c:v>45519</c:v>
                </c:pt>
                <c:pt idx="658">
                  <c:v>45520</c:v>
                </c:pt>
                <c:pt idx="659">
                  <c:v>45523</c:v>
                </c:pt>
                <c:pt idx="660">
                  <c:v>45524</c:v>
                </c:pt>
                <c:pt idx="661">
                  <c:v>45525</c:v>
                </c:pt>
                <c:pt idx="662">
                  <c:v>45526</c:v>
                </c:pt>
                <c:pt idx="663">
                  <c:v>45527</c:v>
                </c:pt>
                <c:pt idx="664">
                  <c:v>45530</c:v>
                </c:pt>
                <c:pt idx="665">
                  <c:v>45531</c:v>
                </c:pt>
                <c:pt idx="666">
                  <c:v>45532</c:v>
                </c:pt>
                <c:pt idx="667">
                  <c:v>45533</c:v>
                </c:pt>
                <c:pt idx="668">
                  <c:v>45534</c:v>
                </c:pt>
                <c:pt idx="669">
                  <c:v>45538</c:v>
                </c:pt>
                <c:pt idx="670">
                  <c:v>45539</c:v>
                </c:pt>
                <c:pt idx="671">
                  <c:v>45540</c:v>
                </c:pt>
                <c:pt idx="672">
                  <c:v>45541</c:v>
                </c:pt>
                <c:pt idx="673">
                  <c:v>45544</c:v>
                </c:pt>
                <c:pt idx="674">
                  <c:v>45545</c:v>
                </c:pt>
                <c:pt idx="675">
                  <c:v>45546</c:v>
                </c:pt>
                <c:pt idx="676">
                  <c:v>45547</c:v>
                </c:pt>
                <c:pt idx="677">
                  <c:v>45548</c:v>
                </c:pt>
                <c:pt idx="678">
                  <c:v>45551</c:v>
                </c:pt>
                <c:pt idx="679">
                  <c:v>45552</c:v>
                </c:pt>
                <c:pt idx="680">
                  <c:v>45553</c:v>
                </c:pt>
                <c:pt idx="681">
                  <c:v>45554</c:v>
                </c:pt>
                <c:pt idx="682">
                  <c:v>45555</c:v>
                </c:pt>
                <c:pt idx="683">
                  <c:v>45558</c:v>
                </c:pt>
                <c:pt idx="684">
                  <c:v>45559</c:v>
                </c:pt>
                <c:pt idx="685">
                  <c:v>45560</c:v>
                </c:pt>
                <c:pt idx="686">
                  <c:v>45561</c:v>
                </c:pt>
                <c:pt idx="687">
                  <c:v>45562</c:v>
                </c:pt>
                <c:pt idx="688">
                  <c:v>45565</c:v>
                </c:pt>
                <c:pt idx="689">
                  <c:v>45566</c:v>
                </c:pt>
                <c:pt idx="690">
                  <c:v>45567</c:v>
                </c:pt>
                <c:pt idx="691">
                  <c:v>45568</c:v>
                </c:pt>
                <c:pt idx="692">
                  <c:v>45569</c:v>
                </c:pt>
                <c:pt idx="693">
                  <c:v>45572</c:v>
                </c:pt>
                <c:pt idx="694">
                  <c:v>45573</c:v>
                </c:pt>
                <c:pt idx="695">
                  <c:v>45574</c:v>
                </c:pt>
                <c:pt idx="696">
                  <c:v>45575</c:v>
                </c:pt>
                <c:pt idx="697">
                  <c:v>45576</c:v>
                </c:pt>
                <c:pt idx="698">
                  <c:v>45579</c:v>
                </c:pt>
                <c:pt idx="699">
                  <c:v>45580</c:v>
                </c:pt>
                <c:pt idx="700">
                  <c:v>45581</c:v>
                </c:pt>
                <c:pt idx="701">
                  <c:v>45582</c:v>
                </c:pt>
                <c:pt idx="702">
                  <c:v>45583</c:v>
                </c:pt>
                <c:pt idx="703">
                  <c:v>45586</c:v>
                </c:pt>
                <c:pt idx="704">
                  <c:v>45587</c:v>
                </c:pt>
                <c:pt idx="705">
                  <c:v>45588</c:v>
                </c:pt>
                <c:pt idx="706">
                  <c:v>45589</c:v>
                </c:pt>
                <c:pt idx="707">
                  <c:v>45590</c:v>
                </c:pt>
                <c:pt idx="708">
                  <c:v>45593</c:v>
                </c:pt>
                <c:pt idx="709">
                  <c:v>45594</c:v>
                </c:pt>
                <c:pt idx="710">
                  <c:v>45595</c:v>
                </c:pt>
                <c:pt idx="711">
                  <c:v>45596</c:v>
                </c:pt>
                <c:pt idx="712">
                  <c:v>45597</c:v>
                </c:pt>
                <c:pt idx="713">
                  <c:v>45600</c:v>
                </c:pt>
                <c:pt idx="714">
                  <c:v>45601</c:v>
                </c:pt>
                <c:pt idx="715">
                  <c:v>45602</c:v>
                </c:pt>
                <c:pt idx="716">
                  <c:v>45603</c:v>
                </c:pt>
                <c:pt idx="717">
                  <c:v>45604</c:v>
                </c:pt>
                <c:pt idx="718">
                  <c:v>45607</c:v>
                </c:pt>
                <c:pt idx="719">
                  <c:v>45608</c:v>
                </c:pt>
                <c:pt idx="720">
                  <c:v>45609</c:v>
                </c:pt>
                <c:pt idx="721">
                  <c:v>45610</c:v>
                </c:pt>
                <c:pt idx="722">
                  <c:v>45611</c:v>
                </c:pt>
                <c:pt idx="723">
                  <c:v>45614</c:v>
                </c:pt>
                <c:pt idx="724">
                  <c:v>45615</c:v>
                </c:pt>
                <c:pt idx="725">
                  <c:v>45616</c:v>
                </c:pt>
                <c:pt idx="726">
                  <c:v>45617</c:v>
                </c:pt>
                <c:pt idx="727">
                  <c:v>45618</c:v>
                </c:pt>
                <c:pt idx="728">
                  <c:v>45621</c:v>
                </c:pt>
                <c:pt idx="729">
                  <c:v>45622</c:v>
                </c:pt>
                <c:pt idx="730">
                  <c:v>45623</c:v>
                </c:pt>
                <c:pt idx="731">
                  <c:v>45625</c:v>
                </c:pt>
                <c:pt idx="732">
                  <c:v>45628</c:v>
                </c:pt>
                <c:pt idx="733">
                  <c:v>45629</c:v>
                </c:pt>
                <c:pt idx="734">
                  <c:v>45630</c:v>
                </c:pt>
                <c:pt idx="735">
                  <c:v>45631</c:v>
                </c:pt>
                <c:pt idx="736">
                  <c:v>45632</c:v>
                </c:pt>
                <c:pt idx="737">
                  <c:v>45635</c:v>
                </c:pt>
                <c:pt idx="738">
                  <c:v>45636</c:v>
                </c:pt>
                <c:pt idx="739">
                  <c:v>45637</c:v>
                </c:pt>
                <c:pt idx="740">
                  <c:v>45638</c:v>
                </c:pt>
                <c:pt idx="741">
                  <c:v>45639</c:v>
                </c:pt>
                <c:pt idx="742">
                  <c:v>45642</c:v>
                </c:pt>
                <c:pt idx="743">
                  <c:v>45643</c:v>
                </c:pt>
                <c:pt idx="744">
                  <c:v>45644</c:v>
                </c:pt>
                <c:pt idx="745">
                  <c:v>45645</c:v>
                </c:pt>
                <c:pt idx="746">
                  <c:v>45646</c:v>
                </c:pt>
                <c:pt idx="747">
                  <c:v>45649</c:v>
                </c:pt>
                <c:pt idx="748">
                  <c:v>45650</c:v>
                </c:pt>
                <c:pt idx="749">
                  <c:v>45652</c:v>
                </c:pt>
                <c:pt idx="750">
                  <c:v>45653</c:v>
                </c:pt>
                <c:pt idx="751">
                  <c:v>45656</c:v>
                </c:pt>
                <c:pt idx="752">
                  <c:v>45657</c:v>
                </c:pt>
                <c:pt idx="753">
                  <c:v>45659</c:v>
                </c:pt>
                <c:pt idx="754">
                  <c:v>45660</c:v>
                </c:pt>
                <c:pt idx="755">
                  <c:v>45663</c:v>
                </c:pt>
                <c:pt idx="756">
                  <c:v>45664</c:v>
                </c:pt>
                <c:pt idx="757">
                  <c:v>45665</c:v>
                </c:pt>
                <c:pt idx="758">
                  <c:v>45667</c:v>
                </c:pt>
                <c:pt idx="759">
                  <c:v>45670</c:v>
                </c:pt>
                <c:pt idx="760">
                  <c:v>45671</c:v>
                </c:pt>
                <c:pt idx="761">
                  <c:v>45672</c:v>
                </c:pt>
                <c:pt idx="762">
                  <c:v>45673</c:v>
                </c:pt>
                <c:pt idx="763">
                  <c:v>45674</c:v>
                </c:pt>
                <c:pt idx="764">
                  <c:v>45678</c:v>
                </c:pt>
                <c:pt idx="765">
                  <c:v>45679</c:v>
                </c:pt>
                <c:pt idx="766">
                  <c:v>45680</c:v>
                </c:pt>
                <c:pt idx="767">
                  <c:v>45681</c:v>
                </c:pt>
                <c:pt idx="768">
                  <c:v>45684</c:v>
                </c:pt>
                <c:pt idx="769">
                  <c:v>45685</c:v>
                </c:pt>
                <c:pt idx="770">
                  <c:v>45686</c:v>
                </c:pt>
                <c:pt idx="771">
                  <c:v>45687</c:v>
                </c:pt>
                <c:pt idx="772">
                  <c:v>45688</c:v>
                </c:pt>
                <c:pt idx="773">
                  <c:v>45691</c:v>
                </c:pt>
                <c:pt idx="774">
                  <c:v>45692</c:v>
                </c:pt>
                <c:pt idx="775">
                  <c:v>45693</c:v>
                </c:pt>
                <c:pt idx="776">
                  <c:v>45694</c:v>
                </c:pt>
                <c:pt idx="777">
                  <c:v>45695</c:v>
                </c:pt>
                <c:pt idx="778">
                  <c:v>45698</c:v>
                </c:pt>
                <c:pt idx="779">
                  <c:v>45699</c:v>
                </c:pt>
                <c:pt idx="780">
                  <c:v>45700</c:v>
                </c:pt>
                <c:pt idx="781">
                  <c:v>45701</c:v>
                </c:pt>
                <c:pt idx="782">
                  <c:v>45702</c:v>
                </c:pt>
                <c:pt idx="783">
                  <c:v>45706</c:v>
                </c:pt>
                <c:pt idx="784">
                  <c:v>45707</c:v>
                </c:pt>
                <c:pt idx="785">
                  <c:v>45708</c:v>
                </c:pt>
                <c:pt idx="786">
                  <c:v>45709</c:v>
                </c:pt>
                <c:pt idx="787">
                  <c:v>45712</c:v>
                </c:pt>
                <c:pt idx="788">
                  <c:v>45713</c:v>
                </c:pt>
                <c:pt idx="789">
                  <c:v>45714</c:v>
                </c:pt>
                <c:pt idx="790">
                  <c:v>45715</c:v>
                </c:pt>
                <c:pt idx="791">
                  <c:v>45716</c:v>
                </c:pt>
                <c:pt idx="792">
                  <c:v>45719</c:v>
                </c:pt>
                <c:pt idx="793">
                  <c:v>45720</c:v>
                </c:pt>
                <c:pt idx="794">
                  <c:v>45721</c:v>
                </c:pt>
                <c:pt idx="795">
                  <c:v>45722</c:v>
                </c:pt>
                <c:pt idx="796">
                  <c:v>45723</c:v>
                </c:pt>
                <c:pt idx="797">
                  <c:v>45726</c:v>
                </c:pt>
                <c:pt idx="798">
                  <c:v>45727</c:v>
                </c:pt>
                <c:pt idx="799">
                  <c:v>45728</c:v>
                </c:pt>
                <c:pt idx="800">
                  <c:v>45729</c:v>
                </c:pt>
                <c:pt idx="801">
                  <c:v>45730</c:v>
                </c:pt>
                <c:pt idx="802">
                  <c:v>45733</c:v>
                </c:pt>
                <c:pt idx="803">
                  <c:v>45734</c:v>
                </c:pt>
                <c:pt idx="804">
                  <c:v>45735</c:v>
                </c:pt>
                <c:pt idx="805">
                  <c:v>45736</c:v>
                </c:pt>
                <c:pt idx="806">
                  <c:v>45737</c:v>
                </c:pt>
                <c:pt idx="807">
                  <c:v>45740</c:v>
                </c:pt>
                <c:pt idx="808">
                  <c:v>45741</c:v>
                </c:pt>
                <c:pt idx="809">
                  <c:v>45742</c:v>
                </c:pt>
                <c:pt idx="810">
                  <c:v>45743</c:v>
                </c:pt>
                <c:pt idx="811">
                  <c:v>45744</c:v>
                </c:pt>
                <c:pt idx="812">
                  <c:v>45747</c:v>
                </c:pt>
                <c:pt idx="813">
                  <c:v>45748</c:v>
                </c:pt>
                <c:pt idx="814">
                  <c:v>45749</c:v>
                </c:pt>
                <c:pt idx="815">
                  <c:v>45750</c:v>
                </c:pt>
                <c:pt idx="816">
                  <c:v>45751</c:v>
                </c:pt>
                <c:pt idx="817">
                  <c:v>45754</c:v>
                </c:pt>
                <c:pt idx="818">
                  <c:v>45755</c:v>
                </c:pt>
                <c:pt idx="819">
                  <c:v>45756</c:v>
                </c:pt>
                <c:pt idx="820">
                  <c:v>45757</c:v>
                </c:pt>
                <c:pt idx="821">
                  <c:v>45758</c:v>
                </c:pt>
                <c:pt idx="822">
                  <c:v>45761</c:v>
                </c:pt>
                <c:pt idx="823">
                  <c:v>45762</c:v>
                </c:pt>
                <c:pt idx="824">
                  <c:v>45763</c:v>
                </c:pt>
                <c:pt idx="825">
                  <c:v>45764</c:v>
                </c:pt>
                <c:pt idx="826">
                  <c:v>45768</c:v>
                </c:pt>
                <c:pt idx="827">
                  <c:v>45769</c:v>
                </c:pt>
                <c:pt idx="828">
                  <c:v>45770</c:v>
                </c:pt>
                <c:pt idx="829">
                  <c:v>45771</c:v>
                </c:pt>
                <c:pt idx="830">
                  <c:v>45772</c:v>
                </c:pt>
                <c:pt idx="831">
                  <c:v>45775</c:v>
                </c:pt>
                <c:pt idx="832">
                  <c:v>45776</c:v>
                </c:pt>
                <c:pt idx="833">
                  <c:v>45777</c:v>
                </c:pt>
                <c:pt idx="834">
                  <c:v>45778</c:v>
                </c:pt>
                <c:pt idx="835">
                  <c:v>45779</c:v>
                </c:pt>
                <c:pt idx="836">
                  <c:v>45782</c:v>
                </c:pt>
                <c:pt idx="837">
                  <c:v>45783</c:v>
                </c:pt>
                <c:pt idx="838">
                  <c:v>45784</c:v>
                </c:pt>
                <c:pt idx="839">
                  <c:v>45785</c:v>
                </c:pt>
                <c:pt idx="840">
                  <c:v>45786</c:v>
                </c:pt>
                <c:pt idx="841">
                  <c:v>45789</c:v>
                </c:pt>
                <c:pt idx="842">
                  <c:v>45790</c:v>
                </c:pt>
                <c:pt idx="843">
                  <c:v>45791</c:v>
                </c:pt>
                <c:pt idx="844">
                  <c:v>45792</c:v>
                </c:pt>
                <c:pt idx="845">
                  <c:v>45793</c:v>
                </c:pt>
                <c:pt idx="846">
                  <c:v>45796</c:v>
                </c:pt>
                <c:pt idx="847">
                  <c:v>45797</c:v>
                </c:pt>
                <c:pt idx="848">
                  <c:v>45798</c:v>
                </c:pt>
                <c:pt idx="849">
                  <c:v>45799</c:v>
                </c:pt>
                <c:pt idx="850">
                  <c:v>45800</c:v>
                </c:pt>
                <c:pt idx="851">
                  <c:v>45804</c:v>
                </c:pt>
                <c:pt idx="852">
                  <c:v>45805</c:v>
                </c:pt>
                <c:pt idx="853">
                  <c:v>45806</c:v>
                </c:pt>
                <c:pt idx="854">
                  <c:v>45807</c:v>
                </c:pt>
                <c:pt idx="855">
                  <c:v>45810</c:v>
                </c:pt>
                <c:pt idx="856">
                  <c:v>45811</c:v>
                </c:pt>
                <c:pt idx="857">
                  <c:v>45812</c:v>
                </c:pt>
                <c:pt idx="858">
                  <c:v>45813</c:v>
                </c:pt>
                <c:pt idx="859">
                  <c:v>45814</c:v>
                </c:pt>
                <c:pt idx="860">
                  <c:v>45817</c:v>
                </c:pt>
                <c:pt idx="861">
                  <c:v>45818</c:v>
                </c:pt>
                <c:pt idx="862">
                  <c:v>45819</c:v>
                </c:pt>
                <c:pt idx="863">
                  <c:v>45820</c:v>
                </c:pt>
                <c:pt idx="864">
                  <c:v>45821</c:v>
                </c:pt>
                <c:pt idx="865">
                  <c:v>45824</c:v>
                </c:pt>
                <c:pt idx="866">
                  <c:v>45825</c:v>
                </c:pt>
                <c:pt idx="867">
                  <c:v>45826</c:v>
                </c:pt>
                <c:pt idx="868">
                  <c:v>45828</c:v>
                </c:pt>
                <c:pt idx="869">
                  <c:v>45831</c:v>
                </c:pt>
                <c:pt idx="870">
                  <c:v>45832</c:v>
                </c:pt>
                <c:pt idx="871">
                  <c:v>45833</c:v>
                </c:pt>
                <c:pt idx="872">
                  <c:v>45834</c:v>
                </c:pt>
                <c:pt idx="873">
                  <c:v>45835</c:v>
                </c:pt>
                <c:pt idx="874">
                  <c:v>45838</c:v>
                </c:pt>
                <c:pt idx="875">
                  <c:v>45839</c:v>
                </c:pt>
                <c:pt idx="876">
                  <c:v>45840</c:v>
                </c:pt>
                <c:pt idx="877">
                  <c:v>45841</c:v>
                </c:pt>
                <c:pt idx="878">
                  <c:v>45845</c:v>
                </c:pt>
                <c:pt idx="879">
                  <c:v>45846</c:v>
                </c:pt>
                <c:pt idx="880">
                  <c:v>45847</c:v>
                </c:pt>
                <c:pt idx="881">
                  <c:v>45848</c:v>
                </c:pt>
                <c:pt idx="882">
                  <c:v>45849</c:v>
                </c:pt>
                <c:pt idx="883">
                  <c:v>45852</c:v>
                </c:pt>
                <c:pt idx="884">
                  <c:v>45853</c:v>
                </c:pt>
                <c:pt idx="885">
                  <c:v>45854</c:v>
                </c:pt>
                <c:pt idx="886">
                  <c:v>45855</c:v>
                </c:pt>
                <c:pt idx="887">
                  <c:v>45856</c:v>
                </c:pt>
                <c:pt idx="888">
                  <c:v>45859</c:v>
                </c:pt>
                <c:pt idx="889">
                  <c:v>45860</c:v>
                </c:pt>
                <c:pt idx="890">
                  <c:v>45861</c:v>
                </c:pt>
                <c:pt idx="891">
                  <c:v>45862</c:v>
                </c:pt>
                <c:pt idx="892">
                  <c:v>45863</c:v>
                </c:pt>
                <c:pt idx="893">
                  <c:v>45866</c:v>
                </c:pt>
                <c:pt idx="894">
                  <c:v>45867</c:v>
                </c:pt>
                <c:pt idx="895">
                  <c:v>45868</c:v>
                </c:pt>
                <c:pt idx="896">
                  <c:v>45869</c:v>
                </c:pt>
                <c:pt idx="897">
                  <c:v>45870</c:v>
                </c:pt>
                <c:pt idx="898">
                  <c:v>45873</c:v>
                </c:pt>
                <c:pt idx="899">
                  <c:v>45874</c:v>
                </c:pt>
                <c:pt idx="900">
                  <c:v>45875</c:v>
                </c:pt>
                <c:pt idx="901">
                  <c:v>45876</c:v>
                </c:pt>
                <c:pt idx="902">
                  <c:v>45877</c:v>
                </c:pt>
                <c:pt idx="903">
                  <c:v>45880</c:v>
                </c:pt>
                <c:pt idx="904">
                  <c:v>45881</c:v>
                </c:pt>
                <c:pt idx="905">
                  <c:v>45882</c:v>
                </c:pt>
                <c:pt idx="906">
                  <c:v>45883</c:v>
                </c:pt>
                <c:pt idx="907">
                  <c:v>45884</c:v>
                </c:pt>
                <c:pt idx="908">
                  <c:v>45887</c:v>
                </c:pt>
                <c:pt idx="909">
                  <c:v>45888</c:v>
                </c:pt>
                <c:pt idx="910">
                  <c:v>45889</c:v>
                </c:pt>
                <c:pt idx="911">
                  <c:v>45890</c:v>
                </c:pt>
                <c:pt idx="912">
                  <c:v>45891</c:v>
                </c:pt>
                <c:pt idx="913">
                  <c:v>45894</c:v>
                </c:pt>
                <c:pt idx="914">
                  <c:v>45895</c:v>
                </c:pt>
                <c:pt idx="915">
                  <c:v>45896</c:v>
                </c:pt>
                <c:pt idx="916">
                  <c:v>45897</c:v>
                </c:pt>
                <c:pt idx="917">
                  <c:v>45898</c:v>
                </c:pt>
                <c:pt idx="918">
                  <c:v>45902</c:v>
                </c:pt>
                <c:pt idx="919">
                  <c:v>45903</c:v>
                </c:pt>
                <c:pt idx="920">
                  <c:v>45904</c:v>
                </c:pt>
                <c:pt idx="921">
                  <c:v>45905</c:v>
                </c:pt>
                <c:pt idx="922">
                  <c:v>45908</c:v>
                </c:pt>
                <c:pt idx="923">
                  <c:v>45909</c:v>
                </c:pt>
                <c:pt idx="924">
                  <c:v>45910</c:v>
                </c:pt>
                <c:pt idx="925">
                  <c:v>45911</c:v>
                </c:pt>
                <c:pt idx="926">
                  <c:v>45912</c:v>
                </c:pt>
                <c:pt idx="927">
                  <c:v>45915</c:v>
                </c:pt>
                <c:pt idx="928">
                  <c:v>45916</c:v>
                </c:pt>
                <c:pt idx="929">
                  <c:v>45917</c:v>
                </c:pt>
                <c:pt idx="930">
                  <c:v>45918</c:v>
                </c:pt>
                <c:pt idx="931">
                  <c:v>45919</c:v>
                </c:pt>
                <c:pt idx="932">
                  <c:v>45922</c:v>
                </c:pt>
                <c:pt idx="933">
                  <c:v>45923</c:v>
                </c:pt>
                <c:pt idx="934">
                  <c:v>45924</c:v>
                </c:pt>
                <c:pt idx="935">
                  <c:v>45925</c:v>
                </c:pt>
                <c:pt idx="936">
                  <c:v>45926</c:v>
                </c:pt>
                <c:pt idx="937">
                  <c:v>45929</c:v>
                </c:pt>
                <c:pt idx="938">
                  <c:v>45930</c:v>
                </c:pt>
                <c:pt idx="939">
                  <c:v>45931</c:v>
                </c:pt>
                <c:pt idx="940">
                  <c:v>45932</c:v>
                </c:pt>
                <c:pt idx="941">
                  <c:v>45933</c:v>
                </c:pt>
                <c:pt idx="942">
                  <c:v>45936</c:v>
                </c:pt>
                <c:pt idx="943">
                  <c:v>45937</c:v>
                </c:pt>
                <c:pt idx="944">
                  <c:v>45938</c:v>
                </c:pt>
                <c:pt idx="945">
                  <c:v>45939</c:v>
                </c:pt>
                <c:pt idx="946">
                  <c:v>45940</c:v>
                </c:pt>
                <c:pt idx="947">
                  <c:v>45943</c:v>
                </c:pt>
                <c:pt idx="948">
                  <c:v>45944</c:v>
                </c:pt>
                <c:pt idx="949">
                  <c:v>45945</c:v>
                </c:pt>
                <c:pt idx="950">
                  <c:v>45946</c:v>
                </c:pt>
                <c:pt idx="951">
                  <c:v>45947</c:v>
                </c:pt>
                <c:pt idx="952">
                  <c:v>45950</c:v>
                </c:pt>
                <c:pt idx="953">
                  <c:v>45951</c:v>
                </c:pt>
                <c:pt idx="954">
                  <c:v>45952</c:v>
                </c:pt>
                <c:pt idx="955">
                  <c:v>45953</c:v>
                </c:pt>
                <c:pt idx="956">
                  <c:v>45954</c:v>
                </c:pt>
                <c:pt idx="957">
                  <c:v>45957</c:v>
                </c:pt>
                <c:pt idx="958">
                  <c:v>45958</c:v>
                </c:pt>
                <c:pt idx="959">
                  <c:v>45959</c:v>
                </c:pt>
                <c:pt idx="960">
                  <c:v>45960</c:v>
                </c:pt>
                <c:pt idx="961">
                  <c:v>45961</c:v>
                </c:pt>
                <c:pt idx="962">
                  <c:v>45964</c:v>
                </c:pt>
                <c:pt idx="963">
                  <c:v>45965</c:v>
                </c:pt>
                <c:pt idx="964">
                  <c:v>45966</c:v>
                </c:pt>
                <c:pt idx="965">
                  <c:v>45967</c:v>
                </c:pt>
                <c:pt idx="966">
                  <c:v>45968</c:v>
                </c:pt>
                <c:pt idx="967">
                  <c:v>45971</c:v>
                </c:pt>
                <c:pt idx="968">
                  <c:v>45972</c:v>
                </c:pt>
                <c:pt idx="969">
                  <c:v>45973</c:v>
                </c:pt>
                <c:pt idx="970">
                  <c:v>45974</c:v>
                </c:pt>
                <c:pt idx="971">
                  <c:v>45975</c:v>
                </c:pt>
                <c:pt idx="972">
                  <c:v>45978</c:v>
                </c:pt>
                <c:pt idx="973">
                  <c:v>45979</c:v>
                </c:pt>
                <c:pt idx="974">
                  <c:v>45980</c:v>
                </c:pt>
                <c:pt idx="975">
                  <c:v>45981</c:v>
                </c:pt>
                <c:pt idx="976">
                  <c:v>45982</c:v>
                </c:pt>
                <c:pt idx="977">
                  <c:v>45985</c:v>
                </c:pt>
                <c:pt idx="978">
                  <c:v>45986</c:v>
                </c:pt>
                <c:pt idx="979">
                  <c:v>45987</c:v>
                </c:pt>
                <c:pt idx="980">
                  <c:v>45989</c:v>
                </c:pt>
                <c:pt idx="981">
                  <c:v>45992</c:v>
                </c:pt>
                <c:pt idx="982">
                  <c:v>45993</c:v>
                </c:pt>
                <c:pt idx="983">
                  <c:v>45994</c:v>
                </c:pt>
                <c:pt idx="984">
                  <c:v>45995</c:v>
                </c:pt>
                <c:pt idx="985">
                  <c:v>45996</c:v>
                </c:pt>
                <c:pt idx="986">
                  <c:v>45999</c:v>
                </c:pt>
                <c:pt idx="987">
                  <c:v>46000</c:v>
                </c:pt>
                <c:pt idx="988">
                  <c:v>46001</c:v>
                </c:pt>
                <c:pt idx="989">
                  <c:v>46002</c:v>
                </c:pt>
                <c:pt idx="990">
                  <c:v>46003</c:v>
                </c:pt>
                <c:pt idx="991">
                  <c:v>46006</c:v>
                </c:pt>
                <c:pt idx="992">
                  <c:v>46007</c:v>
                </c:pt>
                <c:pt idx="993">
                  <c:v>46008</c:v>
                </c:pt>
                <c:pt idx="994">
                  <c:v>46009</c:v>
                </c:pt>
                <c:pt idx="995">
                  <c:v>46010</c:v>
                </c:pt>
                <c:pt idx="996">
                  <c:v>46013</c:v>
                </c:pt>
                <c:pt idx="997">
                  <c:v>46014</c:v>
                </c:pt>
                <c:pt idx="998">
                  <c:v>46015</c:v>
                </c:pt>
                <c:pt idx="999">
                  <c:v>46017</c:v>
                </c:pt>
                <c:pt idx="1000">
                  <c:v>46020</c:v>
                </c:pt>
                <c:pt idx="1001">
                  <c:v>46021</c:v>
                </c:pt>
                <c:pt idx="1002">
                  <c:v>46022</c:v>
                </c:pt>
                <c:pt idx="1003">
                  <c:v>46024</c:v>
                </c:pt>
                <c:pt idx="1004">
                  <c:v>46027</c:v>
                </c:pt>
                <c:pt idx="1005">
                  <c:v>46028</c:v>
                </c:pt>
                <c:pt idx="1006">
                  <c:v>46029</c:v>
                </c:pt>
                <c:pt idx="1007">
                  <c:v>46030</c:v>
                </c:pt>
                <c:pt idx="1008">
                  <c:v>46031</c:v>
                </c:pt>
                <c:pt idx="1009">
                  <c:v>46034</c:v>
                </c:pt>
                <c:pt idx="1010">
                  <c:v>46035</c:v>
                </c:pt>
                <c:pt idx="1011">
                  <c:v>46036</c:v>
                </c:pt>
                <c:pt idx="1012">
                  <c:v>46037</c:v>
                </c:pt>
                <c:pt idx="1013">
                  <c:v>46038</c:v>
                </c:pt>
                <c:pt idx="1014">
                  <c:v>46042</c:v>
                </c:pt>
                <c:pt idx="1015">
                  <c:v>46043</c:v>
                </c:pt>
                <c:pt idx="1016">
                  <c:v>46044</c:v>
                </c:pt>
                <c:pt idx="1017">
                  <c:v>46045</c:v>
                </c:pt>
                <c:pt idx="1018">
                  <c:v>46048</c:v>
                </c:pt>
                <c:pt idx="1019">
                  <c:v>46049</c:v>
                </c:pt>
                <c:pt idx="1020">
                  <c:v>46050</c:v>
                </c:pt>
                <c:pt idx="1021">
                  <c:v>46051</c:v>
                </c:pt>
                <c:pt idx="1022">
                  <c:v>46052</c:v>
                </c:pt>
                <c:pt idx="1023">
                  <c:v>46055</c:v>
                </c:pt>
                <c:pt idx="1024">
                  <c:v>46056</c:v>
                </c:pt>
                <c:pt idx="1025">
                  <c:v>46057</c:v>
                </c:pt>
                <c:pt idx="1026">
                  <c:v>46058</c:v>
                </c:pt>
                <c:pt idx="1027">
                  <c:v>46059</c:v>
                </c:pt>
                <c:pt idx="1028">
                  <c:v>46062</c:v>
                </c:pt>
                <c:pt idx="1029">
                  <c:v>46063</c:v>
                </c:pt>
                <c:pt idx="1030">
                  <c:v>46064</c:v>
                </c:pt>
                <c:pt idx="1031">
                  <c:v>46065</c:v>
                </c:pt>
                <c:pt idx="1032">
                  <c:v>46066</c:v>
                </c:pt>
                <c:pt idx="1033">
                  <c:v>46070</c:v>
                </c:pt>
                <c:pt idx="1034">
                  <c:v>46071</c:v>
                </c:pt>
                <c:pt idx="1035">
                  <c:v>46072</c:v>
                </c:pt>
                <c:pt idx="1036">
                  <c:v>46073</c:v>
                </c:pt>
                <c:pt idx="1037">
                  <c:v>46076</c:v>
                </c:pt>
                <c:pt idx="1038">
                  <c:v>46077</c:v>
                </c:pt>
                <c:pt idx="1039">
                  <c:v>46078</c:v>
                </c:pt>
                <c:pt idx="1040">
                  <c:v>46079</c:v>
                </c:pt>
                <c:pt idx="1041">
                  <c:v>46080</c:v>
                </c:pt>
                <c:pt idx="1042">
                  <c:v>46083</c:v>
                </c:pt>
                <c:pt idx="1043">
                  <c:v>46084</c:v>
                </c:pt>
                <c:pt idx="1044">
                  <c:v>46085</c:v>
                </c:pt>
                <c:pt idx="1045">
                  <c:v>46086</c:v>
                </c:pt>
                <c:pt idx="1046">
                  <c:v>46087</c:v>
                </c:pt>
                <c:pt idx="1047">
                  <c:v>46090</c:v>
                </c:pt>
                <c:pt idx="1048">
                  <c:v>46091</c:v>
                </c:pt>
                <c:pt idx="1049">
                  <c:v>46092</c:v>
                </c:pt>
                <c:pt idx="1050">
                  <c:v>46093</c:v>
                </c:pt>
                <c:pt idx="1051">
                  <c:v>46094</c:v>
                </c:pt>
                <c:pt idx="1052">
                  <c:v>46097</c:v>
                </c:pt>
                <c:pt idx="1053">
                  <c:v>46098</c:v>
                </c:pt>
                <c:pt idx="1054">
                  <c:v>46099</c:v>
                </c:pt>
                <c:pt idx="1055">
                  <c:v>46100</c:v>
                </c:pt>
                <c:pt idx="1056">
                  <c:v>46101</c:v>
                </c:pt>
                <c:pt idx="1057">
                  <c:v>46104</c:v>
                </c:pt>
                <c:pt idx="1058">
                  <c:v>46105</c:v>
                </c:pt>
                <c:pt idx="1059">
                  <c:v>46106</c:v>
                </c:pt>
                <c:pt idx="1060">
                  <c:v>46107</c:v>
                </c:pt>
                <c:pt idx="1061">
                  <c:v>46108</c:v>
                </c:pt>
                <c:pt idx="1062">
                  <c:v>46111</c:v>
                </c:pt>
                <c:pt idx="1063">
                  <c:v>46112</c:v>
                </c:pt>
                <c:pt idx="1064">
                  <c:v>46113</c:v>
                </c:pt>
                <c:pt idx="1065">
                  <c:v>46114</c:v>
                </c:pt>
                <c:pt idx="1066">
                  <c:v>46118</c:v>
                </c:pt>
                <c:pt idx="1067">
                  <c:v>46119</c:v>
                </c:pt>
                <c:pt idx="1068">
                  <c:v>46120</c:v>
                </c:pt>
                <c:pt idx="1069">
                  <c:v>46121</c:v>
                </c:pt>
                <c:pt idx="1070">
                  <c:v>46122</c:v>
                </c:pt>
                <c:pt idx="1071">
                  <c:v>46125</c:v>
                </c:pt>
                <c:pt idx="1072">
                  <c:v>46126</c:v>
                </c:pt>
                <c:pt idx="1073">
                  <c:v>46127</c:v>
                </c:pt>
                <c:pt idx="1074">
                  <c:v>46128</c:v>
                </c:pt>
                <c:pt idx="1075">
                  <c:v>46129</c:v>
                </c:pt>
                <c:pt idx="1076">
                  <c:v>46132</c:v>
                </c:pt>
                <c:pt idx="1077">
                  <c:v>46133</c:v>
                </c:pt>
                <c:pt idx="1078">
                  <c:v>46134</c:v>
                </c:pt>
                <c:pt idx="1079">
                  <c:v>46135</c:v>
                </c:pt>
                <c:pt idx="1080">
                  <c:v>46136</c:v>
                </c:pt>
                <c:pt idx="1081">
                  <c:v>46139</c:v>
                </c:pt>
                <c:pt idx="1082">
                  <c:v>46140</c:v>
                </c:pt>
                <c:pt idx="1083">
                  <c:v>46141</c:v>
                </c:pt>
                <c:pt idx="1084">
                  <c:v>46142</c:v>
                </c:pt>
                <c:pt idx="1085">
                  <c:v>46143</c:v>
                </c:pt>
                <c:pt idx="1086">
                  <c:v>46146</c:v>
                </c:pt>
                <c:pt idx="1087">
                  <c:v>46147</c:v>
                </c:pt>
                <c:pt idx="1088">
                  <c:v>46148</c:v>
                </c:pt>
                <c:pt idx="1089">
                  <c:v>46149</c:v>
                </c:pt>
                <c:pt idx="1090">
                  <c:v>46150</c:v>
                </c:pt>
                <c:pt idx="1091">
                  <c:v>46153</c:v>
                </c:pt>
                <c:pt idx="1092">
                  <c:v>46154</c:v>
                </c:pt>
                <c:pt idx="1093">
                  <c:v>46155</c:v>
                </c:pt>
                <c:pt idx="1094">
                  <c:v>46156</c:v>
                </c:pt>
                <c:pt idx="1095">
                  <c:v>46157</c:v>
                </c:pt>
                <c:pt idx="1096">
                  <c:v>46160</c:v>
                </c:pt>
                <c:pt idx="1097">
                  <c:v>46161</c:v>
                </c:pt>
                <c:pt idx="1098">
                  <c:v>46162</c:v>
                </c:pt>
                <c:pt idx="1099">
                  <c:v>46163</c:v>
                </c:pt>
                <c:pt idx="1100">
                  <c:v>46164</c:v>
                </c:pt>
                <c:pt idx="1101">
                  <c:v>46168</c:v>
                </c:pt>
                <c:pt idx="1102">
                  <c:v>46169</c:v>
                </c:pt>
                <c:pt idx="1103">
                  <c:v>46170</c:v>
                </c:pt>
                <c:pt idx="1104">
                  <c:v>46171</c:v>
                </c:pt>
                <c:pt idx="1105">
                  <c:v>46174</c:v>
                </c:pt>
                <c:pt idx="1106">
                  <c:v>46175</c:v>
                </c:pt>
                <c:pt idx="1107">
                  <c:v>46176</c:v>
                </c:pt>
                <c:pt idx="1108">
                  <c:v>46177</c:v>
                </c:pt>
                <c:pt idx="1109">
                  <c:v>46178</c:v>
                </c:pt>
                <c:pt idx="1110">
                  <c:v>46181</c:v>
                </c:pt>
                <c:pt idx="1111">
                  <c:v>46182</c:v>
                </c:pt>
                <c:pt idx="1112">
                  <c:v>46183</c:v>
                </c:pt>
                <c:pt idx="1113">
                  <c:v>46184</c:v>
                </c:pt>
                <c:pt idx="1114">
                  <c:v>46185</c:v>
                </c:pt>
                <c:pt idx="1115">
                  <c:v>46188</c:v>
                </c:pt>
                <c:pt idx="1116">
                  <c:v>46189</c:v>
                </c:pt>
                <c:pt idx="1117">
                  <c:v>46190</c:v>
                </c:pt>
                <c:pt idx="1118">
                  <c:v>46191</c:v>
                </c:pt>
                <c:pt idx="1119">
                  <c:v>46195</c:v>
                </c:pt>
                <c:pt idx="1120">
                  <c:v>46196</c:v>
                </c:pt>
                <c:pt idx="1121">
                  <c:v>46197</c:v>
                </c:pt>
                <c:pt idx="1122">
                  <c:v>46198</c:v>
                </c:pt>
                <c:pt idx="1123">
                  <c:v>46199</c:v>
                </c:pt>
                <c:pt idx="1124">
                  <c:v>46202</c:v>
                </c:pt>
                <c:pt idx="1125">
                  <c:v>46203</c:v>
                </c:pt>
                <c:pt idx="1126">
                  <c:v>46204</c:v>
                </c:pt>
                <c:pt idx="1127">
                  <c:v>46205</c:v>
                </c:pt>
                <c:pt idx="1128">
                  <c:v>46209</c:v>
                </c:pt>
              </c:numCache>
            </c:numRef>
          </c:cat>
          <c:val>
            <c:numRef>
              <c:f>'Tech Portfolio'!$F$2:$F$1130</c:f>
              <c:numCache>
                <c:formatCode>0.00</c:formatCode>
                <c:ptCount val="1129"/>
                <c:pt idx="0">
                  <c:v>100</c:v>
                </c:pt>
                <c:pt idx="1">
                  <c:v>99.00153085510469</c:v>
                </c:pt>
                <c:pt idx="2">
                  <c:v>95.842161514086612</c:v>
                </c:pt>
                <c:pt idx="3">
                  <c:v>95.317650608685369</c:v>
                </c:pt>
                <c:pt idx="4">
                  <c:v>94.323753633077004</c:v>
                </c:pt>
                <c:pt idx="5">
                  <c:v>94.768130585657985</c:v>
                </c:pt>
                <c:pt idx="6">
                  <c:v>95.816507751418328</c:v>
                </c:pt>
                <c:pt idx="7">
                  <c:v>96.855333458298134</c:v>
                </c:pt>
                <c:pt idx="8">
                  <c:v>94.640877981703724</c:v>
                </c:pt>
                <c:pt idx="9">
                  <c:v>95.330280977403319</c:v>
                </c:pt>
                <c:pt idx="10">
                  <c:v>93.148586181798635</c:v>
                </c:pt>
                <c:pt idx="11">
                  <c:v>91.693520928029358</c:v>
                </c:pt>
                <c:pt idx="12">
                  <c:v>90.58236127328037</c:v>
                </c:pt>
                <c:pt idx="13">
                  <c:v>88.095857795679535</c:v>
                </c:pt>
                <c:pt idx="14">
                  <c:v>88.21414464110417</c:v>
                </c:pt>
                <c:pt idx="15">
                  <c:v>86.682128593340153</c:v>
                </c:pt>
                <c:pt idx="16">
                  <c:v>87.21958991658137</c:v>
                </c:pt>
                <c:pt idx="17">
                  <c:v>85.13461845788369</c:v>
                </c:pt>
                <c:pt idx="18">
                  <c:v>87.628306976891807</c:v>
                </c:pt>
                <c:pt idx="19">
                  <c:v>90.606938572392295</c:v>
                </c:pt>
                <c:pt idx="20">
                  <c:v>90.857244457556035</c:v>
                </c:pt>
                <c:pt idx="21">
                  <c:v>91.5673193619362</c:v>
                </c:pt>
                <c:pt idx="22">
                  <c:v>89.049017114869372</c:v>
                </c:pt>
                <c:pt idx="23">
                  <c:v>90.453763117161429</c:v>
                </c:pt>
                <c:pt idx="24">
                  <c:v>89.753168168714012</c:v>
                </c:pt>
                <c:pt idx="25">
                  <c:v>90.824265075575155</c:v>
                </c:pt>
                <c:pt idx="26">
                  <c:v>92.236239759443166</c:v>
                </c:pt>
                <c:pt idx="27">
                  <c:v>90.470679352380216</c:v>
                </c:pt>
                <c:pt idx="28">
                  <c:v>88.05290932231415</c:v>
                </c:pt>
                <c:pt idx="29">
                  <c:v>88.208937111336908</c:v>
                </c:pt>
                <c:pt idx="30">
                  <c:v>90.486037799990129</c:v>
                </c:pt>
                <c:pt idx="31">
                  <c:v>90.544278455929131</c:v>
                </c:pt>
                <c:pt idx="32">
                  <c:v>87.880475385170257</c:v>
                </c:pt>
                <c:pt idx="33">
                  <c:v>86.871747581503271</c:v>
                </c:pt>
                <c:pt idx="34">
                  <c:v>85.571219821819653</c:v>
                </c:pt>
                <c:pt idx="35">
                  <c:v>83.188663033854354</c:v>
                </c:pt>
                <c:pt idx="36">
                  <c:v>85.193720486545629</c:v>
                </c:pt>
                <c:pt idx="37">
                  <c:v>86.497490267903643</c:v>
                </c:pt>
                <c:pt idx="38">
                  <c:v>87.105974969914342</c:v>
                </c:pt>
                <c:pt idx="39">
                  <c:v>86.0167512973877</c:v>
                </c:pt>
                <c:pt idx="40">
                  <c:v>87.646000923747508</c:v>
                </c:pt>
                <c:pt idx="41">
                  <c:v>86.388013380423075</c:v>
                </c:pt>
                <c:pt idx="42">
                  <c:v>85.073058802977556</c:v>
                </c:pt>
                <c:pt idx="43">
                  <c:v>82.00681595415783</c:v>
                </c:pt>
                <c:pt idx="44">
                  <c:v>81.898242833746181</c:v>
                </c:pt>
                <c:pt idx="45">
                  <c:v>84.779346863775913</c:v>
                </c:pt>
                <c:pt idx="46">
                  <c:v>83.946520876578703</c:v>
                </c:pt>
                <c:pt idx="47">
                  <c:v>82.063632198264969</c:v>
                </c:pt>
                <c:pt idx="48">
                  <c:v>80.553340133712581</c:v>
                </c:pt>
                <c:pt idx="49">
                  <c:v>83.054576564994989</c:v>
                </c:pt>
                <c:pt idx="50">
                  <c:v>85.785951667355576</c:v>
                </c:pt>
                <c:pt idx="51">
                  <c:v>87.018961375025157</c:v>
                </c:pt>
                <c:pt idx="52">
                  <c:v>88.488559377859715</c:v>
                </c:pt>
                <c:pt idx="53">
                  <c:v>88.68452105851064</c:v>
                </c:pt>
                <c:pt idx="54">
                  <c:v>90.74180149797229</c:v>
                </c:pt>
                <c:pt idx="55">
                  <c:v>89.870547973375068</c:v>
                </c:pt>
                <c:pt idx="56">
                  <c:v>91.441771079801711</c:v>
                </c:pt>
                <c:pt idx="57">
                  <c:v>91.517954865322409</c:v>
                </c:pt>
                <c:pt idx="58">
                  <c:v>93.401938230759512</c:v>
                </c:pt>
                <c:pt idx="59">
                  <c:v>94.837867102333348</c:v>
                </c:pt>
                <c:pt idx="60">
                  <c:v>93.936572945992822</c:v>
                </c:pt>
                <c:pt idx="61">
                  <c:v>92.307473627686349</c:v>
                </c:pt>
                <c:pt idx="62">
                  <c:v>92.428920152270848</c:v>
                </c:pt>
                <c:pt idx="63">
                  <c:v>94.426902841597254</c:v>
                </c:pt>
                <c:pt idx="64">
                  <c:v>92.337430025447063</c:v>
                </c:pt>
                <c:pt idx="65">
                  <c:v>90.287419015966421</c:v>
                </c:pt>
                <c:pt idx="66">
                  <c:v>90.582662307692502</c:v>
                </c:pt>
                <c:pt idx="67">
                  <c:v>89.405371601706122</c:v>
                </c:pt>
                <c:pt idx="68">
                  <c:v>87.06714811451333</c:v>
                </c:pt>
                <c:pt idx="69">
                  <c:v>87.001635609696706</c:v>
                </c:pt>
                <c:pt idx="70">
                  <c:v>88.725389344440117</c:v>
                </c:pt>
                <c:pt idx="71">
                  <c:v>86.684264451772634</c:v>
                </c:pt>
                <c:pt idx="72">
                  <c:v>87.085506694135887</c:v>
                </c:pt>
                <c:pt idx="73">
                  <c:v>88.677360788059715</c:v>
                </c:pt>
                <c:pt idx="74">
                  <c:v>87.709646422306449</c:v>
                </c:pt>
                <c:pt idx="75">
                  <c:v>86.851420438339474</c:v>
                </c:pt>
                <c:pt idx="76">
                  <c:v>84.822861786348795</c:v>
                </c:pt>
                <c:pt idx="77">
                  <c:v>85.466039622219526</c:v>
                </c:pt>
                <c:pt idx="78">
                  <c:v>81.377726872512724</c:v>
                </c:pt>
                <c:pt idx="79">
                  <c:v>81.629430707143058</c:v>
                </c:pt>
                <c:pt idx="80">
                  <c:v>83.858918053023231</c:v>
                </c:pt>
                <c:pt idx="81">
                  <c:v>80.71678032223744</c:v>
                </c:pt>
                <c:pt idx="82">
                  <c:v>81.931564062199428</c:v>
                </c:pt>
                <c:pt idx="83">
                  <c:v>82.177319757298491</c:v>
                </c:pt>
                <c:pt idx="84">
                  <c:v>84.981219718489115</c:v>
                </c:pt>
                <c:pt idx="85">
                  <c:v>80.860290257609336</c:v>
                </c:pt>
                <c:pt idx="86">
                  <c:v>80.322203704154049</c:v>
                </c:pt>
                <c:pt idx="87">
                  <c:v>76.807880590219085</c:v>
                </c:pt>
                <c:pt idx="88">
                  <c:v>77.546767099520977</c:v>
                </c:pt>
                <c:pt idx="89">
                  <c:v>74.998070579844054</c:v>
                </c:pt>
                <c:pt idx="90">
                  <c:v>74.535672601935417</c:v>
                </c:pt>
                <c:pt idx="91">
                  <c:v>77.149282349338762</c:v>
                </c:pt>
                <c:pt idx="92">
                  <c:v>76.07048127493799</c:v>
                </c:pt>
                <c:pt idx="93">
                  <c:v>78.174329866494006</c:v>
                </c:pt>
                <c:pt idx="94">
                  <c:v>74.475940568921374</c:v>
                </c:pt>
                <c:pt idx="95">
                  <c:v>73.973419979980392</c:v>
                </c:pt>
                <c:pt idx="96">
                  <c:v>73.30024828982576</c:v>
                </c:pt>
                <c:pt idx="97">
                  <c:v>74.802406532600244</c:v>
                </c:pt>
                <c:pt idx="98">
                  <c:v>73.11461208769218</c:v>
                </c:pt>
                <c:pt idx="99">
                  <c:v>74.179030657425827</c:v>
                </c:pt>
                <c:pt idx="100">
                  <c:v>76.169458696123073</c:v>
                </c:pt>
                <c:pt idx="101">
                  <c:v>78.906679744179641</c:v>
                </c:pt>
                <c:pt idx="102">
                  <c:v>78.841130292081232</c:v>
                </c:pt>
                <c:pt idx="103">
                  <c:v>78.26499224871398</c:v>
                </c:pt>
                <c:pt idx="104">
                  <c:v>80.059407327970732</c:v>
                </c:pt>
                <c:pt idx="105">
                  <c:v>77.449606415193188</c:v>
                </c:pt>
                <c:pt idx="106">
                  <c:v>77.831291732906195</c:v>
                </c:pt>
                <c:pt idx="107">
                  <c:v>78.449239458573345</c:v>
                </c:pt>
                <c:pt idx="108">
                  <c:v>77.889958396551364</c:v>
                </c:pt>
                <c:pt idx="109">
                  <c:v>76.001264793754615</c:v>
                </c:pt>
                <c:pt idx="110">
                  <c:v>73.405886561152627</c:v>
                </c:pt>
                <c:pt idx="111">
                  <c:v>70.105484780514814</c:v>
                </c:pt>
                <c:pt idx="112">
                  <c:v>70.398205290379138</c:v>
                </c:pt>
                <c:pt idx="113">
                  <c:v>72.116124573732336</c:v>
                </c:pt>
                <c:pt idx="114">
                  <c:v>69.076812592246185</c:v>
                </c:pt>
                <c:pt idx="115">
                  <c:v>69.657199964044281</c:v>
                </c:pt>
                <c:pt idx="116">
                  <c:v>72.11789048647988</c:v>
                </c:pt>
                <c:pt idx="117">
                  <c:v>71.850831241500785</c:v>
                </c:pt>
                <c:pt idx="118">
                  <c:v>72.59059046324019</c:v>
                </c:pt>
                <c:pt idx="119">
                  <c:v>75.050829324934426</c:v>
                </c:pt>
                <c:pt idx="120">
                  <c:v>74.714475703025997</c:v>
                </c:pt>
                <c:pt idx="121">
                  <c:v>72.564418911198203</c:v>
                </c:pt>
                <c:pt idx="122">
                  <c:v>72.480895565881781</c:v>
                </c:pt>
                <c:pt idx="123">
                  <c:v>71.483756732283737</c:v>
                </c:pt>
                <c:pt idx="124">
                  <c:v>71.928302452918587</c:v>
                </c:pt>
                <c:pt idx="125">
                  <c:v>72.837747008663072</c:v>
                </c:pt>
                <c:pt idx="126">
                  <c:v>73.170544661578234</c:v>
                </c:pt>
                <c:pt idx="127">
                  <c:v>74.990569690556271</c:v>
                </c:pt>
                <c:pt idx="128">
                  <c:v>75.277299539233013</c:v>
                </c:pt>
                <c:pt idx="129">
                  <c:v>73.537051657636979</c:v>
                </c:pt>
                <c:pt idx="130">
                  <c:v>72.79165525189201</c:v>
                </c:pt>
                <c:pt idx="131">
                  <c:v>72.76876808858961</c:v>
                </c:pt>
                <c:pt idx="132">
                  <c:v>73.053933893263206</c:v>
                </c:pt>
                <c:pt idx="133">
                  <c:v>74.255893989211316</c:v>
                </c:pt>
                <c:pt idx="134">
                  <c:v>73.56358668981693</c:v>
                </c:pt>
                <c:pt idx="135">
                  <c:v>75.585801130689205</c:v>
                </c:pt>
                <c:pt idx="136">
                  <c:v>76.330658859069771</c:v>
                </c:pt>
                <c:pt idx="137">
                  <c:v>78.027282594907689</c:v>
                </c:pt>
                <c:pt idx="138">
                  <c:v>77.031753318762313</c:v>
                </c:pt>
                <c:pt idx="139">
                  <c:v>76.686370983357037</c:v>
                </c:pt>
                <c:pt idx="140">
                  <c:v>75.162376478737315</c:v>
                </c:pt>
                <c:pt idx="141">
                  <c:v>78.303833981238569</c:v>
                </c:pt>
                <c:pt idx="142">
                  <c:v>79.434962973417498</c:v>
                </c:pt>
                <c:pt idx="143">
                  <c:v>81.440663961732199</c:v>
                </c:pt>
                <c:pt idx="144">
                  <c:v>81.091311771391332</c:v>
                </c:pt>
                <c:pt idx="145">
                  <c:v>80.77858959636221</c:v>
                </c:pt>
                <c:pt idx="146">
                  <c:v>82.624271297959368</c:v>
                </c:pt>
                <c:pt idx="147">
                  <c:v>82.928996327963063</c:v>
                </c:pt>
                <c:pt idx="148">
                  <c:v>81.854846982723316</c:v>
                </c:pt>
                <c:pt idx="149">
                  <c:v>81.589706213757012</c:v>
                </c:pt>
                <c:pt idx="150">
                  <c:v>80.881826367121278</c:v>
                </c:pt>
                <c:pt idx="151">
                  <c:v>83.103436239703427</c:v>
                </c:pt>
                <c:pt idx="152">
                  <c:v>82.649329802907033</c:v>
                </c:pt>
                <c:pt idx="153">
                  <c:v>84.570302162463648</c:v>
                </c:pt>
                <c:pt idx="154">
                  <c:v>85.259646095255263</c:v>
                </c:pt>
                <c:pt idx="155">
                  <c:v>85.094621593101081</c:v>
                </c:pt>
                <c:pt idx="156">
                  <c:v>84.465272771064676</c:v>
                </c:pt>
                <c:pt idx="157">
                  <c:v>84.542562674359317</c:v>
                </c:pt>
                <c:pt idx="158">
                  <c:v>83.012584938020169</c:v>
                </c:pt>
                <c:pt idx="159">
                  <c:v>81.016846120863192</c:v>
                </c:pt>
                <c:pt idx="160">
                  <c:v>81.170674632712803</c:v>
                </c:pt>
                <c:pt idx="161">
                  <c:v>81.309505239858865</c:v>
                </c:pt>
                <c:pt idx="162">
                  <c:v>82.465518067187602</c:v>
                </c:pt>
                <c:pt idx="163">
                  <c:v>79.448401044453007</c:v>
                </c:pt>
                <c:pt idx="164">
                  <c:v>78.675845376609615</c:v>
                </c:pt>
                <c:pt idx="165">
                  <c:v>77.710710791379739</c:v>
                </c:pt>
                <c:pt idx="166">
                  <c:v>77.167748697171135</c:v>
                </c:pt>
                <c:pt idx="167">
                  <c:v>77.317465221174899</c:v>
                </c:pt>
                <c:pt idx="168">
                  <c:v>76.240483438932003</c:v>
                </c:pt>
                <c:pt idx="169">
                  <c:v>75.966895673824581</c:v>
                </c:pt>
                <c:pt idx="170">
                  <c:v>77.394162503891835</c:v>
                </c:pt>
                <c:pt idx="171">
                  <c:v>77.814383145401905</c:v>
                </c:pt>
                <c:pt idx="172">
                  <c:v>79.496131958332711</c:v>
                </c:pt>
                <c:pt idx="173">
                  <c:v>80.644133154537101</c:v>
                </c:pt>
                <c:pt idx="174">
                  <c:v>76.684146889759589</c:v>
                </c:pt>
                <c:pt idx="175">
                  <c:v>77.446298028452944</c:v>
                </c:pt>
                <c:pt idx="176">
                  <c:v>76.532203534985882</c:v>
                </c:pt>
                <c:pt idx="177">
                  <c:v>76.009685263875284</c:v>
                </c:pt>
                <c:pt idx="178">
                  <c:v>76.734968016816936</c:v>
                </c:pt>
                <c:pt idx="179">
                  <c:v>76.180585838810003</c:v>
                </c:pt>
                <c:pt idx="180">
                  <c:v>74.753880756560974</c:v>
                </c:pt>
                <c:pt idx="181">
                  <c:v>73.854142259927798</c:v>
                </c:pt>
                <c:pt idx="182">
                  <c:v>72.311987788922451</c:v>
                </c:pt>
                <c:pt idx="183">
                  <c:v>71.934029645340374</c:v>
                </c:pt>
                <c:pt idx="184">
                  <c:v>72.209053725797219</c:v>
                </c:pt>
                <c:pt idx="185">
                  <c:v>73.283611582663838</c:v>
                </c:pt>
                <c:pt idx="186">
                  <c:v>70.910189994208125</c:v>
                </c:pt>
                <c:pt idx="187">
                  <c:v>69.796619990822137</c:v>
                </c:pt>
                <c:pt idx="188">
                  <c:v>70.462108565112587</c:v>
                </c:pt>
                <c:pt idx="189">
                  <c:v>72.782936102600644</c:v>
                </c:pt>
                <c:pt idx="190">
                  <c:v>72.47439847322228</c:v>
                </c:pt>
                <c:pt idx="191">
                  <c:v>71.889212137845348</c:v>
                </c:pt>
                <c:pt idx="192">
                  <c:v>69.051274827492364</c:v>
                </c:pt>
                <c:pt idx="193">
                  <c:v>68.39599345131208</c:v>
                </c:pt>
                <c:pt idx="194">
                  <c:v>67.54572403674382</c:v>
                </c:pt>
                <c:pt idx="195">
                  <c:v>67.491337201451529</c:v>
                </c:pt>
                <c:pt idx="196">
                  <c:v>69.287511327790611</c:v>
                </c:pt>
                <c:pt idx="197">
                  <c:v>66.910242884382967</c:v>
                </c:pt>
                <c:pt idx="198">
                  <c:v>69.248005808203629</c:v>
                </c:pt>
                <c:pt idx="199">
                  <c:v>69.787389826886312</c:v>
                </c:pt>
                <c:pt idx="200">
                  <c:v>69.493550895612245</c:v>
                </c:pt>
                <c:pt idx="201">
                  <c:v>68.607228663570623</c:v>
                </c:pt>
                <c:pt idx="202">
                  <c:v>70.361765258481483</c:v>
                </c:pt>
                <c:pt idx="203">
                  <c:v>70.884581544930228</c:v>
                </c:pt>
                <c:pt idx="204">
                  <c:v>72.278313983553232</c:v>
                </c:pt>
                <c:pt idx="205">
                  <c:v>70.812313325575161</c:v>
                </c:pt>
                <c:pt idx="206">
                  <c:v>69.943425436401895</c:v>
                </c:pt>
                <c:pt idx="207">
                  <c:v>71.866343771006527</c:v>
                </c:pt>
                <c:pt idx="208">
                  <c:v>71.218184226645604</c:v>
                </c:pt>
                <c:pt idx="209">
                  <c:v>70.566179455086484</c:v>
                </c:pt>
                <c:pt idx="210">
                  <c:v>68.229052382800361</c:v>
                </c:pt>
                <c:pt idx="211">
                  <c:v>67.250678994510821</c:v>
                </c:pt>
                <c:pt idx="212">
                  <c:v>68.004009872215491</c:v>
                </c:pt>
                <c:pt idx="213">
                  <c:v>68.211827156272662</c:v>
                </c:pt>
                <c:pt idx="214">
                  <c:v>68.20407888479096</c:v>
                </c:pt>
                <c:pt idx="215">
                  <c:v>66.214858284717693</c:v>
                </c:pt>
                <c:pt idx="216">
                  <c:v>70.904276683150712</c:v>
                </c:pt>
                <c:pt idx="217">
                  <c:v>72.273769631577395</c:v>
                </c:pt>
                <c:pt idx="218">
                  <c:v>71.274757335268305</c:v>
                </c:pt>
                <c:pt idx="219">
                  <c:v>72.3850424497669</c:v>
                </c:pt>
                <c:pt idx="220">
                  <c:v>71.43318617927261</c:v>
                </c:pt>
                <c:pt idx="221">
                  <c:v>71.290940526595236</c:v>
                </c:pt>
                <c:pt idx="222">
                  <c:v>71.288594469684114</c:v>
                </c:pt>
                <c:pt idx="223">
                  <c:v>70.219443237782315</c:v>
                </c:pt>
                <c:pt idx="224">
                  <c:v>71.275884431968905</c:v>
                </c:pt>
                <c:pt idx="225">
                  <c:v>72.278528646987638</c:v>
                </c:pt>
                <c:pt idx="226">
                  <c:v>71.981755657771672</c:v>
                </c:pt>
                <c:pt idx="227">
                  <c:v>70.754737857112389</c:v>
                </c:pt>
                <c:pt idx="228">
                  <c:v>70.300687909736254</c:v>
                </c:pt>
                <c:pt idx="229">
                  <c:v>73.484144250434184</c:v>
                </c:pt>
                <c:pt idx="230">
                  <c:v>73.367506001271138</c:v>
                </c:pt>
                <c:pt idx="231">
                  <c:v>73.175782745829096</c:v>
                </c:pt>
                <c:pt idx="232">
                  <c:v>71.632633735476503</c:v>
                </c:pt>
                <c:pt idx="233">
                  <c:v>70.334263677043694</c:v>
                </c:pt>
                <c:pt idx="234">
                  <c:v>69.835373524556147</c:v>
                </c:pt>
                <c:pt idx="235">
                  <c:v>70.478583833659286</c:v>
                </c:pt>
                <c:pt idx="236">
                  <c:v>70.253608552031892</c:v>
                </c:pt>
                <c:pt idx="237">
                  <c:v>70.764317424299065</c:v>
                </c:pt>
                <c:pt idx="238">
                  <c:v>71.086719105138314</c:v>
                </c:pt>
                <c:pt idx="239">
                  <c:v>70.457965331669826</c:v>
                </c:pt>
                <c:pt idx="240">
                  <c:v>68.531846660436287</c:v>
                </c:pt>
                <c:pt idx="241">
                  <c:v>67.451880823658996</c:v>
                </c:pt>
                <c:pt idx="242">
                  <c:v>66.685935954803327</c:v>
                </c:pt>
                <c:pt idx="243">
                  <c:v>66.231970341439336</c:v>
                </c:pt>
                <c:pt idx="244">
                  <c:v>67.154481003756032</c:v>
                </c:pt>
                <c:pt idx="245">
                  <c:v>65.426086670413468</c:v>
                </c:pt>
                <c:pt idx="246">
                  <c:v>65.612006720062183</c:v>
                </c:pt>
                <c:pt idx="247">
                  <c:v>64.525735574571513</c:v>
                </c:pt>
                <c:pt idx="248">
                  <c:v>63.788917403749558</c:v>
                </c:pt>
                <c:pt idx="249">
                  <c:v>65.558512757710446</c:v>
                </c:pt>
                <c:pt idx="250">
                  <c:v>65.405022463988246</c:v>
                </c:pt>
                <c:pt idx="251">
                  <c:v>64.430636681334292</c:v>
                </c:pt>
                <c:pt idx="252">
                  <c:v>64.846247551536678</c:v>
                </c:pt>
                <c:pt idx="253">
                  <c:v>63.854012776209998</c:v>
                </c:pt>
                <c:pt idx="254">
                  <c:v>65.400048466867716</c:v>
                </c:pt>
                <c:pt idx="255">
                  <c:v>65.96615638263205</c:v>
                </c:pt>
                <c:pt idx="256">
                  <c:v>66.439578763776552</c:v>
                </c:pt>
                <c:pt idx="257">
                  <c:v>67.742733517935577</c:v>
                </c:pt>
                <c:pt idx="258">
                  <c:v>68.230159991924083</c:v>
                </c:pt>
                <c:pt idx="259">
                  <c:v>68.539763636316664</c:v>
                </c:pt>
                <c:pt idx="260">
                  <c:v>69.02063327271793</c:v>
                </c:pt>
                <c:pt idx="261">
                  <c:v>68.123077584754981</c:v>
                </c:pt>
                <c:pt idx="262">
                  <c:v>67.58484236009366</c:v>
                </c:pt>
                <c:pt idx="263">
                  <c:v>69.44007035540865</c:v>
                </c:pt>
                <c:pt idx="264">
                  <c:v>71.011833876076594</c:v>
                </c:pt>
                <c:pt idx="265">
                  <c:v>70.86955827818656</c:v>
                </c:pt>
                <c:pt idx="266">
                  <c:v>70.672509012510972</c:v>
                </c:pt>
                <c:pt idx="267">
                  <c:v>72.3181698794059</c:v>
                </c:pt>
                <c:pt idx="268">
                  <c:v>73.483899723629506</c:v>
                </c:pt>
                <c:pt idx="269">
                  <c:v>71.951127106839962</c:v>
                </c:pt>
                <c:pt idx="270">
                  <c:v>73.078023666489955</c:v>
                </c:pt>
                <c:pt idx="271">
                  <c:v>74.398528129416505</c:v>
                </c:pt>
                <c:pt idx="272">
                  <c:v>76.52188784117817</c:v>
                </c:pt>
                <c:pt idx="273">
                  <c:v>75.651508011126893</c:v>
                </c:pt>
                <c:pt idx="274">
                  <c:v>75.099003433417323</c:v>
                </c:pt>
                <c:pt idx="275">
                  <c:v>76.586620761077029</c:v>
                </c:pt>
                <c:pt idx="276">
                  <c:v>75.797695765083915</c:v>
                </c:pt>
                <c:pt idx="277">
                  <c:v>75.471209222596599</c:v>
                </c:pt>
                <c:pt idx="278">
                  <c:v>74.965932528299859</c:v>
                </c:pt>
                <c:pt idx="279">
                  <c:v>75.85284955428871</c:v>
                </c:pt>
                <c:pt idx="280">
                  <c:v>76.657483628778095</c:v>
                </c:pt>
                <c:pt idx="281">
                  <c:v>76.90373356993004</c:v>
                </c:pt>
                <c:pt idx="282">
                  <c:v>75.228430352622837</c:v>
                </c:pt>
                <c:pt idx="283">
                  <c:v>75.027865511708768</c:v>
                </c:pt>
                <c:pt idx="284">
                  <c:v>73.074417546313043</c:v>
                </c:pt>
                <c:pt idx="285">
                  <c:v>73.127422264089901</c:v>
                </c:pt>
                <c:pt idx="286">
                  <c:v>73.840002699779618</c:v>
                </c:pt>
                <c:pt idx="287">
                  <c:v>72.627825666479694</c:v>
                </c:pt>
                <c:pt idx="288">
                  <c:v>73.284612614838849</c:v>
                </c:pt>
                <c:pt idx="289">
                  <c:v>73.042141754065597</c:v>
                </c:pt>
                <c:pt idx="290">
                  <c:v>72.517072110826476</c:v>
                </c:pt>
                <c:pt idx="291">
                  <c:v>72.569076096517009</c:v>
                </c:pt>
                <c:pt idx="292">
                  <c:v>74.051853985000733</c:v>
                </c:pt>
                <c:pt idx="293">
                  <c:v>74.098601117257616</c:v>
                </c:pt>
                <c:pt idx="294">
                  <c:v>72.934204176006219</c:v>
                </c:pt>
                <c:pt idx="295">
                  <c:v>73.030687496532323</c:v>
                </c:pt>
                <c:pt idx="296">
                  <c:v>71.553357627063789</c:v>
                </c:pt>
                <c:pt idx="297">
                  <c:v>70.589955426491883</c:v>
                </c:pt>
                <c:pt idx="298">
                  <c:v>70.925996856145517</c:v>
                </c:pt>
                <c:pt idx="299">
                  <c:v>72.499098617726716</c:v>
                </c:pt>
                <c:pt idx="300">
                  <c:v>72.346987213293261</c:v>
                </c:pt>
                <c:pt idx="301">
                  <c:v>74.164784292989012</c:v>
                </c:pt>
                <c:pt idx="302">
                  <c:v>73.68946085006867</c:v>
                </c:pt>
                <c:pt idx="303">
                  <c:v>74.013569817240082</c:v>
                </c:pt>
                <c:pt idx="304">
                  <c:v>75.608803755383917</c:v>
                </c:pt>
                <c:pt idx="305">
                  <c:v>74.492028604856543</c:v>
                </c:pt>
                <c:pt idx="306">
                  <c:v>75.162720234864892</c:v>
                </c:pt>
                <c:pt idx="307">
                  <c:v>75.364019165434414</c:v>
                </c:pt>
                <c:pt idx="308">
                  <c:v>74.967891152540332</c:v>
                </c:pt>
                <c:pt idx="309">
                  <c:v>74.629190337021257</c:v>
                </c:pt>
                <c:pt idx="310">
                  <c:v>76.074399396404175</c:v>
                </c:pt>
                <c:pt idx="311">
                  <c:v>76.594048783377616</c:v>
                </c:pt>
                <c:pt idx="312">
                  <c:v>77.964838096706544</c:v>
                </c:pt>
                <c:pt idx="313">
                  <c:v>77.585287482539272</c:v>
                </c:pt>
                <c:pt idx="314">
                  <c:v>77.180171986514011</c:v>
                </c:pt>
                <c:pt idx="315">
                  <c:v>76.38138325754322</c:v>
                </c:pt>
                <c:pt idx="316">
                  <c:v>77.045247806469291</c:v>
                </c:pt>
                <c:pt idx="317">
                  <c:v>76.913567785094102</c:v>
                </c:pt>
                <c:pt idx="318">
                  <c:v>76.623236826812018</c:v>
                </c:pt>
                <c:pt idx="319">
                  <c:v>75.930193900944417</c:v>
                </c:pt>
                <c:pt idx="320">
                  <c:v>77.402675874192397</c:v>
                </c:pt>
                <c:pt idx="321">
                  <c:v>77.178299042137937</c:v>
                </c:pt>
                <c:pt idx="322">
                  <c:v>77.437943532373438</c:v>
                </c:pt>
                <c:pt idx="323">
                  <c:v>77.355318979928782</c:v>
                </c:pt>
                <c:pt idx="324">
                  <c:v>77.227738851916357</c:v>
                </c:pt>
                <c:pt idx="325">
                  <c:v>76.279641328519389</c:v>
                </c:pt>
                <c:pt idx="326">
                  <c:v>76.177983506167777</c:v>
                </c:pt>
                <c:pt idx="327">
                  <c:v>75.870401140894231</c:v>
                </c:pt>
                <c:pt idx="328">
                  <c:v>74.526339489395824</c:v>
                </c:pt>
                <c:pt idx="329">
                  <c:v>74.975490789190431</c:v>
                </c:pt>
                <c:pt idx="330">
                  <c:v>76.893011446929009</c:v>
                </c:pt>
                <c:pt idx="331">
                  <c:v>77.540461927211524</c:v>
                </c:pt>
                <c:pt idx="332">
                  <c:v>77.203082393048589</c:v>
                </c:pt>
                <c:pt idx="333">
                  <c:v>76.532519564738323</c:v>
                </c:pt>
                <c:pt idx="334">
                  <c:v>76.135367767491275</c:v>
                </c:pt>
                <c:pt idx="335">
                  <c:v>75.860449409185094</c:v>
                </c:pt>
                <c:pt idx="336">
                  <c:v>77.728658413198019</c:v>
                </c:pt>
                <c:pt idx="337">
                  <c:v>77.848437554150934</c:v>
                </c:pt>
                <c:pt idx="338">
                  <c:v>77.406740438933511</c:v>
                </c:pt>
                <c:pt idx="339">
                  <c:v>78.039964296976805</c:v>
                </c:pt>
                <c:pt idx="340">
                  <c:v>78.276812077912368</c:v>
                </c:pt>
                <c:pt idx="341">
                  <c:v>77.846393959346585</c:v>
                </c:pt>
                <c:pt idx="342">
                  <c:v>78.149509904764642</c:v>
                </c:pt>
                <c:pt idx="343">
                  <c:v>78.118856355536693</c:v>
                </c:pt>
                <c:pt idx="344">
                  <c:v>79.424161408759119</c:v>
                </c:pt>
                <c:pt idx="345">
                  <c:v>80.579317492005458</c:v>
                </c:pt>
                <c:pt idx="346">
                  <c:v>80.593054787827427</c:v>
                </c:pt>
                <c:pt idx="347">
                  <c:v>80.959198240093016</c:v>
                </c:pt>
                <c:pt idx="348">
                  <c:v>79.893633777195191</c:v>
                </c:pt>
                <c:pt idx="349">
                  <c:v>79.466198849272132</c:v>
                </c:pt>
                <c:pt idx="350">
                  <c:v>81.33037009646587</c:v>
                </c:pt>
                <c:pt idx="351">
                  <c:v>83.03197187607465</c:v>
                </c:pt>
                <c:pt idx="352">
                  <c:v>83.347425321848036</c:v>
                </c:pt>
                <c:pt idx="353">
                  <c:v>82.709345928963302</c:v>
                </c:pt>
                <c:pt idx="354">
                  <c:v>83.730040059665157</c:v>
                </c:pt>
                <c:pt idx="355">
                  <c:v>84.754059982250581</c:v>
                </c:pt>
                <c:pt idx="356">
                  <c:v>84.725442552890811</c:v>
                </c:pt>
                <c:pt idx="357">
                  <c:v>84.99387934130641</c:v>
                </c:pt>
                <c:pt idx="358">
                  <c:v>84.231053212240013</c:v>
                </c:pt>
                <c:pt idx="359">
                  <c:v>85.138171153182313</c:v>
                </c:pt>
                <c:pt idx="360">
                  <c:v>85.797308896216236</c:v>
                </c:pt>
                <c:pt idx="361">
                  <c:v>87.126703395295962</c:v>
                </c:pt>
                <c:pt idx="362">
                  <c:v>87.899053575143597</c:v>
                </c:pt>
                <c:pt idx="363">
                  <c:v>88.186180804885367</c:v>
                </c:pt>
                <c:pt idx="364">
                  <c:v>89.070019603056465</c:v>
                </c:pt>
                <c:pt idx="365">
                  <c:v>88.705731444496493</c:v>
                </c:pt>
                <c:pt idx="366">
                  <c:v>88.915191641317591</c:v>
                </c:pt>
                <c:pt idx="367">
                  <c:v>87.57937601748192</c:v>
                </c:pt>
                <c:pt idx="368">
                  <c:v>88.601059204092465</c:v>
                </c:pt>
                <c:pt idx="369">
                  <c:v>87.624953204012385</c:v>
                </c:pt>
                <c:pt idx="370">
                  <c:v>86.207251391377753</c:v>
                </c:pt>
                <c:pt idx="371">
                  <c:v>87.63044420845732</c:v>
                </c:pt>
                <c:pt idx="372">
                  <c:v>87.997994794721805</c:v>
                </c:pt>
                <c:pt idx="373">
                  <c:v>87.984453302215499</c:v>
                </c:pt>
                <c:pt idx="374">
                  <c:v>89.166416707195992</c:v>
                </c:pt>
                <c:pt idx="375">
                  <c:v>89.970121143334978</c:v>
                </c:pt>
                <c:pt idx="376">
                  <c:v>89.859163163636794</c:v>
                </c:pt>
                <c:pt idx="377">
                  <c:v>89.204127705581442</c:v>
                </c:pt>
                <c:pt idx="378">
                  <c:v>88.903062493440842</c:v>
                </c:pt>
                <c:pt idx="379">
                  <c:v>88.391961714453643</c:v>
                </c:pt>
                <c:pt idx="380">
                  <c:v>88.872665838308535</c:v>
                </c:pt>
                <c:pt idx="381">
                  <c:v>89.854482953332138</c:v>
                </c:pt>
                <c:pt idx="382">
                  <c:v>91.15230690493236</c:v>
                </c:pt>
                <c:pt idx="383">
                  <c:v>91.343117108743641</c:v>
                </c:pt>
                <c:pt idx="384">
                  <c:v>92.063294471191739</c:v>
                </c:pt>
                <c:pt idx="385">
                  <c:v>92.872490775667345</c:v>
                </c:pt>
                <c:pt idx="386">
                  <c:v>92.823356619847971</c:v>
                </c:pt>
                <c:pt idx="387">
                  <c:v>90.411742336116859</c:v>
                </c:pt>
                <c:pt idx="388">
                  <c:v>90.093374229042524</c:v>
                </c:pt>
                <c:pt idx="389">
                  <c:v>90.800481338238498</c:v>
                </c:pt>
                <c:pt idx="390">
                  <c:v>91.180580259888671</c:v>
                </c:pt>
                <c:pt idx="391">
                  <c:v>90.944387008734452</c:v>
                </c:pt>
                <c:pt idx="392">
                  <c:v>90.126809318415098</c:v>
                </c:pt>
                <c:pt idx="393">
                  <c:v>91.726624892279645</c:v>
                </c:pt>
                <c:pt idx="394">
                  <c:v>91.767545984722858</c:v>
                </c:pt>
                <c:pt idx="395">
                  <c:v>91.203087547298963</c:v>
                </c:pt>
                <c:pt idx="396">
                  <c:v>89.33441737973655</c:v>
                </c:pt>
                <c:pt idx="397">
                  <c:v>89.297707895486695</c:v>
                </c:pt>
                <c:pt idx="398">
                  <c:v>88.793770642457929</c:v>
                </c:pt>
                <c:pt idx="399">
                  <c:v>89.158694034187874</c:v>
                </c:pt>
                <c:pt idx="400">
                  <c:v>88.55288070340255</c:v>
                </c:pt>
                <c:pt idx="401">
                  <c:v>87.472270357987043</c:v>
                </c:pt>
                <c:pt idx="402">
                  <c:v>87.629887862235307</c:v>
                </c:pt>
                <c:pt idx="403">
                  <c:v>87.18035805058804</c:v>
                </c:pt>
                <c:pt idx="404">
                  <c:v>87.908882243213938</c:v>
                </c:pt>
                <c:pt idx="405">
                  <c:v>86.677794594434076</c:v>
                </c:pt>
                <c:pt idx="406">
                  <c:v>85.839952161208785</c:v>
                </c:pt>
                <c:pt idx="407">
                  <c:v>84.984693263125479</c:v>
                </c:pt>
                <c:pt idx="408">
                  <c:v>84.750525037651954</c:v>
                </c:pt>
                <c:pt idx="409">
                  <c:v>86.238970155383441</c:v>
                </c:pt>
                <c:pt idx="410">
                  <c:v>86.224287352885511</c:v>
                </c:pt>
                <c:pt idx="411">
                  <c:v>87.545080564775574</c:v>
                </c:pt>
                <c:pt idx="412">
                  <c:v>85.897963285683403</c:v>
                </c:pt>
                <c:pt idx="413">
                  <c:v>86.775709219738033</c:v>
                </c:pt>
                <c:pt idx="414">
                  <c:v>87.310840809073525</c:v>
                </c:pt>
                <c:pt idx="415">
                  <c:v>89.386593825481015</c:v>
                </c:pt>
                <c:pt idx="416">
                  <c:v>89.847675032457289</c:v>
                </c:pt>
                <c:pt idx="417">
                  <c:v>89.902993152040935</c:v>
                </c:pt>
                <c:pt idx="418">
                  <c:v>89.521960145271748</c:v>
                </c:pt>
                <c:pt idx="419">
                  <c:v>90.032897084934305</c:v>
                </c:pt>
                <c:pt idx="420">
                  <c:v>88.92084395706739</c:v>
                </c:pt>
                <c:pt idx="421">
                  <c:v>88.31616576172182</c:v>
                </c:pt>
                <c:pt idx="422">
                  <c:v>88.448003038657944</c:v>
                </c:pt>
                <c:pt idx="423">
                  <c:v>90.057237877793483</c:v>
                </c:pt>
                <c:pt idx="424">
                  <c:v>89.142029109596621</c:v>
                </c:pt>
                <c:pt idx="425">
                  <c:v>89.59575164203774</c:v>
                </c:pt>
                <c:pt idx="426">
                  <c:v>90.413030007541053</c:v>
                </c:pt>
                <c:pt idx="427">
                  <c:v>89.143941429244691</c:v>
                </c:pt>
                <c:pt idx="428">
                  <c:v>88.926528873359985</c:v>
                </c:pt>
                <c:pt idx="429">
                  <c:v>88.816818844257313</c:v>
                </c:pt>
                <c:pt idx="430">
                  <c:v>87.470228227251695</c:v>
                </c:pt>
                <c:pt idx="431">
                  <c:v>85.91511184410065</c:v>
                </c:pt>
                <c:pt idx="432">
                  <c:v>85.398157626294108</c:v>
                </c:pt>
                <c:pt idx="433">
                  <c:v>85.862231726780365</c:v>
                </c:pt>
                <c:pt idx="434">
                  <c:v>84.405781945692652</c:v>
                </c:pt>
                <c:pt idx="435">
                  <c:v>84.368762797207793</c:v>
                </c:pt>
                <c:pt idx="436">
                  <c:v>84.901280232225858</c:v>
                </c:pt>
                <c:pt idx="437">
                  <c:v>85.208988034566872</c:v>
                </c:pt>
                <c:pt idx="438">
                  <c:v>85.857089479940981</c:v>
                </c:pt>
                <c:pt idx="439">
                  <c:v>84.405757665790517</c:v>
                </c:pt>
                <c:pt idx="440">
                  <c:v>85.796889263121088</c:v>
                </c:pt>
                <c:pt idx="441">
                  <c:v>85.869425734473609</c:v>
                </c:pt>
                <c:pt idx="442">
                  <c:v>87.095364307123248</c:v>
                </c:pt>
                <c:pt idx="443">
                  <c:v>87.450293527330103</c:v>
                </c:pt>
                <c:pt idx="444">
                  <c:v>87.84789505747608</c:v>
                </c:pt>
                <c:pt idx="445">
                  <c:v>88.471264403448345</c:v>
                </c:pt>
                <c:pt idx="446">
                  <c:v>88.015464611709334</c:v>
                </c:pt>
                <c:pt idx="447">
                  <c:v>86.973821090329224</c:v>
                </c:pt>
                <c:pt idx="448">
                  <c:v>87.859365774418663</c:v>
                </c:pt>
                <c:pt idx="449">
                  <c:v>87.689510681157714</c:v>
                </c:pt>
                <c:pt idx="450">
                  <c:v>86.224199099533365</c:v>
                </c:pt>
                <c:pt idx="451">
                  <c:v>85.071333547699098</c:v>
                </c:pt>
                <c:pt idx="452">
                  <c:v>83.70881373260498</c:v>
                </c:pt>
                <c:pt idx="453">
                  <c:v>83.868539723560843</c:v>
                </c:pt>
                <c:pt idx="454">
                  <c:v>84.63372101222825</c:v>
                </c:pt>
                <c:pt idx="455">
                  <c:v>83.198446670435771</c:v>
                </c:pt>
                <c:pt idx="456">
                  <c:v>81.508714398341979</c:v>
                </c:pt>
                <c:pt idx="457">
                  <c:v>81.730130510030179</c:v>
                </c:pt>
                <c:pt idx="458">
                  <c:v>82.40307627887816</c:v>
                </c:pt>
                <c:pt idx="459">
                  <c:v>82.855622145425201</c:v>
                </c:pt>
                <c:pt idx="460">
                  <c:v>84.310988570010537</c:v>
                </c:pt>
                <c:pt idx="461">
                  <c:v>86.134348320783744</c:v>
                </c:pt>
                <c:pt idx="462">
                  <c:v>86.937959547560595</c:v>
                </c:pt>
                <c:pt idx="463">
                  <c:v>87.414708775445831</c:v>
                </c:pt>
                <c:pt idx="464">
                  <c:v>88.036676889163232</c:v>
                </c:pt>
                <c:pt idx="465">
                  <c:v>88.113049030344229</c:v>
                </c:pt>
                <c:pt idx="466">
                  <c:v>87.124382891390482</c:v>
                </c:pt>
                <c:pt idx="467">
                  <c:v>89.04315849270013</c:v>
                </c:pt>
                <c:pt idx="468">
                  <c:v>89.090661939361837</c:v>
                </c:pt>
                <c:pt idx="469">
                  <c:v>91.07513801012378</c:v>
                </c:pt>
                <c:pt idx="470">
                  <c:v>91.323990183888355</c:v>
                </c:pt>
                <c:pt idx="471">
                  <c:v>91.349270199748474</c:v>
                </c:pt>
                <c:pt idx="472">
                  <c:v>91.299546142336709</c:v>
                </c:pt>
                <c:pt idx="473">
                  <c:v>92.188272766709744</c:v>
                </c:pt>
                <c:pt idx="474">
                  <c:v>91.917107635687941</c:v>
                </c:pt>
                <c:pt idx="475">
                  <c:v>92.103585013667072</c:v>
                </c:pt>
                <c:pt idx="476">
                  <c:v>91.950325269892048</c:v>
                </c:pt>
                <c:pt idx="477">
                  <c:v>91.97619736980765</c:v>
                </c:pt>
                <c:pt idx="478">
                  <c:v>92.621922276535855</c:v>
                </c:pt>
                <c:pt idx="479">
                  <c:v>92.304933331558146</c:v>
                </c:pt>
                <c:pt idx="480">
                  <c:v>92.07862818421971</c:v>
                </c:pt>
                <c:pt idx="481">
                  <c:v>92.272453460822376</c:v>
                </c:pt>
                <c:pt idx="482">
                  <c:v>91.323344083870779</c:v>
                </c:pt>
                <c:pt idx="483">
                  <c:v>91.972062602503087</c:v>
                </c:pt>
                <c:pt idx="484">
                  <c:v>91.591133490071712</c:v>
                </c:pt>
                <c:pt idx="485">
                  <c:v>92.647323328162798</c:v>
                </c:pt>
                <c:pt idx="486">
                  <c:v>93.17565381682067</c:v>
                </c:pt>
                <c:pt idx="487">
                  <c:v>92.918373061447483</c:v>
                </c:pt>
                <c:pt idx="488">
                  <c:v>93.289277029566719</c:v>
                </c:pt>
                <c:pt idx="489">
                  <c:v>94.288449655072299</c:v>
                </c:pt>
                <c:pt idx="490">
                  <c:v>94.744005820272662</c:v>
                </c:pt>
                <c:pt idx="491">
                  <c:v>94.931708287546201</c:v>
                </c:pt>
                <c:pt idx="492">
                  <c:v>95.392939402457571</c:v>
                </c:pt>
                <c:pt idx="493">
                  <c:v>96.090432425175294</c:v>
                </c:pt>
                <c:pt idx="494">
                  <c:v>94.478231645949208</c:v>
                </c:pt>
                <c:pt idx="495">
                  <c:v>95.805733658514384</c:v>
                </c:pt>
                <c:pt idx="496">
                  <c:v>95.873077013449773</c:v>
                </c:pt>
                <c:pt idx="497">
                  <c:v>96.293149147438555</c:v>
                </c:pt>
                <c:pt idx="498">
                  <c:v>96.537680680790032</c:v>
                </c:pt>
                <c:pt idx="499">
                  <c:v>96.256185588107925</c:v>
                </c:pt>
                <c:pt idx="500">
                  <c:v>95.770626193125864</c:v>
                </c:pt>
                <c:pt idx="501">
                  <c:v>94.558178361621529</c:v>
                </c:pt>
                <c:pt idx="502">
                  <c:v>93.570563606085528</c:v>
                </c:pt>
                <c:pt idx="503">
                  <c:v>93.007802397476283</c:v>
                </c:pt>
                <c:pt idx="504">
                  <c:v>93.090862578652022</c:v>
                </c:pt>
                <c:pt idx="505">
                  <c:v>94.852254081049836</c:v>
                </c:pt>
                <c:pt idx="506">
                  <c:v>94.657972942464312</c:v>
                </c:pt>
                <c:pt idx="507">
                  <c:v>95.228350128916233</c:v>
                </c:pt>
                <c:pt idx="508">
                  <c:v>95.048984943544355</c:v>
                </c:pt>
                <c:pt idx="509">
                  <c:v>94.804370840338407</c:v>
                </c:pt>
                <c:pt idx="510">
                  <c:v>94.757705777788189</c:v>
                </c:pt>
                <c:pt idx="511">
                  <c:v>94.173383015784509</c:v>
                </c:pt>
                <c:pt idx="512">
                  <c:v>95.577041351209544</c:v>
                </c:pt>
                <c:pt idx="513">
                  <c:v>96.849923405047505</c:v>
                </c:pt>
                <c:pt idx="514">
                  <c:v>96.855856249149781</c:v>
                </c:pt>
                <c:pt idx="515">
                  <c:v>97.214631633195253</c:v>
                </c:pt>
                <c:pt idx="516">
                  <c:v>97.570226804740415</c:v>
                </c:pt>
                <c:pt idx="517">
                  <c:v>97.006606615024054</c:v>
                </c:pt>
                <c:pt idx="518">
                  <c:v>96.869103527441197</c:v>
                </c:pt>
                <c:pt idx="519">
                  <c:v>97.91966843060095</c:v>
                </c:pt>
                <c:pt idx="520">
                  <c:v>97.390061564765489</c:v>
                </c:pt>
                <c:pt idx="521">
                  <c:v>95.214635166966772</c:v>
                </c:pt>
                <c:pt idx="522">
                  <c:v>96.431672354655078</c:v>
                </c:pt>
                <c:pt idx="523">
                  <c:v>97.727273667633256</c:v>
                </c:pt>
                <c:pt idx="524">
                  <c:v>97.471138250714873</c:v>
                </c:pt>
                <c:pt idx="525">
                  <c:v>97.734335299845043</c:v>
                </c:pt>
                <c:pt idx="526">
                  <c:v>98.986768219924784</c:v>
                </c:pt>
                <c:pt idx="527">
                  <c:v>99.431741257743639</c:v>
                </c:pt>
                <c:pt idx="528">
                  <c:v>100.47632812162747</c:v>
                </c:pt>
                <c:pt idx="529">
                  <c:v>99.765216165337307</c:v>
                </c:pt>
                <c:pt idx="530">
                  <c:v>98.069462968567422</c:v>
                </c:pt>
                <c:pt idx="531">
                  <c:v>99.125413645075668</c:v>
                </c:pt>
                <c:pt idx="532">
                  <c:v>99.584586060719218</c:v>
                </c:pt>
                <c:pt idx="533">
                  <c:v>98.941458557904056</c:v>
                </c:pt>
                <c:pt idx="534">
                  <c:v>98.153032754880172</c:v>
                </c:pt>
                <c:pt idx="535">
                  <c:v>98.242029690404607</c:v>
                </c:pt>
                <c:pt idx="536">
                  <c:v>100.78963470571685</c:v>
                </c:pt>
                <c:pt idx="537">
                  <c:v>100.53351420229642</c:v>
                </c:pt>
                <c:pt idx="538">
                  <c:v>100.56295790309737</c:v>
                </c:pt>
                <c:pt idx="539">
                  <c:v>100.76283524084988</c:v>
                </c:pt>
                <c:pt idx="540">
                  <c:v>100.46055737036103</c:v>
                </c:pt>
                <c:pt idx="541">
                  <c:v>101.12771315550471</c:v>
                </c:pt>
                <c:pt idx="542">
                  <c:v>102.16607527084483</c:v>
                </c:pt>
                <c:pt idx="543">
                  <c:v>101.49141854185177</c:v>
                </c:pt>
                <c:pt idx="544">
                  <c:v>99.689233893910782</c:v>
                </c:pt>
                <c:pt idx="545">
                  <c:v>100.13069744010707</c:v>
                </c:pt>
                <c:pt idx="546">
                  <c:v>101.76358578718656</c:v>
                </c:pt>
                <c:pt idx="547">
                  <c:v>100.96396922267601</c:v>
                </c:pt>
                <c:pt idx="548">
                  <c:v>100.49389194821363</c:v>
                </c:pt>
                <c:pt idx="549">
                  <c:v>102.11021976518747</c:v>
                </c:pt>
                <c:pt idx="550">
                  <c:v>101.44407900726351</c:v>
                </c:pt>
                <c:pt idx="551">
                  <c:v>101.40595728750728</c:v>
                </c:pt>
                <c:pt idx="552">
                  <c:v>100.56410978894151</c:v>
                </c:pt>
                <c:pt idx="553">
                  <c:v>101.61126532097401</c:v>
                </c:pt>
                <c:pt idx="554">
                  <c:v>101.94820916275074</c:v>
                </c:pt>
                <c:pt idx="555">
                  <c:v>103.25278112661334</c:v>
                </c:pt>
                <c:pt idx="556">
                  <c:v>103.71537264353216</c:v>
                </c:pt>
                <c:pt idx="557">
                  <c:v>103.83060687779988</c:v>
                </c:pt>
                <c:pt idx="558">
                  <c:v>103.81390412384799</c:v>
                </c:pt>
                <c:pt idx="559">
                  <c:v>103.70722323533019</c:v>
                </c:pt>
                <c:pt idx="560">
                  <c:v>104.27627202923364</c:v>
                </c:pt>
                <c:pt idx="561">
                  <c:v>103.9322190866724</c:v>
                </c:pt>
                <c:pt idx="562">
                  <c:v>104.49146898493984</c:v>
                </c:pt>
                <c:pt idx="563">
                  <c:v>103.45848655023869</c:v>
                </c:pt>
                <c:pt idx="564">
                  <c:v>103.90230779314938</c:v>
                </c:pt>
                <c:pt idx="565">
                  <c:v>102.66221306453829</c:v>
                </c:pt>
                <c:pt idx="566">
                  <c:v>103.55336258671122</c:v>
                </c:pt>
                <c:pt idx="567">
                  <c:v>103.91147859408851</c:v>
                </c:pt>
                <c:pt idx="568">
                  <c:v>104.3344627704225</c:v>
                </c:pt>
                <c:pt idx="569">
                  <c:v>103.55129761286194</c:v>
                </c:pt>
                <c:pt idx="570">
                  <c:v>105.20773319102534</c:v>
                </c:pt>
                <c:pt idx="571">
                  <c:v>103.56975324843789</c:v>
                </c:pt>
                <c:pt idx="572">
                  <c:v>101.63549120715028</c:v>
                </c:pt>
                <c:pt idx="573">
                  <c:v>101.27813324196111</c:v>
                </c:pt>
                <c:pt idx="574">
                  <c:v>100.34786152256632</c:v>
                </c:pt>
                <c:pt idx="575">
                  <c:v>99.210496969557667</c:v>
                </c:pt>
                <c:pt idx="576">
                  <c:v>97.400742630179209</c:v>
                </c:pt>
                <c:pt idx="577">
                  <c:v>98.226951962112679</c:v>
                </c:pt>
                <c:pt idx="578">
                  <c:v>99.741352113358104</c:v>
                </c:pt>
                <c:pt idx="579">
                  <c:v>100.35481548659784</c:v>
                </c:pt>
                <c:pt idx="580">
                  <c:v>100.31317836438143</c:v>
                </c:pt>
                <c:pt idx="581">
                  <c:v>102.04036112151371</c:v>
                </c:pt>
                <c:pt idx="582">
                  <c:v>103.14293821278784</c:v>
                </c:pt>
                <c:pt idx="583">
                  <c:v>100.85445667920435</c:v>
                </c:pt>
                <c:pt idx="584">
                  <c:v>100.48826701328231</c:v>
                </c:pt>
                <c:pt idx="585">
                  <c:v>101.80530175088293</c:v>
                </c:pt>
                <c:pt idx="586">
                  <c:v>103.84681830474337</c:v>
                </c:pt>
                <c:pt idx="587">
                  <c:v>105.10882214399967</c:v>
                </c:pt>
                <c:pt idx="588">
                  <c:v>104.68948731879944</c:v>
                </c:pt>
                <c:pt idx="589">
                  <c:v>104.65738846974889</c:v>
                </c:pt>
                <c:pt idx="590">
                  <c:v>104.82092279518275</c:v>
                </c:pt>
                <c:pt idx="591">
                  <c:v>105.07027875418271</c:v>
                </c:pt>
                <c:pt idx="592">
                  <c:v>105.34202241980155</c:v>
                </c:pt>
                <c:pt idx="593">
                  <c:v>106.46080948304375</c:v>
                </c:pt>
                <c:pt idx="594">
                  <c:v>107.78192424449922</c:v>
                </c:pt>
                <c:pt idx="595">
                  <c:v>107.42277374960611</c:v>
                </c:pt>
                <c:pt idx="596">
                  <c:v>107.61282263753462</c:v>
                </c:pt>
                <c:pt idx="597">
                  <c:v>108.19052207866847</c:v>
                </c:pt>
                <c:pt idx="598">
                  <c:v>108.99231783259791</c:v>
                </c:pt>
                <c:pt idx="599">
                  <c:v>108.48101655799935</c:v>
                </c:pt>
                <c:pt idx="600">
                  <c:v>107.80457239171631</c:v>
                </c:pt>
                <c:pt idx="601">
                  <c:v>109.12720996680925</c:v>
                </c:pt>
                <c:pt idx="602">
                  <c:v>109.5676385708099</c:v>
                </c:pt>
                <c:pt idx="603">
                  <c:v>108.97280361147594</c:v>
                </c:pt>
                <c:pt idx="604">
                  <c:v>107.71222228348982</c:v>
                </c:pt>
                <c:pt idx="605">
                  <c:v>107.85914051694456</c:v>
                </c:pt>
                <c:pt idx="606">
                  <c:v>108.5113682543915</c:v>
                </c:pt>
                <c:pt idx="607">
                  <c:v>108.50991518863771</c:v>
                </c:pt>
                <c:pt idx="608">
                  <c:v>110.63927242725215</c:v>
                </c:pt>
                <c:pt idx="609">
                  <c:v>110.70849815662298</c:v>
                </c:pt>
                <c:pt idx="610">
                  <c:v>110.7295121845838</c:v>
                </c:pt>
                <c:pt idx="611">
                  <c:v>111.21818322634999</c:v>
                </c:pt>
                <c:pt idx="612">
                  <c:v>112.02689511495035</c:v>
                </c:pt>
                <c:pt idx="613">
                  <c:v>114.12488572088888</c:v>
                </c:pt>
                <c:pt idx="614">
                  <c:v>114.63000916990067</c:v>
                </c:pt>
                <c:pt idx="615">
                  <c:v>114.41886541194017</c:v>
                </c:pt>
                <c:pt idx="616">
                  <c:v>116.05732949759499</c:v>
                </c:pt>
                <c:pt idx="617">
                  <c:v>116.27427415157534</c:v>
                </c:pt>
                <c:pt idx="618">
                  <c:v>115.09141560934883</c:v>
                </c:pt>
                <c:pt idx="619">
                  <c:v>114.91194921225008</c:v>
                </c:pt>
                <c:pt idx="620">
                  <c:v>113.81804222850242</c:v>
                </c:pt>
                <c:pt idx="621">
                  <c:v>115.26762849956107</c:v>
                </c:pt>
                <c:pt idx="622">
                  <c:v>116.20556248320372</c:v>
                </c:pt>
                <c:pt idx="623">
                  <c:v>116.08321742036819</c:v>
                </c:pt>
                <c:pt idx="624">
                  <c:v>115.35237145073332</c:v>
                </c:pt>
                <c:pt idx="625">
                  <c:v>116.72602264613026</c:v>
                </c:pt>
                <c:pt idx="626">
                  <c:v>118.46189597138068</c:v>
                </c:pt>
                <c:pt idx="627">
                  <c:v>120.14367203781961</c:v>
                </c:pt>
                <c:pt idx="628">
                  <c:v>121.11316061877386</c:v>
                </c:pt>
                <c:pt idx="629">
                  <c:v>121.35660683140617</c:v>
                </c:pt>
                <c:pt idx="630">
                  <c:v>121.69001917505724</c:v>
                </c:pt>
                <c:pt idx="631">
                  <c:v>123.41940012722468</c:v>
                </c:pt>
                <c:pt idx="632">
                  <c:v>120.16363129954483</c:v>
                </c:pt>
                <c:pt idx="633">
                  <c:v>121.21846946548094</c:v>
                </c:pt>
                <c:pt idx="634">
                  <c:v>121.6407367936181</c:v>
                </c:pt>
                <c:pt idx="635">
                  <c:v>121.75999385301989</c:v>
                </c:pt>
                <c:pt idx="636">
                  <c:v>118.53482806873413</c:v>
                </c:pt>
                <c:pt idx="637">
                  <c:v>117.59930488840828</c:v>
                </c:pt>
                <c:pt idx="638">
                  <c:v>116.22125793949276</c:v>
                </c:pt>
                <c:pt idx="639">
                  <c:v>117.99530581829396</c:v>
                </c:pt>
                <c:pt idx="640">
                  <c:v>117.8449280170604</c:v>
                </c:pt>
                <c:pt idx="641">
                  <c:v>113.00686133756892</c:v>
                </c:pt>
                <c:pt idx="642">
                  <c:v>112.11707421799461</c:v>
                </c:pt>
                <c:pt idx="643">
                  <c:v>113.15790078886974</c:v>
                </c:pt>
                <c:pt idx="644">
                  <c:v>113.63740239373628</c:v>
                </c:pt>
                <c:pt idx="645">
                  <c:v>112.00997584247038</c:v>
                </c:pt>
                <c:pt idx="646">
                  <c:v>114.80348034082648</c:v>
                </c:pt>
                <c:pt idx="647">
                  <c:v>112.08800371838608</c:v>
                </c:pt>
                <c:pt idx="648">
                  <c:v>109.03171138273358</c:v>
                </c:pt>
                <c:pt idx="649">
                  <c:v>105.22967103743493</c:v>
                </c:pt>
                <c:pt idx="650">
                  <c:v>106.31071749354209</c:v>
                </c:pt>
                <c:pt idx="651">
                  <c:v>105.43303895212969</c:v>
                </c:pt>
                <c:pt idx="652">
                  <c:v>108.2831640913364</c:v>
                </c:pt>
                <c:pt idx="653">
                  <c:v>109.0648159835356</c:v>
                </c:pt>
                <c:pt idx="654">
                  <c:v>109.37146650980843</c:v>
                </c:pt>
                <c:pt idx="655">
                  <c:v>111.83128803908737</c:v>
                </c:pt>
                <c:pt idx="656">
                  <c:v>111.81977854705013</c:v>
                </c:pt>
                <c:pt idx="657">
                  <c:v>114.45599411097976</c:v>
                </c:pt>
                <c:pt idx="658">
                  <c:v>114.8405651177959</c:v>
                </c:pt>
                <c:pt idx="659">
                  <c:v>116.16674983200012</c:v>
                </c:pt>
                <c:pt idx="660">
                  <c:v>115.857650309306</c:v>
                </c:pt>
                <c:pt idx="661">
                  <c:v>116.14416570370103</c:v>
                </c:pt>
                <c:pt idx="662">
                  <c:v>114.02639688953975</c:v>
                </c:pt>
                <c:pt idx="663">
                  <c:v>115.72866819427018</c:v>
                </c:pt>
                <c:pt idx="664">
                  <c:v>114.79980798289408</c:v>
                </c:pt>
                <c:pt idx="665">
                  <c:v>114.79826370836932</c:v>
                </c:pt>
                <c:pt idx="666">
                  <c:v>113.6743130283364</c:v>
                </c:pt>
                <c:pt idx="667">
                  <c:v>113.62003244262335</c:v>
                </c:pt>
                <c:pt idx="668">
                  <c:v>114.9656850006084</c:v>
                </c:pt>
                <c:pt idx="669">
                  <c:v>111.53221666159214</c:v>
                </c:pt>
                <c:pt idx="670">
                  <c:v>111.50462041581682</c:v>
                </c:pt>
                <c:pt idx="671">
                  <c:v>112.26754950258059</c:v>
                </c:pt>
                <c:pt idx="672">
                  <c:v>109.25268504549348</c:v>
                </c:pt>
                <c:pt idx="673">
                  <c:v>110.71599464461018</c:v>
                </c:pt>
                <c:pt idx="674">
                  <c:v>111.78588153026598</c:v>
                </c:pt>
                <c:pt idx="675">
                  <c:v>114.02212308114761</c:v>
                </c:pt>
                <c:pt idx="676">
                  <c:v>114.97248273665539</c:v>
                </c:pt>
                <c:pt idx="677">
                  <c:v>115.66617945572301</c:v>
                </c:pt>
                <c:pt idx="678">
                  <c:v>114.85526064223508</c:v>
                </c:pt>
                <c:pt idx="679">
                  <c:v>115.1252075041597</c:v>
                </c:pt>
                <c:pt idx="680">
                  <c:v>114.87662522833348</c:v>
                </c:pt>
                <c:pt idx="681">
                  <c:v>118.0054023473371</c:v>
                </c:pt>
                <c:pt idx="682">
                  <c:v>117.48396844211808</c:v>
                </c:pt>
                <c:pt idx="683">
                  <c:v>118.08108571225304</c:v>
                </c:pt>
                <c:pt idx="684">
                  <c:v>118.89299045345257</c:v>
                </c:pt>
                <c:pt idx="685">
                  <c:v>119.05503988554554</c:v>
                </c:pt>
                <c:pt idx="686">
                  <c:v>119.93359477683398</c:v>
                </c:pt>
                <c:pt idx="687">
                  <c:v>119.4298380044111</c:v>
                </c:pt>
                <c:pt idx="688">
                  <c:v>119.68122883745656</c:v>
                </c:pt>
                <c:pt idx="689">
                  <c:v>117.88425027340101</c:v>
                </c:pt>
                <c:pt idx="690">
                  <c:v>117.66639644166195</c:v>
                </c:pt>
                <c:pt idx="691">
                  <c:v>117.49232418402025</c:v>
                </c:pt>
                <c:pt idx="692">
                  <c:v>118.76883840209499</c:v>
                </c:pt>
                <c:pt idx="693">
                  <c:v>117.48369099649476</c:v>
                </c:pt>
                <c:pt idx="694">
                  <c:v>119.0787314320028</c:v>
                </c:pt>
                <c:pt idx="695">
                  <c:v>119.59622953780442</c:v>
                </c:pt>
                <c:pt idx="696">
                  <c:v>119.54006666859189</c:v>
                </c:pt>
                <c:pt idx="697">
                  <c:v>119.36802100982308</c:v>
                </c:pt>
                <c:pt idx="698">
                  <c:v>120.49124283811203</c:v>
                </c:pt>
                <c:pt idx="699">
                  <c:v>119.5447496888178</c:v>
                </c:pt>
                <c:pt idx="700">
                  <c:v>119.99559309773234</c:v>
                </c:pt>
                <c:pt idx="701">
                  <c:v>120.98134557568072</c:v>
                </c:pt>
                <c:pt idx="702">
                  <c:v>121.23997145581956</c:v>
                </c:pt>
                <c:pt idx="703">
                  <c:v>121.45558953597072</c:v>
                </c:pt>
                <c:pt idx="704">
                  <c:v>121.53374281257949</c:v>
                </c:pt>
                <c:pt idx="705">
                  <c:v>120.07228566996638</c:v>
                </c:pt>
                <c:pt idx="706">
                  <c:v>122.13622212177657</c:v>
                </c:pt>
                <c:pt idx="707">
                  <c:v>123.11089123361066</c:v>
                </c:pt>
                <c:pt idx="708">
                  <c:v>122.63959923655368</c:v>
                </c:pt>
                <c:pt idx="709">
                  <c:v>123.18753979283858</c:v>
                </c:pt>
                <c:pt idx="710">
                  <c:v>122.6381799989781</c:v>
                </c:pt>
                <c:pt idx="711">
                  <c:v>118.86991863558356</c:v>
                </c:pt>
                <c:pt idx="712">
                  <c:v>119.62577517781997</c:v>
                </c:pt>
                <c:pt idx="713">
                  <c:v>119.08349684021127</c:v>
                </c:pt>
                <c:pt idx="714">
                  <c:v>120.91570490571775</c:v>
                </c:pt>
                <c:pt idx="715">
                  <c:v>125.12609983148447</c:v>
                </c:pt>
                <c:pt idx="716">
                  <c:v>127.09653192488901</c:v>
                </c:pt>
                <c:pt idx="717">
                  <c:v>128.05091140464404</c:v>
                </c:pt>
                <c:pt idx="718">
                  <c:v>128.584850186952</c:v>
                </c:pt>
                <c:pt idx="719">
                  <c:v>127.69146700471832</c:v>
                </c:pt>
                <c:pt idx="720">
                  <c:v>127.39757361189594</c:v>
                </c:pt>
                <c:pt idx="721">
                  <c:v>126.43638311944332</c:v>
                </c:pt>
                <c:pt idx="722">
                  <c:v>124.77435743482243</c:v>
                </c:pt>
                <c:pt idx="723">
                  <c:v>126.206827829849</c:v>
                </c:pt>
                <c:pt idx="724">
                  <c:v>127.39500476187536</c:v>
                </c:pt>
                <c:pt idx="725">
                  <c:v>127.06132633959632</c:v>
                </c:pt>
                <c:pt idx="726">
                  <c:v>127.03200776668055</c:v>
                </c:pt>
                <c:pt idx="727">
                  <c:v>127.6592760375372</c:v>
                </c:pt>
                <c:pt idx="728">
                  <c:v>127.34410772147602</c:v>
                </c:pt>
                <c:pt idx="729">
                  <c:v>128.05734848866152</c:v>
                </c:pt>
                <c:pt idx="730">
                  <c:v>127.19326496466327</c:v>
                </c:pt>
                <c:pt idx="731">
                  <c:v>128.50853736329972</c:v>
                </c:pt>
                <c:pt idx="732">
                  <c:v>130.16453999534298</c:v>
                </c:pt>
                <c:pt idx="733">
                  <c:v>130.61564102584086</c:v>
                </c:pt>
                <c:pt idx="734">
                  <c:v>132.21407182685982</c:v>
                </c:pt>
                <c:pt idx="735">
                  <c:v>132.80764568625801</c:v>
                </c:pt>
                <c:pt idx="736">
                  <c:v>134.01238051124713</c:v>
                </c:pt>
                <c:pt idx="737">
                  <c:v>133.60998132700018</c:v>
                </c:pt>
                <c:pt idx="738">
                  <c:v>133.2879670788316</c:v>
                </c:pt>
                <c:pt idx="739">
                  <c:v>135.77761742271505</c:v>
                </c:pt>
                <c:pt idx="740">
                  <c:v>134.9386281324044</c:v>
                </c:pt>
                <c:pt idx="741">
                  <c:v>136.03284529872207</c:v>
                </c:pt>
                <c:pt idx="742">
                  <c:v>138.4228247346725</c:v>
                </c:pt>
                <c:pt idx="743">
                  <c:v>138.78522382591015</c:v>
                </c:pt>
                <c:pt idx="744">
                  <c:v>133.31565062313143</c:v>
                </c:pt>
                <c:pt idx="745">
                  <c:v>132.7145993722983</c:v>
                </c:pt>
                <c:pt idx="746">
                  <c:v>133.61866889423158</c:v>
                </c:pt>
                <c:pt idx="747">
                  <c:v>135.07418600880132</c:v>
                </c:pt>
                <c:pt idx="748">
                  <c:v>137.53256229281928</c:v>
                </c:pt>
                <c:pt idx="749">
                  <c:v>137.0365530825776</c:v>
                </c:pt>
                <c:pt idx="750">
                  <c:v>134.56794404744383</c:v>
                </c:pt>
                <c:pt idx="751">
                  <c:v>132.66502472267388</c:v>
                </c:pt>
                <c:pt idx="752">
                  <c:v>131.1851157637953</c:v>
                </c:pt>
                <c:pt idx="753">
                  <c:v>130.27373871880613</c:v>
                </c:pt>
                <c:pt idx="754">
                  <c:v>133.38613781618193</c:v>
                </c:pt>
                <c:pt idx="755">
                  <c:v>135.44491156056102</c:v>
                </c:pt>
                <c:pt idx="756">
                  <c:v>132.71436557593728</c:v>
                </c:pt>
                <c:pt idx="757">
                  <c:v>132.58717653622119</c:v>
                </c:pt>
                <c:pt idx="758">
                  <c:v>130.92306314376029</c:v>
                </c:pt>
                <c:pt idx="759">
                  <c:v>130.45582989154275</c:v>
                </c:pt>
                <c:pt idx="760">
                  <c:v>130.24463693722629</c:v>
                </c:pt>
                <c:pt idx="761">
                  <c:v>134.41930357778463</c:v>
                </c:pt>
                <c:pt idx="762">
                  <c:v>133.27545347189022</c:v>
                </c:pt>
                <c:pt idx="763">
                  <c:v>135.11168418065881</c:v>
                </c:pt>
                <c:pt idx="764">
                  <c:v>136.04060522819424</c:v>
                </c:pt>
                <c:pt idx="765">
                  <c:v>137.31571012071336</c:v>
                </c:pt>
                <c:pt idx="766">
                  <c:v>137.43985498812987</c:v>
                </c:pt>
                <c:pt idx="767">
                  <c:v>136.60758604736162</c:v>
                </c:pt>
                <c:pt idx="768">
                  <c:v>132.01060451915743</c:v>
                </c:pt>
                <c:pt idx="769">
                  <c:v>134.59665935118065</c:v>
                </c:pt>
                <c:pt idx="770">
                  <c:v>133.75632184428156</c:v>
                </c:pt>
                <c:pt idx="771">
                  <c:v>134.12033914098194</c:v>
                </c:pt>
                <c:pt idx="772">
                  <c:v>133.83567629402646</c:v>
                </c:pt>
                <c:pt idx="773">
                  <c:v>131.26639651004578</c:v>
                </c:pt>
                <c:pt idx="774">
                  <c:v>132.95072624019951</c:v>
                </c:pt>
                <c:pt idx="775">
                  <c:v>132.69920418655934</c:v>
                </c:pt>
                <c:pt idx="776">
                  <c:v>133.17082182530007</c:v>
                </c:pt>
                <c:pt idx="777">
                  <c:v>131.12351219591261</c:v>
                </c:pt>
                <c:pt idx="778">
                  <c:v>131.71128743269</c:v>
                </c:pt>
                <c:pt idx="779">
                  <c:v>130.76130170586237</c:v>
                </c:pt>
                <c:pt idx="780">
                  <c:v>130.80926060529507</c:v>
                </c:pt>
                <c:pt idx="781">
                  <c:v>133.28334307604567</c:v>
                </c:pt>
                <c:pt idx="782">
                  <c:v>133.80323598043461</c:v>
                </c:pt>
                <c:pt idx="783">
                  <c:v>133.70670427288255</c:v>
                </c:pt>
                <c:pt idx="784">
                  <c:v>134.08076890227005</c:v>
                </c:pt>
                <c:pt idx="785">
                  <c:v>133.33175392721483</c:v>
                </c:pt>
                <c:pt idx="786">
                  <c:v>130.26064366731686</c:v>
                </c:pt>
                <c:pt idx="787">
                  <c:v>128.77524153971743</c:v>
                </c:pt>
                <c:pt idx="788">
                  <c:v>126.3844414067003</c:v>
                </c:pt>
                <c:pt idx="789">
                  <c:v>126.42541596948979</c:v>
                </c:pt>
                <c:pt idx="790">
                  <c:v>123.11428250848122</c:v>
                </c:pt>
                <c:pt idx="791">
                  <c:v>125.29260112458522</c:v>
                </c:pt>
                <c:pt idx="792">
                  <c:v>121.99673453867177</c:v>
                </c:pt>
                <c:pt idx="793">
                  <c:v>121.25173966067169</c:v>
                </c:pt>
                <c:pt idx="794">
                  <c:v>123.24416789043815</c:v>
                </c:pt>
                <c:pt idx="795">
                  <c:v>120.13542878370376</c:v>
                </c:pt>
                <c:pt idx="796">
                  <c:v>120.73358045041861</c:v>
                </c:pt>
                <c:pt idx="797">
                  <c:v>114.79738517603015</c:v>
                </c:pt>
                <c:pt idx="798">
                  <c:v>114.59471146647742</c:v>
                </c:pt>
                <c:pt idx="799">
                  <c:v>116.67396580845799</c:v>
                </c:pt>
                <c:pt idx="800">
                  <c:v>114.35234038973641</c:v>
                </c:pt>
                <c:pt idx="801">
                  <c:v>117.35564643123817</c:v>
                </c:pt>
                <c:pt idx="802">
                  <c:v>117.48294259351874</c:v>
                </c:pt>
                <c:pt idx="803">
                  <c:v>115.46731487179116</c:v>
                </c:pt>
                <c:pt idx="804">
                  <c:v>117.24954835130765</c:v>
                </c:pt>
                <c:pt idx="805">
                  <c:v>117.29681886549996</c:v>
                </c:pt>
                <c:pt idx="806">
                  <c:v>117.95729385824517</c:v>
                </c:pt>
                <c:pt idx="807">
                  <c:v>121.34416606417118</c:v>
                </c:pt>
                <c:pt idx="808">
                  <c:v>122.10304149850944</c:v>
                </c:pt>
                <c:pt idx="809">
                  <c:v>119.21977520224357</c:v>
                </c:pt>
                <c:pt idx="810">
                  <c:v>118.73890073714264</c:v>
                </c:pt>
                <c:pt idx="811">
                  <c:v>115.61264609081849</c:v>
                </c:pt>
                <c:pt idx="812">
                  <c:v>115.72145870018247</c:v>
                </c:pt>
                <c:pt idx="813">
                  <c:v>116.9911234396472</c:v>
                </c:pt>
                <c:pt idx="814">
                  <c:v>118.16699346217621</c:v>
                </c:pt>
                <c:pt idx="815">
                  <c:v>111.0379386902153</c:v>
                </c:pt>
                <c:pt idx="816">
                  <c:v>103.95103819329272</c:v>
                </c:pt>
                <c:pt idx="817">
                  <c:v>103.64291577752172</c:v>
                </c:pt>
                <c:pt idx="818">
                  <c:v>101.17644682934272</c:v>
                </c:pt>
                <c:pt idx="819">
                  <c:v>114.35002697883606</c:v>
                </c:pt>
                <c:pt idx="820">
                  <c:v>109.05106555656057</c:v>
                </c:pt>
                <c:pt idx="821">
                  <c:v>111.45682092712737</c:v>
                </c:pt>
                <c:pt idx="822">
                  <c:v>112.13895650253076</c:v>
                </c:pt>
                <c:pt idx="823">
                  <c:v>111.96097008823087</c:v>
                </c:pt>
                <c:pt idx="824">
                  <c:v>108.26179668622311</c:v>
                </c:pt>
                <c:pt idx="825">
                  <c:v>108.10093633278319</c:v>
                </c:pt>
                <c:pt idx="826">
                  <c:v>105.06484687630095</c:v>
                </c:pt>
                <c:pt idx="827">
                  <c:v>108.16029287301856</c:v>
                </c:pt>
                <c:pt idx="828">
                  <c:v>111.05240196420479</c:v>
                </c:pt>
                <c:pt idx="829">
                  <c:v>114.27786347224244</c:v>
                </c:pt>
                <c:pt idx="830">
                  <c:v>116.47168175950699</c:v>
                </c:pt>
                <c:pt idx="831">
                  <c:v>116.2029936331831</c:v>
                </c:pt>
                <c:pt idx="832">
                  <c:v>116.9423645765474</c:v>
                </c:pt>
                <c:pt idx="833">
                  <c:v>116.63603414486457</c:v>
                </c:pt>
                <c:pt idx="834">
                  <c:v>118.55637025276842</c:v>
                </c:pt>
                <c:pt idx="835">
                  <c:v>120.28229090966929</c:v>
                </c:pt>
                <c:pt idx="836">
                  <c:v>119.07158241033049</c:v>
                </c:pt>
                <c:pt idx="837">
                  <c:v>118.0910642973521</c:v>
                </c:pt>
                <c:pt idx="838">
                  <c:v>118.38384827142505</c:v>
                </c:pt>
                <c:pt idx="839">
                  <c:v>119.94739030804669</c:v>
                </c:pt>
                <c:pt idx="840">
                  <c:v>120.58700477273673</c:v>
                </c:pt>
                <c:pt idx="841">
                  <c:v>125.98793578221958</c:v>
                </c:pt>
                <c:pt idx="842">
                  <c:v>128.3980716290632</c:v>
                </c:pt>
                <c:pt idx="843">
                  <c:v>129.42041564731733</c:v>
                </c:pt>
                <c:pt idx="844">
                  <c:v>129.18789739123847</c:v>
                </c:pt>
                <c:pt idx="845">
                  <c:v>130.12622230858634</c:v>
                </c:pt>
                <c:pt idx="846">
                  <c:v>130.09791803540259</c:v>
                </c:pt>
                <c:pt idx="847">
                  <c:v>129.69169535765261</c:v>
                </c:pt>
                <c:pt idx="848">
                  <c:v>127.66392832140761</c:v>
                </c:pt>
                <c:pt idx="849">
                  <c:v>128.41214433309133</c:v>
                </c:pt>
                <c:pt idx="850">
                  <c:v>126.9053711629401</c:v>
                </c:pt>
                <c:pt idx="851">
                  <c:v>130.66277950101477</c:v>
                </c:pt>
                <c:pt idx="852">
                  <c:v>129.77112901262132</c:v>
                </c:pt>
                <c:pt idx="853">
                  <c:v>130.25934382866083</c:v>
                </c:pt>
                <c:pt idx="854">
                  <c:v>129.49925785478226</c:v>
                </c:pt>
                <c:pt idx="855">
                  <c:v>130.15104127911371</c:v>
                </c:pt>
                <c:pt idx="856">
                  <c:v>131.25485955534771</c:v>
                </c:pt>
                <c:pt idx="857">
                  <c:v>131.19338839022723</c:v>
                </c:pt>
                <c:pt idx="858">
                  <c:v>129.12607321270937</c:v>
                </c:pt>
                <c:pt idx="859">
                  <c:v>131.12747227523215</c:v>
                </c:pt>
                <c:pt idx="860">
                  <c:v>131.96341903009062</c:v>
                </c:pt>
                <c:pt idx="861">
                  <c:v>133.46246309806114</c:v>
                </c:pt>
                <c:pt idx="862">
                  <c:v>133.28306590323027</c:v>
                </c:pt>
                <c:pt idx="863">
                  <c:v>133.52763044633636</c:v>
                </c:pt>
                <c:pt idx="864">
                  <c:v>132.35867092044853</c:v>
                </c:pt>
                <c:pt idx="865">
                  <c:v>134.26384891266906</c:v>
                </c:pt>
                <c:pt idx="866">
                  <c:v>132.80059987690379</c:v>
                </c:pt>
                <c:pt idx="867">
                  <c:v>133.35305540375489</c:v>
                </c:pt>
                <c:pt idx="868">
                  <c:v>132.8843677217441</c:v>
                </c:pt>
                <c:pt idx="869">
                  <c:v>134.59877452168155</c:v>
                </c:pt>
                <c:pt idx="870">
                  <c:v>136.38564491689067</c:v>
                </c:pt>
                <c:pt idx="871">
                  <c:v>136.58879867739242</c:v>
                </c:pt>
                <c:pt idx="872">
                  <c:v>137.50926004321985</c:v>
                </c:pt>
                <c:pt idx="873">
                  <c:v>138.16765978635198</c:v>
                </c:pt>
                <c:pt idx="874">
                  <c:v>138.90778395229836</c:v>
                </c:pt>
                <c:pt idx="875">
                  <c:v>137.68089148867693</c:v>
                </c:pt>
                <c:pt idx="876">
                  <c:v>139.89713458443327</c:v>
                </c:pt>
                <c:pt idx="877">
                  <c:v>140.70189348671917</c:v>
                </c:pt>
                <c:pt idx="878">
                  <c:v>138.60652074528537</c:v>
                </c:pt>
                <c:pt idx="879">
                  <c:v>138.52787086738229</c:v>
                </c:pt>
                <c:pt idx="880">
                  <c:v>139.73835248149325</c:v>
                </c:pt>
                <c:pt idx="881">
                  <c:v>140.7757321246884</c:v>
                </c:pt>
                <c:pt idx="882">
                  <c:v>140.976426703941</c:v>
                </c:pt>
                <c:pt idx="883">
                  <c:v>140.91372153780173</c:v>
                </c:pt>
                <c:pt idx="884">
                  <c:v>141.31736217981643</c:v>
                </c:pt>
                <c:pt idx="885">
                  <c:v>142.14132375661487</c:v>
                </c:pt>
                <c:pt idx="886">
                  <c:v>143.15903204134389</c:v>
                </c:pt>
                <c:pt idx="887">
                  <c:v>143.71765511801792</c:v>
                </c:pt>
                <c:pt idx="888">
                  <c:v>143.53623796263949</c:v>
                </c:pt>
                <c:pt idx="889">
                  <c:v>142.87883660544588</c:v>
                </c:pt>
                <c:pt idx="890">
                  <c:v>143.86625293871046</c:v>
                </c:pt>
                <c:pt idx="891">
                  <c:v>143.35360663028217</c:v>
                </c:pt>
                <c:pt idx="892">
                  <c:v>144.5364328902418</c:v>
                </c:pt>
                <c:pt idx="893">
                  <c:v>145.04129253402476</c:v>
                </c:pt>
                <c:pt idx="894">
                  <c:v>144.26229760879437</c:v>
                </c:pt>
                <c:pt idx="895">
                  <c:v>144.55997257364078</c:v>
                </c:pt>
                <c:pt idx="896">
                  <c:v>143.96319885957428</c:v>
                </c:pt>
                <c:pt idx="897">
                  <c:v>140.6742380416319</c:v>
                </c:pt>
                <c:pt idx="898">
                  <c:v>143.41555411797719</c:v>
                </c:pt>
                <c:pt idx="899">
                  <c:v>142.42173280109009</c:v>
                </c:pt>
                <c:pt idx="900">
                  <c:v>144.05273977402976</c:v>
                </c:pt>
                <c:pt idx="901">
                  <c:v>145.49416081402885</c:v>
                </c:pt>
                <c:pt idx="902">
                  <c:v>147.48375338765902</c:v>
                </c:pt>
                <c:pt idx="903">
                  <c:v>147.67512111985985</c:v>
                </c:pt>
                <c:pt idx="904">
                  <c:v>149.18028072228248</c:v>
                </c:pt>
                <c:pt idx="905">
                  <c:v>148.51000683390129</c:v>
                </c:pt>
                <c:pt idx="906">
                  <c:v>148.79163469308946</c:v>
                </c:pt>
                <c:pt idx="907">
                  <c:v>148.24913638138614</c:v>
                </c:pt>
                <c:pt idx="908">
                  <c:v>148.63093711502344</c:v>
                </c:pt>
                <c:pt idx="909">
                  <c:v>146.31733897750544</c:v>
                </c:pt>
                <c:pt idx="910">
                  <c:v>144.81670971382675</c:v>
                </c:pt>
                <c:pt idx="911">
                  <c:v>144.2467640185196</c:v>
                </c:pt>
                <c:pt idx="912">
                  <c:v>147.29678240927234</c:v>
                </c:pt>
                <c:pt idx="913">
                  <c:v>147.28774064646481</c:v>
                </c:pt>
                <c:pt idx="914">
                  <c:v>148.06134516061263</c:v>
                </c:pt>
                <c:pt idx="915">
                  <c:v>148.00302910966664</c:v>
                </c:pt>
                <c:pt idx="916">
                  <c:v>148.57297789679654</c:v>
                </c:pt>
                <c:pt idx="917">
                  <c:v>146.84733368522339</c:v>
                </c:pt>
                <c:pt idx="918">
                  <c:v>145.36670533194098</c:v>
                </c:pt>
                <c:pt idx="919">
                  <c:v>147.13571226656566</c:v>
                </c:pt>
                <c:pt idx="920">
                  <c:v>148.87129486954217</c:v>
                </c:pt>
                <c:pt idx="921">
                  <c:v>149.06077713548484</c:v>
                </c:pt>
                <c:pt idx="922">
                  <c:v>150.52622309318181</c:v>
                </c:pt>
                <c:pt idx="923">
                  <c:v>151.26483981366846</c:v>
                </c:pt>
                <c:pt idx="924">
                  <c:v>151.76308550298577</c:v>
                </c:pt>
                <c:pt idx="925">
                  <c:v>153.66041062917989</c:v>
                </c:pt>
                <c:pt idx="926">
                  <c:v>155.35081751880929</c:v>
                </c:pt>
                <c:pt idx="927">
                  <c:v>157.11920836228418</c:v>
                </c:pt>
                <c:pt idx="928">
                  <c:v>157.58671787795751</c:v>
                </c:pt>
                <c:pt idx="929">
                  <c:v>157.61148092286757</c:v>
                </c:pt>
                <c:pt idx="930">
                  <c:v>158.52031985419168</c:v>
                </c:pt>
                <c:pt idx="931">
                  <c:v>159.93237703516539</c:v>
                </c:pt>
                <c:pt idx="932">
                  <c:v>161.60079606360549</c:v>
                </c:pt>
                <c:pt idx="933">
                  <c:v>160.86174585138292</c:v>
                </c:pt>
                <c:pt idx="934">
                  <c:v>160.83272163817958</c:v>
                </c:pt>
                <c:pt idx="935">
                  <c:v>159.15258532902664</c:v>
                </c:pt>
                <c:pt idx="936">
                  <c:v>160.15200602783943</c:v>
                </c:pt>
                <c:pt idx="937">
                  <c:v>161.96573472348365</c:v>
                </c:pt>
                <c:pt idx="938">
                  <c:v>163.39354465040313</c:v>
                </c:pt>
                <c:pt idx="939">
                  <c:v>165.12603997743358</c:v>
                </c:pt>
                <c:pt idx="940">
                  <c:v>164.84943414774159</c:v>
                </c:pt>
                <c:pt idx="941">
                  <c:v>165.12607998925733</c:v>
                </c:pt>
                <c:pt idx="942">
                  <c:v>167.03852822078895</c:v>
                </c:pt>
                <c:pt idx="943">
                  <c:v>165.11155724314798</c:v>
                </c:pt>
                <c:pt idx="944">
                  <c:v>167.40235791659754</c:v>
                </c:pt>
                <c:pt idx="945">
                  <c:v>166.65043471850751</c:v>
                </c:pt>
                <c:pt idx="946">
                  <c:v>160.00053526726578</c:v>
                </c:pt>
                <c:pt idx="947">
                  <c:v>164.27326661384154</c:v>
                </c:pt>
                <c:pt idx="948">
                  <c:v>162.51150081901974</c:v>
                </c:pt>
                <c:pt idx="949">
                  <c:v>163.79902401759097</c:v>
                </c:pt>
                <c:pt idx="950">
                  <c:v>162.97958941490586</c:v>
                </c:pt>
                <c:pt idx="951">
                  <c:v>163.81496245477331</c:v>
                </c:pt>
                <c:pt idx="952">
                  <c:v>166.31663471484589</c:v>
                </c:pt>
                <c:pt idx="953">
                  <c:v>165.4598980891756</c:v>
                </c:pt>
                <c:pt idx="954">
                  <c:v>163.99914642776397</c:v>
                </c:pt>
                <c:pt idx="955">
                  <c:v>165.95183409575969</c:v>
                </c:pt>
                <c:pt idx="956">
                  <c:v>167.65212790703731</c:v>
                </c:pt>
                <c:pt idx="957">
                  <c:v>171.00367085476091</c:v>
                </c:pt>
                <c:pt idx="958">
                  <c:v>172.58732792641251</c:v>
                </c:pt>
                <c:pt idx="959">
                  <c:v>173.44547851537254</c:v>
                </c:pt>
                <c:pt idx="960">
                  <c:v>170.55974721795585</c:v>
                </c:pt>
                <c:pt idx="961">
                  <c:v>172.13284280498513</c:v>
                </c:pt>
                <c:pt idx="962">
                  <c:v>173.81697956902525</c:v>
                </c:pt>
                <c:pt idx="963">
                  <c:v>169.47007057520995</c:v>
                </c:pt>
                <c:pt idx="964">
                  <c:v>171.33771874985788</c:v>
                </c:pt>
                <c:pt idx="965">
                  <c:v>167.82336632726202</c:v>
                </c:pt>
                <c:pt idx="966">
                  <c:v>167.07158626237791</c:v>
                </c:pt>
                <c:pt idx="967">
                  <c:v>171.41456791382032</c:v>
                </c:pt>
                <c:pt idx="968">
                  <c:v>170.59573076041252</c:v>
                </c:pt>
                <c:pt idx="969">
                  <c:v>170.18897365200763</c:v>
                </c:pt>
                <c:pt idx="970">
                  <c:v>165.3893632456805</c:v>
                </c:pt>
                <c:pt idx="971">
                  <c:v>166.2581690742407</c:v>
                </c:pt>
                <c:pt idx="972">
                  <c:v>164.78366498526282</c:v>
                </c:pt>
                <c:pt idx="973">
                  <c:v>162.11259885004034</c:v>
                </c:pt>
                <c:pt idx="974">
                  <c:v>163.19206502098137</c:v>
                </c:pt>
                <c:pt idx="975">
                  <c:v>158.98672340668216</c:v>
                </c:pt>
                <c:pt idx="976">
                  <c:v>159.97793395206966</c:v>
                </c:pt>
                <c:pt idx="977">
                  <c:v>164.80968194616759</c:v>
                </c:pt>
                <c:pt idx="978">
                  <c:v>165.70823438322174</c:v>
                </c:pt>
                <c:pt idx="979">
                  <c:v>168.13720324988799</c:v>
                </c:pt>
                <c:pt idx="980">
                  <c:v>169.21936521745405</c:v>
                </c:pt>
                <c:pt idx="981">
                  <c:v>168.53258736113622</c:v>
                </c:pt>
                <c:pt idx="982">
                  <c:v>169.39035829245043</c:v>
                </c:pt>
                <c:pt idx="983">
                  <c:v>170.27712070002124</c:v>
                </c:pt>
                <c:pt idx="984">
                  <c:v>170.43748954458081</c:v>
                </c:pt>
                <c:pt idx="985">
                  <c:v>170.73655364719897</c:v>
                </c:pt>
                <c:pt idx="986">
                  <c:v>171.02646031646464</c:v>
                </c:pt>
                <c:pt idx="987">
                  <c:v>171.5320316250945</c:v>
                </c:pt>
                <c:pt idx="988">
                  <c:v>172.68870570237226</c:v>
                </c:pt>
                <c:pt idx="989">
                  <c:v>171.05988392062505</c:v>
                </c:pt>
                <c:pt idx="990">
                  <c:v>168.69130553609421</c:v>
                </c:pt>
                <c:pt idx="991">
                  <c:v>168.17539826403046</c:v>
                </c:pt>
                <c:pt idx="992">
                  <c:v>168.77753037972059</c:v>
                </c:pt>
                <c:pt idx="993">
                  <c:v>165.35232284546106</c:v>
                </c:pt>
                <c:pt idx="994">
                  <c:v>168.57013482028569</c:v>
                </c:pt>
                <c:pt idx="995">
                  <c:v>170.81031207964878</c:v>
                </c:pt>
                <c:pt idx="996">
                  <c:v>172.23152623929525</c:v>
                </c:pt>
                <c:pt idx="997">
                  <c:v>173.04369805941826</c:v>
                </c:pt>
                <c:pt idx="998">
                  <c:v>173.83336804828878</c:v>
                </c:pt>
                <c:pt idx="999">
                  <c:v>173.41253214314619</c:v>
                </c:pt>
                <c:pt idx="1000">
                  <c:v>172.64165879971313</c:v>
                </c:pt>
                <c:pt idx="1001">
                  <c:v>172.04610817434985</c:v>
                </c:pt>
                <c:pt idx="1002">
                  <c:v>170.84681477551862</c:v>
                </c:pt>
                <c:pt idx="1003">
                  <c:v>172.1341347322124</c:v>
                </c:pt>
                <c:pt idx="1004">
                  <c:v>173.68138068050897</c:v>
                </c:pt>
                <c:pt idx="1005">
                  <c:v>174.61165049024854</c:v>
                </c:pt>
                <c:pt idx="1006">
                  <c:v>173.83997081763096</c:v>
                </c:pt>
                <c:pt idx="1007">
                  <c:v>173.19925457281244</c:v>
                </c:pt>
                <c:pt idx="1008">
                  <c:v>175.0979285521467</c:v>
                </c:pt>
                <c:pt idx="1009">
                  <c:v>176.01049594889241</c:v>
                </c:pt>
                <c:pt idx="1010">
                  <c:v>175.5737317004594</c:v>
                </c:pt>
                <c:pt idx="1011">
                  <c:v>173.76272799188442</c:v>
                </c:pt>
                <c:pt idx="1012">
                  <c:v>173.99945376403835</c:v>
                </c:pt>
                <c:pt idx="1013">
                  <c:v>174.64355982875205</c:v>
                </c:pt>
                <c:pt idx="1014">
                  <c:v>170.21066360698188</c:v>
                </c:pt>
                <c:pt idx="1015">
                  <c:v>172.37633794116559</c:v>
                </c:pt>
                <c:pt idx="1016">
                  <c:v>174.34068851016823</c:v>
                </c:pt>
                <c:pt idx="1017">
                  <c:v>175.54978135025124</c:v>
                </c:pt>
                <c:pt idx="1018">
                  <c:v>175.46142123927615</c:v>
                </c:pt>
                <c:pt idx="1019">
                  <c:v>177.28983827541842</c:v>
                </c:pt>
                <c:pt idx="1020">
                  <c:v>178.35548727238753</c:v>
                </c:pt>
                <c:pt idx="1021">
                  <c:v>175.78401647731278</c:v>
                </c:pt>
                <c:pt idx="1022">
                  <c:v>174.64010307998805</c:v>
                </c:pt>
                <c:pt idx="1023">
                  <c:v>175.62678810623768</c:v>
                </c:pt>
                <c:pt idx="1024">
                  <c:v>172.99429846152273</c:v>
                </c:pt>
                <c:pt idx="1025">
                  <c:v>169.46115430403145</c:v>
                </c:pt>
                <c:pt idx="1026">
                  <c:v>166.90593103747747</c:v>
                </c:pt>
                <c:pt idx="1027">
                  <c:v>171.12012390374161</c:v>
                </c:pt>
                <c:pt idx="1028">
                  <c:v>172.35471555161189</c:v>
                </c:pt>
                <c:pt idx="1029">
                  <c:v>172.03117157867257</c:v>
                </c:pt>
                <c:pt idx="1030">
                  <c:v>173.06616460751712</c:v>
                </c:pt>
                <c:pt idx="1031">
                  <c:v>169.8084964913127</c:v>
                </c:pt>
                <c:pt idx="1032">
                  <c:v>169.39223084580186</c:v>
                </c:pt>
                <c:pt idx="1033">
                  <c:v>168.95997502054567</c:v>
                </c:pt>
                <c:pt idx="1034">
                  <c:v>170.3583144205551</c:v>
                </c:pt>
                <c:pt idx="1035">
                  <c:v>169.78777673212835</c:v>
                </c:pt>
                <c:pt idx="1036">
                  <c:v>171.96134121608335</c:v>
                </c:pt>
                <c:pt idx="1037">
                  <c:v>169.69189376173682</c:v>
                </c:pt>
                <c:pt idx="1038">
                  <c:v>171.94188783112065</c:v>
                </c:pt>
                <c:pt idx="1039">
                  <c:v>174.3723506847241</c:v>
                </c:pt>
                <c:pt idx="1040">
                  <c:v>172.00748576118096</c:v>
                </c:pt>
                <c:pt idx="1041">
                  <c:v>170.01313769136232</c:v>
                </c:pt>
                <c:pt idx="1042">
                  <c:v>170.30351722763589</c:v>
                </c:pt>
                <c:pt idx="1043">
                  <c:v>167.06673582904398</c:v>
                </c:pt>
                <c:pt idx="1044">
                  <c:v>169.8029337565801</c:v>
                </c:pt>
                <c:pt idx="1045">
                  <c:v>169.08529559902865</c:v>
                </c:pt>
                <c:pt idx="1046">
                  <c:v>165.24798037523348</c:v>
                </c:pt>
                <c:pt idx="1047">
                  <c:v>167.83593622356457</c:v>
                </c:pt>
                <c:pt idx="1048">
                  <c:v>168.18200558017077</c:v>
                </c:pt>
                <c:pt idx="1049">
                  <c:v>169.43765054033787</c:v>
                </c:pt>
                <c:pt idx="1050">
                  <c:v>165.65922226346478</c:v>
                </c:pt>
                <c:pt idx="1051">
                  <c:v>165.0399900036642</c:v>
                </c:pt>
                <c:pt idx="1052">
                  <c:v>167.29017030990039</c:v>
                </c:pt>
                <c:pt idx="1053">
                  <c:v>169.07094544937721</c:v>
                </c:pt>
                <c:pt idx="1054">
                  <c:v>166.63402477835669</c:v>
                </c:pt>
                <c:pt idx="1055">
                  <c:v>164.96268570520661</c:v>
                </c:pt>
                <c:pt idx="1056">
                  <c:v>161.24472411480596</c:v>
                </c:pt>
                <c:pt idx="1057">
                  <c:v>162.8205493266386</c:v>
                </c:pt>
                <c:pt idx="1058">
                  <c:v>161.54802947074151</c:v>
                </c:pt>
                <c:pt idx="1059">
                  <c:v>162.27255375409604</c:v>
                </c:pt>
                <c:pt idx="1060">
                  <c:v>157.4955586671033</c:v>
                </c:pt>
                <c:pt idx="1061">
                  <c:v>154.69876801584991</c:v>
                </c:pt>
                <c:pt idx="1062">
                  <c:v>152.25367793071555</c:v>
                </c:pt>
                <c:pt idx="1063">
                  <c:v>158.41207141154257</c:v>
                </c:pt>
                <c:pt idx="1064">
                  <c:v>161.08083168354958</c:v>
                </c:pt>
                <c:pt idx="1065">
                  <c:v>160.1850509746497</c:v>
                </c:pt>
                <c:pt idx="1066">
                  <c:v>161.13422955386918</c:v>
                </c:pt>
                <c:pt idx="1067">
                  <c:v>160.97770066222193</c:v>
                </c:pt>
                <c:pt idx="1068">
                  <c:v>165.7377398295416</c:v>
                </c:pt>
                <c:pt idx="1069">
                  <c:v>167.08075660863722</c:v>
                </c:pt>
                <c:pt idx="1070">
                  <c:v>167.55331225183693</c:v>
                </c:pt>
                <c:pt idx="1071">
                  <c:v>169.26550366984219</c:v>
                </c:pt>
                <c:pt idx="1072">
                  <c:v>174.22490747795459</c:v>
                </c:pt>
                <c:pt idx="1073">
                  <c:v>177.17272812316864</c:v>
                </c:pt>
                <c:pt idx="1074">
                  <c:v>176.75688141963965</c:v>
                </c:pt>
                <c:pt idx="1075">
                  <c:v>179.38643146841255</c:v>
                </c:pt>
                <c:pt idx="1076">
                  <c:v>178.31104195669573</c:v>
                </c:pt>
                <c:pt idx="1077">
                  <c:v>177.04394470321216</c:v>
                </c:pt>
                <c:pt idx="1078">
                  <c:v>181.42345669505718</c:v>
                </c:pt>
                <c:pt idx="1079">
                  <c:v>179.04481169941505</c:v>
                </c:pt>
                <c:pt idx="1080">
                  <c:v>182.27007178429454</c:v>
                </c:pt>
                <c:pt idx="1081">
                  <c:v>183.87033803679199</c:v>
                </c:pt>
                <c:pt idx="1082">
                  <c:v>182.05846252513911</c:v>
                </c:pt>
                <c:pt idx="1083">
                  <c:v>181.43060380707428</c:v>
                </c:pt>
                <c:pt idx="1084">
                  <c:v>182.80428437478727</c:v>
                </c:pt>
                <c:pt idx="1085">
                  <c:v>185.19401282747967</c:v>
                </c:pt>
                <c:pt idx="1086">
                  <c:v>186.49295694646014</c:v>
                </c:pt>
                <c:pt idx="1087">
                  <c:v>189.31656215795033</c:v>
                </c:pt>
                <c:pt idx="1088">
                  <c:v>194.10554269581095</c:v>
                </c:pt>
                <c:pt idx="1089">
                  <c:v>193.54561978048088</c:v>
                </c:pt>
                <c:pt idx="1090">
                  <c:v>198.76048280569032</c:v>
                </c:pt>
                <c:pt idx="1091">
                  <c:v>200.87124727729656</c:v>
                </c:pt>
                <c:pt idx="1092">
                  <c:v>198.57792485865525</c:v>
                </c:pt>
                <c:pt idx="1093">
                  <c:v>201.76084088514145</c:v>
                </c:pt>
                <c:pt idx="1094">
                  <c:v>202.82714280232534</c:v>
                </c:pt>
                <c:pt idx="1095">
                  <c:v>198.22491845210661</c:v>
                </c:pt>
                <c:pt idx="1096">
                  <c:v>195.50647222485637</c:v>
                </c:pt>
                <c:pt idx="1097">
                  <c:v>194.3771509577808</c:v>
                </c:pt>
                <c:pt idx="1098">
                  <c:v>198.00818313271324</c:v>
                </c:pt>
                <c:pt idx="1099">
                  <c:v>199.53391626929158</c:v>
                </c:pt>
                <c:pt idx="1100">
                  <c:v>199.22449528796798</c:v>
                </c:pt>
                <c:pt idx="1101">
                  <c:v>205.69493498043627</c:v>
                </c:pt>
                <c:pt idx="1102">
                  <c:v>207.90856630439745</c:v>
                </c:pt>
                <c:pt idx="1103">
                  <c:v>209.69644663441241</c:v>
                </c:pt>
                <c:pt idx="1104">
                  <c:v>211.9810115560667</c:v>
                </c:pt>
                <c:pt idx="1105">
                  <c:v>214.57520933983852</c:v>
                </c:pt>
                <c:pt idx="1106">
                  <c:v>215.52068055077979</c:v>
                </c:pt>
                <c:pt idx="1107">
                  <c:v>213.3005514885138</c:v>
                </c:pt>
                <c:pt idx="1108">
                  <c:v>211.90435826816869</c:v>
                </c:pt>
                <c:pt idx="1109">
                  <c:v>200.72607055847044</c:v>
                </c:pt>
                <c:pt idx="1110">
                  <c:v>204.96493271466676</c:v>
                </c:pt>
                <c:pt idx="1111">
                  <c:v>202.82149786148213</c:v>
                </c:pt>
                <c:pt idx="1112">
                  <c:v>197.84425178086465</c:v>
                </c:pt>
                <c:pt idx="1113">
                  <c:v>204.86269759444724</c:v>
                </c:pt>
                <c:pt idx="1114">
                  <c:v>204.98029861902563</c:v>
                </c:pt>
                <c:pt idx="1115">
                  <c:v>212.92013625520974</c:v>
                </c:pt>
                <c:pt idx="1116">
                  <c:v>208.75222997601753</c:v>
                </c:pt>
                <c:pt idx="1117">
                  <c:v>207.93244645204214</c:v>
                </c:pt>
                <c:pt idx="1118">
                  <c:v>214.54348842065048</c:v>
                </c:pt>
                <c:pt idx="1119">
                  <c:v>215.94499630242098</c:v>
                </c:pt>
                <c:pt idx="1120">
                  <c:v>206.07739891005227</c:v>
                </c:pt>
                <c:pt idx="1121">
                  <c:v>205.0156271497404</c:v>
                </c:pt>
                <c:pt idx="1122">
                  <c:v>208.7018539986866</c:v>
                </c:pt>
                <c:pt idx="1123">
                  <c:v>206.71112799921275</c:v>
                </c:pt>
                <c:pt idx="1124">
                  <c:v>211.51573242675948</c:v>
                </c:pt>
                <c:pt idx="1125">
                  <c:v>214.61742290512476</c:v>
                </c:pt>
                <c:pt idx="1126">
                  <c:v>210.00451430673363</c:v>
                </c:pt>
                <c:pt idx="1127">
                  <c:v>207.20550681857267</c:v>
                </c:pt>
                <c:pt idx="1128">
                  <c:v>211.3770911846629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2D-414E-8056-59C141F5E319}"/>
            </c:ext>
          </c:extLst>
        </c:ser>
        <c:ser>
          <c:idx val="1"/>
          <c:order val="1"/>
          <c:tx>
            <c:v>S&amp;P 500</c:v>
          </c:tx>
          <c:spPr>
            <a:ln w="22000">
              <a:solidFill>
                <a:srgbClr val="8C9BAB"/>
              </a:solidFill>
              <a:prstDash val="solid"/>
            </a:ln>
          </c:spPr>
          <c:marker>
            <c:symbol val="none"/>
          </c:marker>
          <c:cat>
            <c:numRef>
              <c:f>'Tech Portfolio'!$A$2:$A$1130</c:f>
              <c:numCache>
                <c:formatCode>yyyy\-mm\-dd</c:formatCode>
                <c:ptCount val="112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44579</c:v>
                </c:pt>
                <c:pt idx="11">
                  <c:v>44580</c:v>
                </c:pt>
                <c:pt idx="12">
                  <c:v>44581</c:v>
                </c:pt>
                <c:pt idx="13">
                  <c:v>44582</c:v>
                </c:pt>
                <c:pt idx="14">
                  <c:v>44585</c:v>
                </c:pt>
                <c:pt idx="15">
                  <c:v>44586</c:v>
                </c:pt>
                <c:pt idx="16">
                  <c:v>44587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44614</c:v>
                </c:pt>
                <c:pt idx="35">
                  <c:v>44615</c:v>
                </c:pt>
                <c:pt idx="36">
                  <c:v>44616</c:v>
                </c:pt>
                <c:pt idx="37">
                  <c:v>44617</c:v>
                </c:pt>
                <c:pt idx="38">
                  <c:v>44620</c:v>
                </c:pt>
                <c:pt idx="39">
                  <c:v>44621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44672</c:v>
                </c:pt>
                <c:pt idx="76">
                  <c:v>44673</c:v>
                </c:pt>
                <c:pt idx="77">
                  <c:v>44676</c:v>
                </c:pt>
                <c:pt idx="78">
                  <c:v>44677</c:v>
                </c:pt>
                <c:pt idx="79">
                  <c:v>44678</c:v>
                </c:pt>
                <c:pt idx="80">
                  <c:v>44679</c:v>
                </c:pt>
                <c:pt idx="81">
                  <c:v>44680</c:v>
                </c:pt>
                <c:pt idx="82">
                  <c:v>44683</c:v>
                </c:pt>
                <c:pt idx="83">
                  <c:v>44684</c:v>
                </c:pt>
                <c:pt idx="84">
                  <c:v>44685</c:v>
                </c:pt>
                <c:pt idx="85">
                  <c:v>44686</c:v>
                </c:pt>
                <c:pt idx="86">
                  <c:v>44687</c:v>
                </c:pt>
                <c:pt idx="87">
                  <c:v>44690</c:v>
                </c:pt>
                <c:pt idx="88">
                  <c:v>44691</c:v>
                </c:pt>
                <c:pt idx="89">
                  <c:v>44692</c:v>
                </c:pt>
                <c:pt idx="90">
                  <c:v>44693</c:v>
                </c:pt>
                <c:pt idx="91">
                  <c:v>44694</c:v>
                </c:pt>
                <c:pt idx="92">
                  <c:v>44697</c:v>
                </c:pt>
                <c:pt idx="93">
                  <c:v>44698</c:v>
                </c:pt>
                <c:pt idx="94">
                  <c:v>44699</c:v>
                </c:pt>
                <c:pt idx="95">
                  <c:v>44700</c:v>
                </c:pt>
                <c:pt idx="96">
                  <c:v>44701</c:v>
                </c:pt>
                <c:pt idx="97">
                  <c:v>44704</c:v>
                </c:pt>
                <c:pt idx="98">
                  <c:v>44705</c:v>
                </c:pt>
                <c:pt idx="99">
                  <c:v>44706</c:v>
                </c:pt>
                <c:pt idx="100">
                  <c:v>44707</c:v>
                </c:pt>
                <c:pt idx="101">
                  <c:v>44708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44728</c:v>
                </c:pt>
                <c:pt idx="115">
                  <c:v>44729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44782</c:v>
                </c:pt>
                <c:pt idx="151">
                  <c:v>44783</c:v>
                </c:pt>
                <c:pt idx="152">
                  <c:v>44784</c:v>
                </c:pt>
                <c:pt idx="153">
                  <c:v>44785</c:v>
                </c:pt>
                <c:pt idx="154">
                  <c:v>44788</c:v>
                </c:pt>
                <c:pt idx="155">
                  <c:v>44789</c:v>
                </c:pt>
                <c:pt idx="156">
                  <c:v>44790</c:v>
                </c:pt>
                <c:pt idx="157">
                  <c:v>44791</c:v>
                </c:pt>
                <c:pt idx="158">
                  <c:v>44792</c:v>
                </c:pt>
                <c:pt idx="159">
                  <c:v>44795</c:v>
                </c:pt>
                <c:pt idx="160">
                  <c:v>44796</c:v>
                </c:pt>
                <c:pt idx="161">
                  <c:v>44797</c:v>
                </c:pt>
                <c:pt idx="162">
                  <c:v>44798</c:v>
                </c:pt>
                <c:pt idx="163">
                  <c:v>44799</c:v>
                </c:pt>
                <c:pt idx="164">
                  <c:v>44802</c:v>
                </c:pt>
                <c:pt idx="165">
                  <c:v>44803</c:v>
                </c:pt>
                <c:pt idx="166">
                  <c:v>44804</c:v>
                </c:pt>
                <c:pt idx="167">
                  <c:v>44805</c:v>
                </c:pt>
                <c:pt idx="168">
                  <c:v>44806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44816</c:v>
                </c:pt>
                <c:pt idx="174">
                  <c:v>44817</c:v>
                </c:pt>
                <c:pt idx="175">
                  <c:v>44818</c:v>
                </c:pt>
                <c:pt idx="176">
                  <c:v>44819</c:v>
                </c:pt>
                <c:pt idx="177">
                  <c:v>44820</c:v>
                </c:pt>
                <c:pt idx="178">
                  <c:v>44823</c:v>
                </c:pt>
                <c:pt idx="179">
                  <c:v>44824</c:v>
                </c:pt>
                <c:pt idx="180">
                  <c:v>44825</c:v>
                </c:pt>
                <c:pt idx="181">
                  <c:v>44826</c:v>
                </c:pt>
                <c:pt idx="182">
                  <c:v>44827</c:v>
                </c:pt>
                <c:pt idx="183">
                  <c:v>44830</c:v>
                </c:pt>
                <c:pt idx="184">
                  <c:v>44831</c:v>
                </c:pt>
                <c:pt idx="185">
                  <c:v>44832</c:v>
                </c:pt>
                <c:pt idx="186">
                  <c:v>44833</c:v>
                </c:pt>
                <c:pt idx="187">
                  <c:v>44834</c:v>
                </c:pt>
                <c:pt idx="188">
                  <c:v>44837</c:v>
                </c:pt>
                <c:pt idx="189">
                  <c:v>44838</c:v>
                </c:pt>
                <c:pt idx="190">
                  <c:v>44839</c:v>
                </c:pt>
                <c:pt idx="191">
                  <c:v>44840</c:v>
                </c:pt>
                <c:pt idx="192">
                  <c:v>44841</c:v>
                </c:pt>
                <c:pt idx="193">
                  <c:v>44844</c:v>
                </c:pt>
                <c:pt idx="194">
                  <c:v>44845</c:v>
                </c:pt>
                <c:pt idx="195">
                  <c:v>44846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44867</c:v>
                </c:pt>
                <c:pt idx="211">
                  <c:v>44868</c:v>
                </c:pt>
                <c:pt idx="212">
                  <c:v>44869</c:v>
                </c:pt>
                <c:pt idx="213">
                  <c:v>44872</c:v>
                </c:pt>
                <c:pt idx="214">
                  <c:v>44873</c:v>
                </c:pt>
                <c:pt idx="215">
                  <c:v>44874</c:v>
                </c:pt>
                <c:pt idx="216">
                  <c:v>44875</c:v>
                </c:pt>
                <c:pt idx="217">
                  <c:v>44876</c:v>
                </c:pt>
                <c:pt idx="218">
                  <c:v>44879</c:v>
                </c:pt>
                <c:pt idx="219">
                  <c:v>44880</c:v>
                </c:pt>
                <c:pt idx="220">
                  <c:v>44881</c:v>
                </c:pt>
                <c:pt idx="221">
                  <c:v>44882</c:v>
                </c:pt>
                <c:pt idx="222">
                  <c:v>44883</c:v>
                </c:pt>
                <c:pt idx="223">
                  <c:v>44886</c:v>
                </c:pt>
                <c:pt idx="224">
                  <c:v>44887</c:v>
                </c:pt>
                <c:pt idx="225">
                  <c:v>44888</c:v>
                </c:pt>
                <c:pt idx="226">
                  <c:v>44890</c:v>
                </c:pt>
                <c:pt idx="227">
                  <c:v>44893</c:v>
                </c:pt>
                <c:pt idx="228">
                  <c:v>44894</c:v>
                </c:pt>
                <c:pt idx="229">
                  <c:v>44895</c:v>
                </c:pt>
                <c:pt idx="230">
                  <c:v>44896</c:v>
                </c:pt>
                <c:pt idx="231">
                  <c:v>44897</c:v>
                </c:pt>
                <c:pt idx="232">
                  <c:v>44900</c:v>
                </c:pt>
                <c:pt idx="233">
                  <c:v>44901</c:v>
                </c:pt>
                <c:pt idx="234">
                  <c:v>44902</c:v>
                </c:pt>
                <c:pt idx="235">
                  <c:v>44903</c:v>
                </c:pt>
                <c:pt idx="236">
                  <c:v>44904</c:v>
                </c:pt>
                <c:pt idx="237">
                  <c:v>44907</c:v>
                </c:pt>
                <c:pt idx="238">
                  <c:v>44908</c:v>
                </c:pt>
                <c:pt idx="239">
                  <c:v>44909</c:v>
                </c:pt>
                <c:pt idx="240">
                  <c:v>44910</c:v>
                </c:pt>
                <c:pt idx="241">
                  <c:v>44911</c:v>
                </c:pt>
                <c:pt idx="242">
                  <c:v>44914</c:v>
                </c:pt>
                <c:pt idx="243">
                  <c:v>44915</c:v>
                </c:pt>
                <c:pt idx="244">
                  <c:v>44916</c:v>
                </c:pt>
                <c:pt idx="245">
                  <c:v>44917</c:v>
                </c:pt>
                <c:pt idx="246">
                  <c:v>44918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44925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44943</c:v>
                </c:pt>
                <c:pt idx="261">
                  <c:v>44944</c:v>
                </c:pt>
                <c:pt idx="262">
                  <c:v>44945</c:v>
                </c:pt>
                <c:pt idx="263">
                  <c:v>44946</c:v>
                </c:pt>
                <c:pt idx="264">
                  <c:v>44949</c:v>
                </c:pt>
                <c:pt idx="265">
                  <c:v>44950</c:v>
                </c:pt>
                <c:pt idx="266">
                  <c:v>44951</c:v>
                </c:pt>
                <c:pt idx="267">
                  <c:v>44952</c:v>
                </c:pt>
                <c:pt idx="268">
                  <c:v>44953</c:v>
                </c:pt>
                <c:pt idx="269">
                  <c:v>44956</c:v>
                </c:pt>
                <c:pt idx="270">
                  <c:v>44957</c:v>
                </c:pt>
                <c:pt idx="271">
                  <c:v>44958</c:v>
                </c:pt>
                <c:pt idx="272">
                  <c:v>44959</c:v>
                </c:pt>
                <c:pt idx="273">
                  <c:v>44960</c:v>
                </c:pt>
                <c:pt idx="274">
                  <c:v>44963</c:v>
                </c:pt>
                <c:pt idx="275">
                  <c:v>44964</c:v>
                </c:pt>
                <c:pt idx="276">
                  <c:v>44965</c:v>
                </c:pt>
                <c:pt idx="277">
                  <c:v>44966</c:v>
                </c:pt>
                <c:pt idx="278">
                  <c:v>44967</c:v>
                </c:pt>
                <c:pt idx="279">
                  <c:v>44970</c:v>
                </c:pt>
                <c:pt idx="280">
                  <c:v>44971</c:v>
                </c:pt>
                <c:pt idx="281">
                  <c:v>44972</c:v>
                </c:pt>
                <c:pt idx="282">
                  <c:v>44973</c:v>
                </c:pt>
                <c:pt idx="283">
                  <c:v>44974</c:v>
                </c:pt>
                <c:pt idx="284">
                  <c:v>44978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45037</c:v>
                </c:pt>
                <c:pt idx="327">
                  <c:v>45040</c:v>
                </c:pt>
                <c:pt idx="328">
                  <c:v>45041</c:v>
                </c:pt>
                <c:pt idx="329">
                  <c:v>45042</c:v>
                </c:pt>
                <c:pt idx="330">
                  <c:v>45043</c:v>
                </c:pt>
                <c:pt idx="331">
                  <c:v>45044</c:v>
                </c:pt>
                <c:pt idx="332">
                  <c:v>45047</c:v>
                </c:pt>
                <c:pt idx="333">
                  <c:v>45048</c:v>
                </c:pt>
                <c:pt idx="334">
                  <c:v>45049</c:v>
                </c:pt>
                <c:pt idx="335">
                  <c:v>45050</c:v>
                </c:pt>
                <c:pt idx="336">
                  <c:v>45051</c:v>
                </c:pt>
                <c:pt idx="337">
                  <c:v>45054</c:v>
                </c:pt>
                <c:pt idx="338">
                  <c:v>45055</c:v>
                </c:pt>
                <c:pt idx="339">
                  <c:v>45056</c:v>
                </c:pt>
                <c:pt idx="340">
                  <c:v>45057</c:v>
                </c:pt>
                <c:pt idx="341">
                  <c:v>45058</c:v>
                </c:pt>
                <c:pt idx="342">
                  <c:v>45061</c:v>
                </c:pt>
                <c:pt idx="343">
                  <c:v>45062</c:v>
                </c:pt>
                <c:pt idx="344">
                  <c:v>45063</c:v>
                </c:pt>
                <c:pt idx="345">
                  <c:v>45064</c:v>
                </c:pt>
                <c:pt idx="346">
                  <c:v>45065</c:v>
                </c:pt>
                <c:pt idx="347">
                  <c:v>45068</c:v>
                </c:pt>
                <c:pt idx="348">
                  <c:v>45069</c:v>
                </c:pt>
                <c:pt idx="349">
                  <c:v>45070</c:v>
                </c:pt>
                <c:pt idx="350">
                  <c:v>45071</c:v>
                </c:pt>
                <c:pt idx="351">
                  <c:v>45072</c:v>
                </c:pt>
                <c:pt idx="352">
                  <c:v>45076</c:v>
                </c:pt>
                <c:pt idx="353">
                  <c:v>45077</c:v>
                </c:pt>
                <c:pt idx="354">
                  <c:v>45078</c:v>
                </c:pt>
                <c:pt idx="355">
                  <c:v>45079</c:v>
                </c:pt>
                <c:pt idx="356">
                  <c:v>45082</c:v>
                </c:pt>
                <c:pt idx="357">
                  <c:v>45083</c:v>
                </c:pt>
                <c:pt idx="358">
                  <c:v>45084</c:v>
                </c:pt>
                <c:pt idx="359">
                  <c:v>45085</c:v>
                </c:pt>
                <c:pt idx="360">
                  <c:v>45086</c:v>
                </c:pt>
                <c:pt idx="361">
                  <c:v>45089</c:v>
                </c:pt>
                <c:pt idx="362">
                  <c:v>45090</c:v>
                </c:pt>
                <c:pt idx="363">
                  <c:v>45091</c:v>
                </c:pt>
                <c:pt idx="364">
                  <c:v>45092</c:v>
                </c:pt>
                <c:pt idx="365">
                  <c:v>45093</c:v>
                </c:pt>
                <c:pt idx="366">
                  <c:v>45097</c:v>
                </c:pt>
                <c:pt idx="367">
                  <c:v>45098</c:v>
                </c:pt>
                <c:pt idx="368">
                  <c:v>45099</c:v>
                </c:pt>
                <c:pt idx="369">
                  <c:v>45100</c:v>
                </c:pt>
                <c:pt idx="370">
                  <c:v>45103</c:v>
                </c:pt>
                <c:pt idx="371">
                  <c:v>45104</c:v>
                </c:pt>
                <c:pt idx="372">
                  <c:v>45105</c:v>
                </c:pt>
                <c:pt idx="373">
                  <c:v>45106</c:v>
                </c:pt>
                <c:pt idx="374">
                  <c:v>45107</c:v>
                </c:pt>
                <c:pt idx="375">
                  <c:v>45110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45174</c:v>
                </c:pt>
                <c:pt idx="420">
                  <c:v>45175</c:v>
                </c:pt>
                <c:pt idx="421">
                  <c:v>45176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45211</c:v>
                </c:pt>
                <c:pt idx="447">
                  <c:v>45212</c:v>
                </c:pt>
                <c:pt idx="448">
                  <c:v>45215</c:v>
                </c:pt>
                <c:pt idx="449">
                  <c:v>45216</c:v>
                </c:pt>
                <c:pt idx="450">
                  <c:v>45217</c:v>
                </c:pt>
                <c:pt idx="451">
                  <c:v>45218</c:v>
                </c:pt>
                <c:pt idx="452">
                  <c:v>45219</c:v>
                </c:pt>
                <c:pt idx="453">
                  <c:v>45222</c:v>
                </c:pt>
                <c:pt idx="454">
                  <c:v>45223</c:v>
                </c:pt>
                <c:pt idx="455">
                  <c:v>45224</c:v>
                </c:pt>
                <c:pt idx="456">
                  <c:v>45225</c:v>
                </c:pt>
                <c:pt idx="457">
                  <c:v>45226</c:v>
                </c:pt>
                <c:pt idx="458">
                  <c:v>45229</c:v>
                </c:pt>
                <c:pt idx="459">
                  <c:v>45230</c:v>
                </c:pt>
                <c:pt idx="460">
                  <c:v>45231</c:v>
                </c:pt>
                <c:pt idx="461">
                  <c:v>45232</c:v>
                </c:pt>
                <c:pt idx="462">
                  <c:v>45233</c:v>
                </c:pt>
                <c:pt idx="463">
                  <c:v>45236</c:v>
                </c:pt>
                <c:pt idx="464">
                  <c:v>45237</c:v>
                </c:pt>
                <c:pt idx="465">
                  <c:v>45238</c:v>
                </c:pt>
                <c:pt idx="466">
                  <c:v>45239</c:v>
                </c:pt>
                <c:pt idx="467">
                  <c:v>45240</c:v>
                </c:pt>
                <c:pt idx="468">
                  <c:v>45243</c:v>
                </c:pt>
                <c:pt idx="469">
                  <c:v>45244</c:v>
                </c:pt>
                <c:pt idx="470">
                  <c:v>45245</c:v>
                </c:pt>
                <c:pt idx="471">
                  <c:v>45246</c:v>
                </c:pt>
                <c:pt idx="472">
                  <c:v>45247</c:v>
                </c:pt>
                <c:pt idx="473">
                  <c:v>45250</c:v>
                </c:pt>
                <c:pt idx="474">
                  <c:v>45251</c:v>
                </c:pt>
                <c:pt idx="475">
                  <c:v>45252</c:v>
                </c:pt>
                <c:pt idx="476">
                  <c:v>45254</c:v>
                </c:pt>
                <c:pt idx="477">
                  <c:v>45257</c:v>
                </c:pt>
                <c:pt idx="478">
                  <c:v>45258</c:v>
                </c:pt>
                <c:pt idx="479">
                  <c:v>45259</c:v>
                </c:pt>
                <c:pt idx="480">
                  <c:v>45260</c:v>
                </c:pt>
                <c:pt idx="481">
                  <c:v>45261</c:v>
                </c:pt>
                <c:pt idx="482">
                  <c:v>45264</c:v>
                </c:pt>
                <c:pt idx="483">
                  <c:v>45265</c:v>
                </c:pt>
                <c:pt idx="484">
                  <c:v>45266</c:v>
                </c:pt>
                <c:pt idx="485">
                  <c:v>45267</c:v>
                </c:pt>
                <c:pt idx="486">
                  <c:v>45268</c:v>
                </c:pt>
                <c:pt idx="487">
                  <c:v>45271</c:v>
                </c:pt>
                <c:pt idx="488">
                  <c:v>45272</c:v>
                </c:pt>
                <c:pt idx="489">
                  <c:v>45273</c:v>
                </c:pt>
                <c:pt idx="490">
                  <c:v>45274</c:v>
                </c:pt>
                <c:pt idx="491">
                  <c:v>45275</c:v>
                </c:pt>
                <c:pt idx="492">
                  <c:v>45278</c:v>
                </c:pt>
                <c:pt idx="493">
                  <c:v>45279</c:v>
                </c:pt>
                <c:pt idx="494">
                  <c:v>45280</c:v>
                </c:pt>
                <c:pt idx="495">
                  <c:v>45281</c:v>
                </c:pt>
                <c:pt idx="496">
                  <c:v>45282</c:v>
                </c:pt>
                <c:pt idx="497">
                  <c:v>45286</c:v>
                </c:pt>
                <c:pt idx="498">
                  <c:v>45287</c:v>
                </c:pt>
                <c:pt idx="499">
                  <c:v>45288</c:v>
                </c:pt>
                <c:pt idx="500">
                  <c:v>45289</c:v>
                </c:pt>
                <c:pt idx="501">
                  <c:v>45293</c:v>
                </c:pt>
                <c:pt idx="502">
                  <c:v>45294</c:v>
                </c:pt>
                <c:pt idx="503">
                  <c:v>45295</c:v>
                </c:pt>
                <c:pt idx="504">
                  <c:v>45296</c:v>
                </c:pt>
                <c:pt idx="505">
                  <c:v>45299</c:v>
                </c:pt>
                <c:pt idx="506">
                  <c:v>45300</c:v>
                </c:pt>
                <c:pt idx="507">
                  <c:v>45301</c:v>
                </c:pt>
                <c:pt idx="508">
                  <c:v>45302</c:v>
                </c:pt>
                <c:pt idx="509">
                  <c:v>45303</c:v>
                </c:pt>
                <c:pt idx="510">
                  <c:v>45307</c:v>
                </c:pt>
                <c:pt idx="511">
                  <c:v>45308</c:v>
                </c:pt>
                <c:pt idx="512">
                  <c:v>45309</c:v>
                </c:pt>
                <c:pt idx="513">
                  <c:v>45310</c:v>
                </c:pt>
                <c:pt idx="514">
                  <c:v>45313</c:v>
                </c:pt>
                <c:pt idx="515">
                  <c:v>45314</c:v>
                </c:pt>
                <c:pt idx="516">
                  <c:v>45315</c:v>
                </c:pt>
                <c:pt idx="517">
                  <c:v>45316</c:v>
                </c:pt>
                <c:pt idx="518">
                  <c:v>45317</c:v>
                </c:pt>
                <c:pt idx="519">
                  <c:v>45320</c:v>
                </c:pt>
                <c:pt idx="520">
                  <c:v>45321</c:v>
                </c:pt>
                <c:pt idx="521">
                  <c:v>45322</c:v>
                </c:pt>
                <c:pt idx="522">
                  <c:v>45323</c:v>
                </c:pt>
                <c:pt idx="523">
                  <c:v>45324</c:v>
                </c:pt>
                <c:pt idx="524">
                  <c:v>45327</c:v>
                </c:pt>
                <c:pt idx="525">
                  <c:v>45328</c:v>
                </c:pt>
                <c:pt idx="526">
                  <c:v>45329</c:v>
                </c:pt>
                <c:pt idx="527">
                  <c:v>45330</c:v>
                </c:pt>
                <c:pt idx="528">
                  <c:v>45331</c:v>
                </c:pt>
                <c:pt idx="529">
                  <c:v>45334</c:v>
                </c:pt>
                <c:pt idx="530">
                  <c:v>45335</c:v>
                </c:pt>
                <c:pt idx="531">
                  <c:v>45336</c:v>
                </c:pt>
                <c:pt idx="532">
                  <c:v>45337</c:v>
                </c:pt>
                <c:pt idx="533">
                  <c:v>45338</c:v>
                </c:pt>
                <c:pt idx="534">
                  <c:v>45342</c:v>
                </c:pt>
                <c:pt idx="535">
                  <c:v>45343</c:v>
                </c:pt>
                <c:pt idx="536">
                  <c:v>45344</c:v>
                </c:pt>
                <c:pt idx="537">
                  <c:v>45345</c:v>
                </c:pt>
                <c:pt idx="538">
                  <c:v>45348</c:v>
                </c:pt>
                <c:pt idx="539">
                  <c:v>45349</c:v>
                </c:pt>
                <c:pt idx="540">
                  <c:v>45350</c:v>
                </c:pt>
                <c:pt idx="541">
                  <c:v>45351</c:v>
                </c:pt>
                <c:pt idx="542">
                  <c:v>45352</c:v>
                </c:pt>
                <c:pt idx="543">
                  <c:v>45355</c:v>
                </c:pt>
                <c:pt idx="544">
                  <c:v>45356</c:v>
                </c:pt>
                <c:pt idx="545">
                  <c:v>45357</c:v>
                </c:pt>
                <c:pt idx="546">
                  <c:v>45358</c:v>
                </c:pt>
                <c:pt idx="547">
                  <c:v>45359</c:v>
                </c:pt>
                <c:pt idx="548">
                  <c:v>45362</c:v>
                </c:pt>
                <c:pt idx="549">
                  <c:v>45363</c:v>
                </c:pt>
                <c:pt idx="550">
                  <c:v>45364</c:v>
                </c:pt>
                <c:pt idx="551">
                  <c:v>45365</c:v>
                </c:pt>
                <c:pt idx="552">
                  <c:v>45366</c:v>
                </c:pt>
                <c:pt idx="553">
                  <c:v>45369</c:v>
                </c:pt>
                <c:pt idx="554">
                  <c:v>45370</c:v>
                </c:pt>
                <c:pt idx="555">
                  <c:v>45371</c:v>
                </c:pt>
                <c:pt idx="556">
                  <c:v>45372</c:v>
                </c:pt>
                <c:pt idx="557">
                  <c:v>45373</c:v>
                </c:pt>
                <c:pt idx="558">
                  <c:v>45376</c:v>
                </c:pt>
                <c:pt idx="559">
                  <c:v>45377</c:v>
                </c:pt>
                <c:pt idx="560">
                  <c:v>45378</c:v>
                </c:pt>
                <c:pt idx="561">
                  <c:v>45379</c:v>
                </c:pt>
                <c:pt idx="562">
                  <c:v>45383</c:v>
                </c:pt>
                <c:pt idx="563">
                  <c:v>45384</c:v>
                </c:pt>
                <c:pt idx="564">
                  <c:v>45385</c:v>
                </c:pt>
                <c:pt idx="565">
                  <c:v>45386</c:v>
                </c:pt>
                <c:pt idx="566">
                  <c:v>45387</c:v>
                </c:pt>
                <c:pt idx="567">
                  <c:v>45390</c:v>
                </c:pt>
                <c:pt idx="568">
                  <c:v>45391</c:v>
                </c:pt>
                <c:pt idx="569">
                  <c:v>45392</c:v>
                </c:pt>
                <c:pt idx="570">
                  <c:v>45393</c:v>
                </c:pt>
                <c:pt idx="571">
                  <c:v>45394</c:v>
                </c:pt>
                <c:pt idx="572">
                  <c:v>45397</c:v>
                </c:pt>
                <c:pt idx="573">
                  <c:v>45398</c:v>
                </c:pt>
                <c:pt idx="574">
                  <c:v>45399</c:v>
                </c:pt>
                <c:pt idx="575">
                  <c:v>45400</c:v>
                </c:pt>
                <c:pt idx="576">
                  <c:v>45401</c:v>
                </c:pt>
                <c:pt idx="577">
                  <c:v>45404</c:v>
                </c:pt>
                <c:pt idx="578">
                  <c:v>45405</c:v>
                </c:pt>
                <c:pt idx="579">
                  <c:v>45406</c:v>
                </c:pt>
                <c:pt idx="580">
                  <c:v>45407</c:v>
                </c:pt>
                <c:pt idx="581">
                  <c:v>45408</c:v>
                </c:pt>
                <c:pt idx="582">
                  <c:v>45411</c:v>
                </c:pt>
                <c:pt idx="583">
                  <c:v>45412</c:v>
                </c:pt>
                <c:pt idx="584">
                  <c:v>45413</c:v>
                </c:pt>
                <c:pt idx="585">
                  <c:v>45414</c:v>
                </c:pt>
                <c:pt idx="586">
                  <c:v>45415</c:v>
                </c:pt>
                <c:pt idx="587">
                  <c:v>45418</c:v>
                </c:pt>
                <c:pt idx="588">
                  <c:v>45419</c:v>
                </c:pt>
                <c:pt idx="589">
                  <c:v>45420</c:v>
                </c:pt>
                <c:pt idx="590">
                  <c:v>45421</c:v>
                </c:pt>
                <c:pt idx="591">
                  <c:v>45422</c:v>
                </c:pt>
                <c:pt idx="592">
                  <c:v>45425</c:v>
                </c:pt>
                <c:pt idx="593">
                  <c:v>45426</c:v>
                </c:pt>
                <c:pt idx="594">
                  <c:v>45427</c:v>
                </c:pt>
                <c:pt idx="595">
                  <c:v>45428</c:v>
                </c:pt>
                <c:pt idx="596">
                  <c:v>45429</c:v>
                </c:pt>
                <c:pt idx="597">
                  <c:v>45432</c:v>
                </c:pt>
                <c:pt idx="598">
                  <c:v>45433</c:v>
                </c:pt>
                <c:pt idx="599">
                  <c:v>45434</c:v>
                </c:pt>
                <c:pt idx="600">
                  <c:v>45435</c:v>
                </c:pt>
                <c:pt idx="601">
                  <c:v>45436</c:v>
                </c:pt>
                <c:pt idx="602">
                  <c:v>45440</c:v>
                </c:pt>
                <c:pt idx="603">
                  <c:v>45441</c:v>
                </c:pt>
                <c:pt idx="604">
                  <c:v>45442</c:v>
                </c:pt>
                <c:pt idx="605">
                  <c:v>45443</c:v>
                </c:pt>
                <c:pt idx="606">
                  <c:v>45446</c:v>
                </c:pt>
                <c:pt idx="607">
                  <c:v>45447</c:v>
                </c:pt>
                <c:pt idx="608">
                  <c:v>45448</c:v>
                </c:pt>
                <c:pt idx="609">
                  <c:v>45449</c:v>
                </c:pt>
                <c:pt idx="610">
                  <c:v>45450</c:v>
                </c:pt>
                <c:pt idx="611">
                  <c:v>45453</c:v>
                </c:pt>
                <c:pt idx="612">
                  <c:v>45454</c:v>
                </c:pt>
                <c:pt idx="613">
                  <c:v>45455</c:v>
                </c:pt>
                <c:pt idx="614">
                  <c:v>45456</c:v>
                </c:pt>
                <c:pt idx="615">
                  <c:v>45457</c:v>
                </c:pt>
                <c:pt idx="616">
                  <c:v>45460</c:v>
                </c:pt>
                <c:pt idx="617">
                  <c:v>45461</c:v>
                </c:pt>
                <c:pt idx="618">
                  <c:v>45463</c:v>
                </c:pt>
                <c:pt idx="619">
                  <c:v>45464</c:v>
                </c:pt>
                <c:pt idx="620">
                  <c:v>45467</c:v>
                </c:pt>
                <c:pt idx="621">
                  <c:v>45468</c:v>
                </c:pt>
                <c:pt idx="622">
                  <c:v>45469</c:v>
                </c:pt>
                <c:pt idx="623">
                  <c:v>45470</c:v>
                </c:pt>
                <c:pt idx="624">
                  <c:v>45471</c:v>
                </c:pt>
                <c:pt idx="625">
                  <c:v>45474</c:v>
                </c:pt>
                <c:pt idx="626">
                  <c:v>45475</c:v>
                </c:pt>
                <c:pt idx="627">
                  <c:v>45476</c:v>
                </c:pt>
                <c:pt idx="628">
                  <c:v>45478</c:v>
                </c:pt>
                <c:pt idx="629">
                  <c:v>45481</c:v>
                </c:pt>
                <c:pt idx="630">
                  <c:v>45482</c:v>
                </c:pt>
                <c:pt idx="631">
                  <c:v>45483</c:v>
                </c:pt>
                <c:pt idx="632">
                  <c:v>45484</c:v>
                </c:pt>
                <c:pt idx="633">
                  <c:v>45485</c:v>
                </c:pt>
                <c:pt idx="634">
                  <c:v>45488</c:v>
                </c:pt>
                <c:pt idx="635">
                  <c:v>45489</c:v>
                </c:pt>
                <c:pt idx="636">
                  <c:v>45490</c:v>
                </c:pt>
                <c:pt idx="637">
                  <c:v>45491</c:v>
                </c:pt>
                <c:pt idx="638">
                  <c:v>45492</c:v>
                </c:pt>
                <c:pt idx="639">
                  <c:v>45495</c:v>
                </c:pt>
                <c:pt idx="640">
                  <c:v>45496</c:v>
                </c:pt>
                <c:pt idx="641">
                  <c:v>45497</c:v>
                </c:pt>
                <c:pt idx="642">
                  <c:v>45498</c:v>
                </c:pt>
                <c:pt idx="643">
                  <c:v>45499</c:v>
                </c:pt>
                <c:pt idx="644">
                  <c:v>45502</c:v>
                </c:pt>
                <c:pt idx="645">
                  <c:v>45503</c:v>
                </c:pt>
                <c:pt idx="646">
                  <c:v>45504</c:v>
                </c:pt>
                <c:pt idx="647">
                  <c:v>45505</c:v>
                </c:pt>
                <c:pt idx="648">
                  <c:v>45506</c:v>
                </c:pt>
                <c:pt idx="649">
                  <c:v>45509</c:v>
                </c:pt>
                <c:pt idx="650">
                  <c:v>45510</c:v>
                </c:pt>
                <c:pt idx="651">
                  <c:v>45511</c:v>
                </c:pt>
                <c:pt idx="652">
                  <c:v>45512</c:v>
                </c:pt>
                <c:pt idx="653">
                  <c:v>45513</c:v>
                </c:pt>
                <c:pt idx="654">
                  <c:v>45516</c:v>
                </c:pt>
                <c:pt idx="655">
                  <c:v>45517</c:v>
                </c:pt>
                <c:pt idx="656">
                  <c:v>45518</c:v>
                </c:pt>
                <c:pt idx="657">
                  <c:v>45519</c:v>
                </c:pt>
                <c:pt idx="658">
                  <c:v>45520</c:v>
                </c:pt>
                <c:pt idx="659">
                  <c:v>45523</c:v>
                </c:pt>
                <c:pt idx="660">
                  <c:v>45524</c:v>
                </c:pt>
                <c:pt idx="661">
                  <c:v>45525</c:v>
                </c:pt>
                <c:pt idx="662">
                  <c:v>45526</c:v>
                </c:pt>
                <c:pt idx="663">
                  <c:v>45527</c:v>
                </c:pt>
                <c:pt idx="664">
                  <c:v>45530</c:v>
                </c:pt>
                <c:pt idx="665">
                  <c:v>45531</c:v>
                </c:pt>
                <c:pt idx="666">
                  <c:v>45532</c:v>
                </c:pt>
                <c:pt idx="667">
                  <c:v>45533</c:v>
                </c:pt>
                <c:pt idx="668">
                  <c:v>45534</c:v>
                </c:pt>
                <c:pt idx="669">
                  <c:v>45538</c:v>
                </c:pt>
                <c:pt idx="670">
                  <c:v>45539</c:v>
                </c:pt>
                <c:pt idx="671">
                  <c:v>45540</c:v>
                </c:pt>
                <c:pt idx="672">
                  <c:v>45541</c:v>
                </c:pt>
                <c:pt idx="673">
                  <c:v>45544</c:v>
                </c:pt>
                <c:pt idx="674">
                  <c:v>45545</c:v>
                </c:pt>
                <c:pt idx="675">
                  <c:v>45546</c:v>
                </c:pt>
                <c:pt idx="676">
                  <c:v>45547</c:v>
                </c:pt>
                <c:pt idx="677">
                  <c:v>45548</c:v>
                </c:pt>
                <c:pt idx="678">
                  <c:v>45551</c:v>
                </c:pt>
                <c:pt idx="679">
                  <c:v>45552</c:v>
                </c:pt>
                <c:pt idx="680">
                  <c:v>45553</c:v>
                </c:pt>
                <c:pt idx="681">
                  <c:v>45554</c:v>
                </c:pt>
                <c:pt idx="682">
                  <c:v>45555</c:v>
                </c:pt>
                <c:pt idx="683">
                  <c:v>45558</c:v>
                </c:pt>
                <c:pt idx="684">
                  <c:v>45559</c:v>
                </c:pt>
                <c:pt idx="685">
                  <c:v>45560</c:v>
                </c:pt>
                <c:pt idx="686">
                  <c:v>45561</c:v>
                </c:pt>
                <c:pt idx="687">
                  <c:v>45562</c:v>
                </c:pt>
                <c:pt idx="688">
                  <c:v>45565</c:v>
                </c:pt>
                <c:pt idx="689">
                  <c:v>45566</c:v>
                </c:pt>
                <c:pt idx="690">
                  <c:v>45567</c:v>
                </c:pt>
                <c:pt idx="691">
                  <c:v>45568</c:v>
                </c:pt>
                <c:pt idx="692">
                  <c:v>45569</c:v>
                </c:pt>
                <c:pt idx="693">
                  <c:v>45572</c:v>
                </c:pt>
                <c:pt idx="694">
                  <c:v>45573</c:v>
                </c:pt>
                <c:pt idx="695">
                  <c:v>45574</c:v>
                </c:pt>
                <c:pt idx="696">
                  <c:v>45575</c:v>
                </c:pt>
                <c:pt idx="697">
                  <c:v>45576</c:v>
                </c:pt>
                <c:pt idx="698">
                  <c:v>45579</c:v>
                </c:pt>
                <c:pt idx="699">
                  <c:v>45580</c:v>
                </c:pt>
                <c:pt idx="700">
                  <c:v>45581</c:v>
                </c:pt>
                <c:pt idx="701">
                  <c:v>45582</c:v>
                </c:pt>
                <c:pt idx="702">
                  <c:v>45583</c:v>
                </c:pt>
                <c:pt idx="703">
                  <c:v>45586</c:v>
                </c:pt>
                <c:pt idx="704">
                  <c:v>45587</c:v>
                </c:pt>
                <c:pt idx="705">
                  <c:v>45588</c:v>
                </c:pt>
                <c:pt idx="706">
                  <c:v>45589</c:v>
                </c:pt>
                <c:pt idx="707">
                  <c:v>45590</c:v>
                </c:pt>
                <c:pt idx="708">
                  <c:v>45593</c:v>
                </c:pt>
                <c:pt idx="709">
                  <c:v>45594</c:v>
                </c:pt>
                <c:pt idx="710">
                  <c:v>45595</c:v>
                </c:pt>
                <c:pt idx="711">
                  <c:v>45596</c:v>
                </c:pt>
                <c:pt idx="712">
                  <c:v>45597</c:v>
                </c:pt>
                <c:pt idx="713">
                  <c:v>45600</c:v>
                </c:pt>
                <c:pt idx="714">
                  <c:v>45601</c:v>
                </c:pt>
                <c:pt idx="715">
                  <c:v>45602</c:v>
                </c:pt>
                <c:pt idx="716">
                  <c:v>45603</c:v>
                </c:pt>
                <c:pt idx="717">
                  <c:v>45604</c:v>
                </c:pt>
                <c:pt idx="718">
                  <c:v>45607</c:v>
                </c:pt>
                <c:pt idx="719">
                  <c:v>45608</c:v>
                </c:pt>
                <c:pt idx="720">
                  <c:v>45609</c:v>
                </c:pt>
                <c:pt idx="721">
                  <c:v>45610</c:v>
                </c:pt>
                <c:pt idx="722">
                  <c:v>45611</c:v>
                </c:pt>
                <c:pt idx="723">
                  <c:v>45614</c:v>
                </c:pt>
                <c:pt idx="724">
                  <c:v>45615</c:v>
                </c:pt>
                <c:pt idx="725">
                  <c:v>45616</c:v>
                </c:pt>
                <c:pt idx="726">
                  <c:v>45617</c:v>
                </c:pt>
                <c:pt idx="727">
                  <c:v>45618</c:v>
                </c:pt>
                <c:pt idx="728">
                  <c:v>45621</c:v>
                </c:pt>
                <c:pt idx="729">
                  <c:v>45622</c:v>
                </c:pt>
                <c:pt idx="730">
                  <c:v>45623</c:v>
                </c:pt>
                <c:pt idx="731">
                  <c:v>45625</c:v>
                </c:pt>
                <c:pt idx="732">
                  <c:v>45628</c:v>
                </c:pt>
                <c:pt idx="733">
                  <c:v>45629</c:v>
                </c:pt>
                <c:pt idx="734">
                  <c:v>45630</c:v>
                </c:pt>
                <c:pt idx="735">
                  <c:v>45631</c:v>
                </c:pt>
                <c:pt idx="736">
                  <c:v>45632</c:v>
                </c:pt>
                <c:pt idx="737">
                  <c:v>45635</c:v>
                </c:pt>
                <c:pt idx="738">
                  <c:v>45636</c:v>
                </c:pt>
                <c:pt idx="739">
                  <c:v>45637</c:v>
                </c:pt>
                <c:pt idx="740">
                  <c:v>45638</c:v>
                </c:pt>
                <c:pt idx="741">
                  <c:v>45639</c:v>
                </c:pt>
                <c:pt idx="742">
                  <c:v>45642</c:v>
                </c:pt>
                <c:pt idx="743">
                  <c:v>45643</c:v>
                </c:pt>
                <c:pt idx="744">
                  <c:v>45644</c:v>
                </c:pt>
                <c:pt idx="745">
                  <c:v>45645</c:v>
                </c:pt>
                <c:pt idx="746">
                  <c:v>45646</c:v>
                </c:pt>
                <c:pt idx="747">
                  <c:v>45649</c:v>
                </c:pt>
                <c:pt idx="748">
                  <c:v>45650</c:v>
                </c:pt>
                <c:pt idx="749">
                  <c:v>45652</c:v>
                </c:pt>
                <c:pt idx="750">
                  <c:v>45653</c:v>
                </c:pt>
                <c:pt idx="751">
                  <c:v>45656</c:v>
                </c:pt>
                <c:pt idx="752">
                  <c:v>45657</c:v>
                </c:pt>
                <c:pt idx="753">
                  <c:v>45659</c:v>
                </c:pt>
                <c:pt idx="754">
                  <c:v>45660</c:v>
                </c:pt>
                <c:pt idx="755">
                  <c:v>45663</c:v>
                </c:pt>
                <c:pt idx="756">
                  <c:v>45664</c:v>
                </c:pt>
                <c:pt idx="757">
                  <c:v>45665</c:v>
                </c:pt>
                <c:pt idx="758">
                  <c:v>45667</c:v>
                </c:pt>
                <c:pt idx="759">
                  <c:v>45670</c:v>
                </c:pt>
                <c:pt idx="760">
                  <c:v>45671</c:v>
                </c:pt>
                <c:pt idx="761">
                  <c:v>45672</c:v>
                </c:pt>
                <c:pt idx="762">
                  <c:v>45673</c:v>
                </c:pt>
                <c:pt idx="763">
                  <c:v>45674</c:v>
                </c:pt>
                <c:pt idx="764">
                  <c:v>45678</c:v>
                </c:pt>
                <c:pt idx="765">
                  <c:v>45679</c:v>
                </c:pt>
                <c:pt idx="766">
                  <c:v>45680</c:v>
                </c:pt>
                <c:pt idx="767">
                  <c:v>45681</c:v>
                </c:pt>
                <c:pt idx="768">
                  <c:v>45684</c:v>
                </c:pt>
                <c:pt idx="769">
                  <c:v>45685</c:v>
                </c:pt>
                <c:pt idx="770">
                  <c:v>45686</c:v>
                </c:pt>
                <c:pt idx="771">
                  <c:v>45687</c:v>
                </c:pt>
                <c:pt idx="772">
                  <c:v>45688</c:v>
                </c:pt>
                <c:pt idx="773">
                  <c:v>45691</c:v>
                </c:pt>
                <c:pt idx="774">
                  <c:v>45692</c:v>
                </c:pt>
                <c:pt idx="775">
                  <c:v>45693</c:v>
                </c:pt>
                <c:pt idx="776">
                  <c:v>45694</c:v>
                </c:pt>
                <c:pt idx="777">
                  <c:v>45695</c:v>
                </c:pt>
                <c:pt idx="778">
                  <c:v>45698</c:v>
                </c:pt>
                <c:pt idx="779">
                  <c:v>45699</c:v>
                </c:pt>
                <c:pt idx="780">
                  <c:v>45700</c:v>
                </c:pt>
                <c:pt idx="781">
                  <c:v>45701</c:v>
                </c:pt>
                <c:pt idx="782">
                  <c:v>45702</c:v>
                </c:pt>
                <c:pt idx="783">
                  <c:v>45706</c:v>
                </c:pt>
                <c:pt idx="784">
                  <c:v>45707</c:v>
                </c:pt>
                <c:pt idx="785">
                  <c:v>45708</c:v>
                </c:pt>
                <c:pt idx="786">
                  <c:v>45709</c:v>
                </c:pt>
                <c:pt idx="787">
                  <c:v>45712</c:v>
                </c:pt>
                <c:pt idx="788">
                  <c:v>45713</c:v>
                </c:pt>
                <c:pt idx="789">
                  <c:v>45714</c:v>
                </c:pt>
                <c:pt idx="790">
                  <c:v>45715</c:v>
                </c:pt>
                <c:pt idx="791">
                  <c:v>45716</c:v>
                </c:pt>
                <c:pt idx="792">
                  <c:v>45719</c:v>
                </c:pt>
                <c:pt idx="793">
                  <c:v>45720</c:v>
                </c:pt>
                <c:pt idx="794">
                  <c:v>45721</c:v>
                </c:pt>
                <c:pt idx="795">
                  <c:v>45722</c:v>
                </c:pt>
                <c:pt idx="796">
                  <c:v>45723</c:v>
                </c:pt>
                <c:pt idx="797">
                  <c:v>45726</c:v>
                </c:pt>
                <c:pt idx="798">
                  <c:v>45727</c:v>
                </c:pt>
                <c:pt idx="799">
                  <c:v>45728</c:v>
                </c:pt>
                <c:pt idx="800">
                  <c:v>45729</c:v>
                </c:pt>
                <c:pt idx="801">
                  <c:v>45730</c:v>
                </c:pt>
                <c:pt idx="802">
                  <c:v>45733</c:v>
                </c:pt>
                <c:pt idx="803">
                  <c:v>45734</c:v>
                </c:pt>
                <c:pt idx="804">
                  <c:v>45735</c:v>
                </c:pt>
                <c:pt idx="805">
                  <c:v>45736</c:v>
                </c:pt>
                <c:pt idx="806">
                  <c:v>45737</c:v>
                </c:pt>
                <c:pt idx="807">
                  <c:v>45740</c:v>
                </c:pt>
                <c:pt idx="808">
                  <c:v>45741</c:v>
                </c:pt>
                <c:pt idx="809">
                  <c:v>45742</c:v>
                </c:pt>
                <c:pt idx="810">
                  <c:v>45743</c:v>
                </c:pt>
                <c:pt idx="811">
                  <c:v>45744</c:v>
                </c:pt>
                <c:pt idx="812">
                  <c:v>45747</c:v>
                </c:pt>
                <c:pt idx="813">
                  <c:v>45748</c:v>
                </c:pt>
                <c:pt idx="814">
                  <c:v>45749</c:v>
                </c:pt>
                <c:pt idx="815">
                  <c:v>45750</c:v>
                </c:pt>
                <c:pt idx="816">
                  <c:v>45751</c:v>
                </c:pt>
                <c:pt idx="817">
                  <c:v>45754</c:v>
                </c:pt>
                <c:pt idx="818">
                  <c:v>45755</c:v>
                </c:pt>
                <c:pt idx="819">
                  <c:v>45756</c:v>
                </c:pt>
                <c:pt idx="820">
                  <c:v>45757</c:v>
                </c:pt>
                <c:pt idx="821">
                  <c:v>45758</c:v>
                </c:pt>
                <c:pt idx="822">
                  <c:v>45761</c:v>
                </c:pt>
                <c:pt idx="823">
                  <c:v>45762</c:v>
                </c:pt>
                <c:pt idx="824">
                  <c:v>45763</c:v>
                </c:pt>
                <c:pt idx="825">
                  <c:v>45764</c:v>
                </c:pt>
                <c:pt idx="826">
                  <c:v>45768</c:v>
                </c:pt>
                <c:pt idx="827">
                  <c:v>45769</c:v>
                </c:pt>
                <c:pt idx="828">
                  <c:v>45770</c:v>
                </c:pt>
                <c:pt idx="829">
                  <c:v>45771</c:v>
                </c:pt>
                <c:pt idx="830">
                  <c:v>45772</c:v>
                </c:pt>
                <c:pt idx="831">
                  <c:v>45775</c:v>
                </c:pt>
                <c:pt idx="832">
                  <c:v>45776</c:v>
                </c:pt>
                <c:pt idx="833">
                  <c:v>45777</c:v>
                </c:pt>
                <c:pt idx="834">
                  <c:v>45778</c:v>
                </c:pt>
                <c:pt idx="835">
                  <c:v>45779</c:v>
                </c:pt>
                <c:pt idx="836">
                  <c:v>45782</c:v>
                </c:pt>
                <c:pt idx="837">
                  <c:v>45783</c:v>
                </c:pt>
                <c:pt idx="838">
                  <c:v>45784</c:v>
                </c:pt>
                <c:pt idx="839">
                  <c:v>45785</c:v>
                </c:pt>
                <c:pt idx="840">
                  <c:v>45786</c:v>
                </c:pt>
                <c:pt idx="841">
                  <c:v>45789</c:v>
                </c:pt>
                <c:pt idx="842">
                  <c:v>45790</c:v>
                </c:pt>
                <c:pt idx="843">
                  <c:v>45791</c:v>
                </c:pt>
                <c:pt idx="844">
                  <c:v>45792</c:v>
                </c:pt>
                <c:pt idx="845">
                  <c:v>45793</c:v>
                </c:pt>
                <c:pt idx="846">
                  <c:v>45796</c:v>
                </c:pt>
                <c:pt idx="847">
                  <c:v>45797</c:v>
                </c:pt>
                <c:pt idx="848">
                  <c:v>45798</c:v>
                </c:pt>
                <c:pt idx="849">
                  <c:v>45799</c:v>
                </c:pt>
                <c:pt idx="850">
                  <c:v>45800</c:v>
                </c:pt>
                <c:pt idx="851">
                  <c:v>45804</c:v>
                </c:pt>
                <c:pt idx="852">
                  <c:v>45805</c:v>
                </c:pt>
                <c:pt idx="853">
                  <c:v>45806</c:v>
                </c:pt>
                <c:pt idx="854">
                  <c:v>45807</c:v>
                </c:pt>
                <c:pt idx="855">
                  <c:v>45810</c:v>
                </c:pt>
                <c:pt idx="856">
                  <c:v>45811</c:v>
                </c:pt>
                <c:pt idx="857">
                  <c:v>45812</c:v>
                </c:pt>
                <c:pt idx="858">
                  <c:v>45813</c:v>
                </c:pt>
                <c:pt idx="859">
                  <c:v>45814</c:v>
                </c:pt>
                <c:pt idx="860">
                  <c:v>45817</c:v>
                </c:pt>
                <c:pt idx="861">
                  <c:v>45818</c:v>
                </c:pt>
                <c:pt idx="862">
                  <c:v>45819</c:v>
                </c:pt>
                <c:pt idx="863">
                  <c:v>45820</c:v>
                </c:pt>
                <c:pt idx="864">
                  <c:v>45821</c:v>
                </c:pt>
                <c:pt idx="865">
                  <c:v>45824</c:v>
                </c:pt>
                <c:pt idx="866">
                  <c:v>45825</c:v>
                </c:pt>
                <c:pt idx="867">
                  <c:v>45826</c:v>
                </c:pt>
                <c:pt idx="868">
                  <c:v>45828</c:v>
                </c:pt>
                <c:pt idx="869">
                  <c:v>45831</c:v>
                </c:pt>
                <c:pt idx="870">
                  <c:v>45832</c:v>
                </c:pt>
                <c:pt idx="871">
                  <c:v>45833</c:v>
                </c:pt>
                <c:pt idx="872">
                  <c:v>45834</c:v>
                </c:pt>
                <c:pt idx="873">
                  <c:v>45835</c:v>
                </c:pt>
                <c:pt idx="874">
                  <c:v>45838</c:v>
                </c:pt>
                <c:pt idx="875">
                  <c:v>45839</c:v>
                </c:pt>
                <c:pt idx="876">
                  <c:v>45840</c:v>
                </c:pt>
                <c:pt idx="877">
                  <c:v>45841</c:v>
                </c:pt>
                <c:pt idx="878">
                  <c:v>45845</c:v>
                </c:pt>
                <c:pt idx="879">
                  <c:v>45846</c:v>
                </c:pt>
                <c:pt idx="880">
                  <c:v>45847</c:v>
                </c:pt>
                <c:pt idx="881">
                  <c:v>45848</c:v>
                </c:pt>
                <c:pt idx="882">
                  <c:v>45849</c:v>
                </c:pt>
                <c:pt idx="883">
                  <c:v>45852</c:v>
                </c:pt>
                <c:pt idx="884">
                  <c:v>45853</c:v>
                </c:pt>
                <c:pt idx="885">
                  <c:v>45854</c:v>
                </c:pt>
                <c:pt idx="886">
                  <c:v>45855</c:v>
                </c:pt>
                <c:pt idx="887">
                  <c:v>45856</c:v>
                </c:pt>
                <c:pt idx="888">
                  <c:v>45859</c:v>
                </c:pt>
                <c:pt idx="889">
                  <c:v>45860</c:v>
                </c:pt>
                <c:pt idx="890">
                  <c:v>45861</c:v>
                </c:pt>
                <c:pt idx="891">
                  <c:v>45862</c:v>
                </c:pt>
                <c:pt idx="892">
                  <c:v>45863</c:v>
                </c:pt>
                <c:pt idx="893">
                  <c:v>45866</c:v>
                </c:pt>
                <c:pt idx="894">
                  <c:v>45867</c:v>
                </c:pt>
                <c:pt idx="895">
                  <c:v>45868</c:v>
                </c:pt>
                <c:pt idx="896">
                  <c:v>45869</c:v>
                </c:pt>
                <c:pt idx="897">
                  <c:v>45870</c:v>
                </c:pt>
                <c:pt idx="898">
                  <c:v>45873</c:v>
                </c:pt>
                <c:pt idx="899">
                  <c:v>45874</c:v>
                </c:pt>
                <c:pt idx="900">
                  <c:v>45875</c:v>
                </c:pt>
                <c:pt idx="901">
                  <c:v>45876</c:v>
                </c:pt>
                <c:pt idx="902">
                  <c:v>45877</c:v>
                </c:pt>
                <c:pt idx="903">
                  <c:v>45880</c:v>
                </c:pt>
                <c:pt idx="904">
                  <c:v>45881</c:v>
                </c:pt>
                <c:pt idx="905">
                  <c:v>45882</c:v>
                </c:pt>
                <c:pt idx="906">
                  <c:v>45883</c:v>
                </c:pt>
                <c:pt idx="907">
                  <c:v>45884</c:v>
                </c:pt>
                <c:pt idx="908">
                  <c:v>45887</c:v>
                </c:pt>
                <c:pt idx="909">
                  <c:v>45888</c:v>
                </c:pt>
                <c:pt idx="910">
                  <c:v>45889</c:v>
                </c:pt>
                <c:pt idx="911">
                  <c:v>45890</c:v>
                </c:pt>
                <c:pt idx="912">
                  <c:v>45891</c:v>
                </c:pt>
                <c:pt idx="913">
                  <c:v>45894</c:v>
                </c:pt>
                <c:pt idx="914">
                  <c:v>45895</c:v>
                </c:pt>
                <c:pt idx="915">
                  <c:v>45896</c:v>
                </c:pt>
                <c:pt idx="916">
                  <c:v>45897</c:v>
                </c:pt>
                <c:pt idx="917">
                  <c:v>45898</c:v>
                </c:pt>
                <c:pt idx="918">
                  <c:v>45902</c:v>
                </c:pt>
                <c:pt idx="919">
                  <c:v>45903</c:v>
                </c:pt>
                <c:pt idx="920">
                  <c:v>45904</c:v>
                </c:pt>
                <c:pt idx="921">
                  <c:v>45905</c:v>
                </c:pt>
                <c:pt idx="922">
                  <c:v>45908</c:v>
                </c:pt>
                <c:pt idx="923">
                  <c:v>45909</c:v>
                </c:pt>
                <c:pt idx="924">
                  <c:v>45910</c:v>
                </c:pt>
                <c:pt idx="925">
                  <c:v>45911</c:v>
                </c:pt>
                <c:pt idx="926">
                  <c:v>45912</c:v>
                </c:pt>
                <c:pt idx="927">
                  <c:v>45915</c:v>
                </c:pt>
                <c:pt idx="928">
                  <c:v>45916</c:v>
                </c:pt>
                <c:pt idx="929">
                  <c:v>45917</c:v>
                </c:pt>
                <c:pt idx="930">
                  <c:v>45918</c:v>
                </c:pt>
                <c:pt idx="931">
                  <c:v>45919</c:v>
                </c:pt>
                <c:pt idx="932">
                  <c:v>45922</c:v>
                </c:pt>
                <c:pt idx="933">
                  <c:v>45923</c:v>
                </c:pt>
                <c:pt idx="934">
                  <c:v>45924</c:v>
                </c:pt>
                <c:pt idx="935">
                  <c:v>45925</c:v>
                </c:pt>
                <c:pt idx="936">
                  <c:v>45926</c:v>
                </c:pt>
                <c:pt idx="937">
                  <c:v>45929</c:v>
                </c:pt>
                <c:pt idx="938">
                  <c:v>45930</c:v>
                </c:pt>
                <c:pt idx="939">
                  <c:v>45931</c:v>
                </c:pt>
                <c:pt idx="940">
                  <c:v>45932</c:v>
                </c:pt>
                <c:pt idx="941">
                  <c:v>45933</c:v>
                </c:pt>
                <c:pt idx="942">
                  <c:v>45936</c:v>
                </c:pt>
                <c:pt idx="943">
                  <c:v>45937</c:v>
                </c:pt>
                <c:pt idx="944">
                  <c:v>45938</c:v>
                </c:pt>
                <c:pt idx="945">
                  <c:v>45939</c:v>
                </c:pt>
                <c:pt idx="946">
                  <c:v>45940</c:v>
                </c:pt>
                <c:pt idx="947">
                  <c:v>45943</c:v>
                </c:pt>
                <c:pt idx="948">
                  <c:v>45944</c:v>
                </c:pt>
                <c:pt idx="949">
                  <c:v>45945</c:v>
                </c:pt>
                <c:pt idx="950">
                  <c:v>45946</c:v>
                </c:pt>
                <c:pt idx="951">
                  <c:v>45947</c:v>
                </c:pt>
                <c:pt idx="952">
                  <c:v>45950</c:v>
                </c:pt>
                <c:pt idx="953">
                  <c:v>45951</c:v>
                </c:pt>
                <c:pt idx="954">
                  <c:v>45952</c:v>
                </c:pt>
                <c:pt idx="955">
                  <c:v>45953</c:v>
                </c:pt>
                <c:pt idx="956">
                  <c:v>45954</c:v>
                </c:pt>
                <c:pt idx="957">
                  <c:v>45957</c:v>
                </c:pt>
                <c:pt idx="958">
                  <c:v>45958</c:v>
                </c:pt>
                <c:pt idx="959">
                  <c:v>45959</c:v>
                </c:pt>
                <c:pt idx="960">
                  <c:v>45960</c:v>
                </c:pt>
                <c:pt idx="961">
                  <c:v>45961</c:v>
                </c:pt>
                <c:pt idx="962">
                  <c:v>45964</c:v>
                </c:pt>
                <c:pt idx="963">
                  <c:v>45965</c:v>
                </c:pt>
                <c:pt idx="964">
                  <c:v>45966</c:v>
                </c:pt>
                <c:pt idx="965">
                  <c:v>45967</c:v>
                </c:pt>
                <c:pt idx="966">
                  <c:v>45968</c:v>
                </c:pt>
                <c:pt idx="967">
                  <c:v>45971</c:v>
                </c:pt>
                <c:pt idx="968">
                  <c:v>45972</c:v>
                </c:pt>
                <c:pt idx="969">
                  <c:v>45973</c:v>
                </c:pt>
                <c:pt idx="970">
                  <c:v>45974</c:v>
                </c:pt>
                <c:pt idx="971">
                  <c:v>45975</c:v>
                </c:pt>
                <c:pt idx="972">
                  <c:v>45978</c:v>
                </c:pt>
                <c:pt idx="973">
                  <c:v>45979</c:v>
                </c:pt>
                <c:pt idx="974">
                  <c:v>45980</c:v>
                </c:pt>
                <c:pt idx="975">
                  <c:v>45981</c:v>
                </c:pt>
                <c:pt idx="976">
                  <c:v>45982</c:v>
                </c:pt>
                <c:pt idx="977">
                  <c:v>45985</c:v>
                </c:pt>
                <c:pt idx="978">
                  <c:v>45986</c:v>
                </c:pt>
                <c:pt idx="979">
                  <c:v>45987</c:v>
                </c:pt>
                <c:pt idx="980">
                  <c:v>45989</c:v>
                </c:pt>
                <c:pt idx="981">
                  <c:v>45992</c:v>
                </c:pt>
                <c:pt idx="982">
                  <c:v>45993</c:v>
                </c:pt>
                <c:pt idx="983">
                  <c:v>45994</c:v>
                </c:pt>
                <c:pt idx="984">
                  <c:v>45995</c:v>
                </c:pt>
                <c:pt idx="985">
                  <c:v>45996</c:v>
                </c:pt>
                <c:pt idx="986">
                  <c:v>45999</c:v>
                </c:pt>
                <c:pt idx="987">
                  <c:v>46000</c:v>
                </c:pt>
                <c:pt idx="988">
                  <c:v>46001</c:v>
                </c:pt>
                <c:pt idx="989">
                  <c:v>46002</c:v>
                </c:pt>
                <c:pt idx="990">
                  <c:v>46003</c:v>
                </c:pt>
                <c:pt idx="991">
                  <c:v>46006</c:v>
                </c:pt>
                <c:pt idx="992">
                  <c:v>46007</c:v>
                </c:pt>
                <c:pt idx="993">
                  <c:v>46008</c:v>
                </c:pt>
                <c:pt idx="994">
                  <c:v>46009</c:v>
                </c:pt>
                <c:pt idx="995">
                  <c:v>46010</c:v>
                </c:pt>
                <c:pt idx="996">
                  <c:v>46013</c:v>
                </c:pt>
                <c:pt idx="997">
                  <c:v>46014</c:v>
                </c:pt>
                <c:pt idx="998">
                  <c:v>46015</c:v>
                </c:pt>
                <c:pt idx="999">
                  <c:v>46017</c:v>
                </c:pt>
                <c:pt idx="1000">
                  <c:v>46020</c:v>
                </c:pt>
                <c:pt idx="1001">
                  <c:v>46021</c:v>
                </c:pt>
                <c:pt idx="1002">
                  <c:v>46022</c:v>
                </c:pt>
                <c:pt idx="1003">
                  <c:v>46024</c:v>
                </c:pt>
                <c:pt idx="1004">
                  <c:v>46027</c:v>
                </c:pt>
                <c:pt idx="1005">
                  <c:v>46028</c:v>
                </c:pt>
                <c:pt idx="1006">
                  <c:v>46029</c:v>
                </c:pt>
                <c:pt idx="1007">
                  <c:v>46030</c:v>
                </c:pt>
                <c:pt idx="1008">
                  <c:v>46031</c:v>
                </c:pt>
                <c:pt idx="1009">
                  <c:v>46034</c:v>
                </c:pt>
                <c:pt idx="1010">
                  <c:v>46035</c:v>
                </c:pt>
                <c:pt idx="1011">
                  <c:v>46036</c:v>
                </c:pt>
                <c:pt idx="1012">
                  <c:v>46037</c:v>
                </c:pt>
                <c:pt idx="1013">
                  <c:v>46038</c:v>
                </c:pt>
                <c:pt idx="1014">
                  <c:v>46042</c:v>
                </c:pt>
                <c:pt idx="1015">
                  <c:v>46043</c:v>
                </c:pt>
                <c:pt idx="1016">
                  <c:v>46044</c:v>
                </c:pt>
                <c:pt idx="1017">
                  <c:v>46045</c:v>
                </c:pt>
                <c:pt idx="1018">
                  <c:v>46048</c:v>
                </c:pt>
                <c:pt idx="1019">
                  <c:v>46049</c:v>
                </c:pt>
                <c:pt idx="1020">
                  <c:v>46050</c:v>
                </c:pt>
                <c:pt idx="1021">
                  <c:v>46051</c:v>
                </c:pt>
                <c:pt idx="1022">
                  <c:v>46052</c:v>
                </c:pt>
                <c:pt idx="1023">
                  <c:v>46055</c:v>
                </c:pt>
                <c:pt idx="1024">
                  <c:v>46056</c:v>
                </c:pt>
                <c:pt idx="1025">
                  <c:v>46057</c:v>
                </c:pt>
                <c:pt idx="1026">
                  <c:v>46058</c:v>
                </c:pt>
                <c:pt idx="1027">
                  <c:v>46059</c:v>
                </c:pt>
                <c:pt idx="1028">
                  <c:v>46062</c:v>
                </c:pt>
                <c:pt idx="1029">
                  <c:v>46063</c:v>
                </c:pt>
                <c:pt idx="1030">
                  <c:v>46064</c:v>
                </c:pt>
                <c:pt idx="1031">
                  <c:v>46065</c:v>
                </c:pt>
                <c:pt idx="1032">
                  <c:v>46066</c:v>
                </c:pt>
                <c:pt idx="1033">
                  <c:v>46070</c:v>
                </c:pt>
                <c:pt idx="1034">
                  <c:v>46071</c:v>
                </c:pt>
                <c:pt idx="1035">
                  <c:v>46072</c:v>
                </c:pt>
                <c:pt idx="1036">
                  <c:v>46073</c:v>
                </c:pt>
                <c:pt idx="1037">
                  <c:v>46076</c:v>
                </c:pt>
                <c:pt idx="1038">
                  <c:v>46077</c:v>
                </c:pt>
                <c:pt idx="1039">
                  <c:v>46078</c:v>
                </c:pt>
                <c:pt idx="1040">
                  <c:v>46079</c:v>
                </c:pt>
                <c:pt idx="1041">
                  <c:v>46080</c:v>
                </c:pt>
                <c:pt idx="1042">
                  <c:v>46083</c:v>
                </c:pt>
                <c:pt idx="1043">
                  <c:v>46084</c:v>
                </c:pt>
                <c:pt idx="1044">
                  <c:v>46085</c:v>
                </c:pt>
                <c:pt idx="1045">
                  <c:v>46086</c:v>
                </c:pt>
                <c:pt idx="1046">
                  <c:v>46087</c:v>
                </c:pt>
                <c:pt idx="1047">
                  <c:v>46090</c:v>
                </c:pt>
                <c:pt idx="1048">
                  <c:v>46091</c:v>
                </c:pt>
                <c:pt idx="1049">
                  <c:v>46092</c:v>
                </c:pt>
                <c:pt idx="1050">
                  <c:v>46093</c:v>
                </c:pt>
                <c:pt idx="1051">
                  <c:v>46094</c:v>
                </c:pt>
                <c:pt idx="1052">
                  <c:v>46097</c:v>
                </c:pt>
                <c:pt idx="1053">
                  <c:v>46098</c:v>
                </c:pt>
                <c:pt idx="1054">
                  <c:v>46099</c:v>
                </c:pt>
                <c:pt idx="1055">
                  <c:v>46100</c:v>
                </c:pt>
                <c:pt idx="1056">
                  <c:v>46101</c:v>
                </c:pt>
                <c:pt idx="1057">
                  <c:v>46104</c:v>
                </c:pt>
                <c:pt idx="1058">
                  <c:v>46105</c:v>
                </c:pt>
                <c:pt idx="1059">
                  <c:v>46106</c:v>
                </c:pt>
                <c:pt idx="1060">
                  <c:v>46107</c:v>
                </c:pt>
                <c:pt idx="1061">
                  <c:v>46108</c:v>
                </c:pt>
                <c:pt idx="1062">
                  <c:v>46111</c:v>
                </c:pt>
                <c:pt idx="1063">
                  <c:v>46112</c:v>
                </c:pt>
                <c:pt idx="1064">
                  <c:v>46113</c:v>
                </c:pt>
                <c:pt idx="1065">
                  <c:v>46114</c:v>
                </c:pt>
                <c:pt idx="1066">
                  <c:v>46118</c:v>
                </c:pt>
                <c:pt idx="1067">
                  <c:v>46119</c:v>
                </c:pt>
                <c:pt idx="1068">
                  <c:v>46120</c:v>
                </c:pt>
                <c:pt idx="1069">
                  <c:v>46121</c:v>
                </c:pt>
                <c:pt idx="1070">
                  <c:v>46122</c:v>
                </c:pt>
                <c:pt idx="1071">
                  <c:v>46125</c:v>
                </c:pt>
                <c:pt idx="1072">
                  <c:v>46126</c:v>
                </c:pt>
                <c:pt idx="1073">
                  <c:v>46127</c:v>
                </c:pt>
                <c:pt idx="1074">
                  <c:v>46128</c:v>
                </c:pt>
                <c:pt idx="1075">
                  <c:v>46129</c:v>
                </c:pt>
                <c:pt idx="1076">
                  <c:v>46132</c:v>
                </c:pt>
                <c:pt idx="1077">
                  <c:v>46133</c:v>
                </c:pt>
                <c:pt idx="1078">
                  <c:v>46134</c:v>
                </c:pt>
                <c:pt idx="1079">
                  <c:v>46135</c:v>
                </c:pt>
                <c:pt idx="1080">
                  <c:v>46136</c:v>
                </c:pt>
                <c:pt idx="1081">
                  <c:v>46139</c:v>
                </c:pt>
                <c:pt idx="1082">
                  <c:v>46140</c:v>
                </c:pt>
                <c:pt idx="1083">
                  <c:v>46141</c:v>
                </c:pt>
                <c:pt idx="1084">
                  <c:v>46142</c:v>
                </c:pt>
                <c:pt idx="1085">
                  <c:v>46143</c:v>
                </c:pt>
                <c:pt idx="1086">
                  <c:v>46146</c:v>
                </c:pt>
                <c:pt idx="1087">
                  <c:v>46147</c:v>
                </c:pt>
                <c:pt idx="1088">
                  <c:v>46148</c:v>
                </c:pt>
                <c:pt idx="1089">
                  <c:v>46149</c:v>
                </c:pt>
                <c:pt idx="1090">
                  <c:v>46150</c:v>
                </c:pt>
                <c:pt idx="1091">
                  <c:v>46153</c:v>
                </c:pt>
                <c:pt idx="1092">
                  <c:v>46154</c:v>
                </c:pt>
                <c:pt idx="1093">
                  <c:v>46155</c:v>
                </c:pt>
                <c:pt idx="1094">
                  <c:v>46156</c:v>
                </c:pt>
                <c:pt idx="1095">
                  <c:v>46157</c:v>
                </c:pt>
                <c:pt idx="1096">
                  <c:v>46160</c:v>
                </c:pt>
                <c:pt idx="1097">
                  <c:v>46161</c:v>
                </c:pt>
                <c:pt idx="1098">
                  <c:v>46162</c:v>
                </c:pt>
                <c:pt idx="1099">
                  <c:v>46163</c:v>
                </c:pt>
                <c:pt idx="1100">
                  <c:v>46164</c:v>
                </c:pt>
                <c:pt idx="1101">
                  <c:v>46168</c:v>
                </c:pt>
                <c:pt idx="1102">
                  <c:v>46169</c:v>
                </c:pt>
                <c:pt idx="1103">
                  <c:v>46170</c:v>
                </c:pt>
                <c:pt idx="1104">
                  <c:v>46171</c:v>
                </c:pt>
                <c:pt idx="1105">
                  <c:v>46174</c:v>
                </c:pt>
                <c:pt idx="1106">
                  <c:v>46175</c:v>
                </c:pt>
                <c:pt idx="1107">
                  <c:v>46176</c:v>
                </c:pt>
                <c:pt idx="1108">
                  <c:v>46177</c:v>
                </c:pt>
                <c:pt idx="1109">
                  <c:v>46178</c:v>
                </c:pt>
                <c:pt idx="1110">
                  <c:v>46181</c:v>
                </c:pt>
                <c:pt idx="1111">
                  <c:v>46182</c:v>
                </c:pt>
                <c:pt idx="1112">
                  <c:v>46183</c:v>
                </c:pt>
                <c:pt idx="1113">
                  <c:v>46184</c:v>
                </c:pt>
                <c:pt idx="1114">
                  <c:v>46185</c:v>
                </c:pt>
                <c:pt idx="1115">
                  <c:v>46188</c:v>
                </c:pt>
                <c:pt idx="1116">
                  <c:v>46189</c:v>
                </c:pt>
                <c:pt idx="1117">
                  <c:v>46190</c:v>
                </c:pt>
                <c:pt idx="1118">
                  <c:v>46191</c:v>
                </c:pt>
                <c:pt idx="1119">
                  <c:v>46195</c:v>
                </c:pt>
                <c:pt idx="1120">
                  <c:v>46196</c:v>
                </c:pt>
                <c:pt idx="1121">
                  <c:v>46197</c:v>
                </c:pt>
                <c:pt idx="1122">
                  <c:v>46198</c:v>
                </c:pt>
                <c:pt idx="1123">
                  <c:v>46199</c:v>
                </c:pt>
                <c:pt idx="1124">
                  <c:v>46202</c:v>
                </c:pt>
                <c:pt idx="1125">
                  <c:v>46203</c:v>
                </c:pt>
                <c:pt idx="1126">
                  <c:v>46204</c:v>
                </c:pt>
                <c:pt idx="1127">
                  <c:v>46205</c:v>
                </c:pt>
                <c:pt idx="1128">
                  <c:v>46209</c:v>
                </c:pt>
              </c:numCache>
            </c:numRef>
          </c:cat>
          <c:val>
            <c:numRef>
              <c:f>'S&amp;P 500'!$F$2:$F$1130</c:f>
              <c:numCache>
                <c:formatCode>0.00</c:formatCode>
                <c:ptCount val="1129"/>
                <c:pt idx="0">
                  <c:v>100</c:v>
                </c:pt>
                <c:pt idx="1">
                  <c:v>99.966514520015537</c:v>
                </c:pt>
                <c:pt idx="2">
                  <c:v>98.046924753808398</c:v>
                </c:pt>
                <c:pt idx="3">
                  <c:v>97.954812526122311</c:v>
                </c:pt>
                <c:pt idx="4">
                  <c:v>97.567550098541759</c:v>
                </c:pt>
                <c:pt idx="5">
                  <c:v>97.446141470585601</c:v>
                </c:pt>
                <c:pt idx="6">
                  <c:v>98.333730741435801</c:v>
                </c:pt>
                <c:pt idx="7">
                  <c:v>98.599564172763209</c:v>
                </c:pt>
                <c:pt idx="8">
                  <c:v>97.241012353236158</c:v>
                </c:pt>
                <c:pt idx="9">
                  <c:v>97.280784847507846</c:v>
                </c:pt>
                <c:pt idx="10">
                  <c:v>95.557979986383089</c:v>
                </c:pt>
                <c:pt idx="11">
                  <c:v>94.565745195865588</c:v>
                </c:pt>
                <c:pt idx="12">
                  <c:v>93.519079526792865</c:v>
                </c:pt>
                <c:pt idx="13">
                  <c:v>91.683250986572261</c:v>
                </c:pt>
                <c:pt idx="14">
                  <c:v>92.072577401564672</c:v>
                </c:pt>
                <c:pt idx="15">
                  <c:v>90.948485046818377</c:v>
                </c:pt>
                <c:pt idx="16">
                  <c:v>90.720305806892611</c:v>
                </c:pt>
                <c:pt idx="17">
                  <c:v>90.272332275901832</c:v>
                </c:pt>
                <c:pt idx="18">
                  <c:v>92.514304654861903</c:v>
                </c:pt>
                <c:pt idx="19">
                  <c:v>94.180567123993626</c:v>
                </c:pt>
                <c:pt idx="20">
                  <c:v>94.816940611206235</c:v>
                </c:pt>
                <c:pt idx="21">
                  <c:v>95.738008572608621</c:v>
                </c:pt>
                <c:pt idx="22">
                  <c:v>93.487685191949481</c:v>
                </c:pt>
                <c:pt idx="23">
                  <c:v>93.927287352944191</c:v>
                </c:pt>
                <c:pt idx="24">
                  <c:v>93.625850138762274</c:v>
                </c:pt>
                <c:pt idx="25">
                  <c:v>94.396185914209212</c:v>
                </c:pt>
                <c:pt idx="26">
                  <c:v>95.777781066880323</c:v>
                </c:pt>
                <c:pt idx="27">
                  <c:v>94.057060561464169</c:v>
                </c:pt>
                <c:pt idx="28">
                  <c:v>92.202377767813843</c:v>
                </c:pt>
                <c:pt idx="29">
                  <c:v>91.900933764199692</c:v>
                </c:pt>
                <c:pt idx="30">
                  <c:v>93.383012514552959</c:v>
                </c:pt>
                <c:pt idx="31">
                  <c:v>93.487685191949481</c:v>
                </c:pt>
                <c:pt idx="32">
                  <c:v>91.490648371771798</c:v>
                </c:pt>
                <c:pt idx="33">
                  <c:v>90.898243247977319</c:v>
                </c:pt>
                <c:pt idx="34">
                  <c:v>89.922764776316654</c:v>
                </c:pt>
                <c:pt idx="35">
                  <c:v>88.327655557435293</c:v>
                </c:pt>
                <c:pt idx="36">
                  <c:v>89.656897397827777</c:v>
                </c:pt>
                <c:pt idx="37">
                  <c:v>91.63510033287227</c:v>
                </c:pt>
                <c:pt idx="38">
                  <c:v>91.400640868091273</c:v>
                </c:pt>
                <c:pt idx="39">
                  <c:v>90.008583200283027</c:v>
                </c:pt>
                <c:pt idx="40">
                  <c:v>91.664410312006851</c:v>
                </c:pt>
                <c:pt idx="41">
                  <c:v>91.208051832155306</c:v>
                </c:pt>
                <c:pt idx="42">
                  <c:v>90.467019246410914</c:v>
                </c:pt>
                <c:pt idx="43">
                  <c:v>87.800116669604151</c:v>
                </c:pt>
                <c:pt idx="44">
                  <c:v>87.134473939850466</c:v>
                </c:pt>
                <c:pt idx="45">
                  <c:v>89.470615744476007</c:v>
                </c:pt>
                <c:pt idx="46">
                  <c:v>89.066590208606598</c:v>
                </c:pt>
                <c:pt idx="47">
                  <c:v>87.934112904999751</c:v>
                </c:pt>
                <c:pt idx="48">
                  <c:v>87.29145240349969</c:v>
                </c:pt>
                <c:pt idx="49">
                  <c:v>89.211021801410098</c:v>
                </c:pt>
                <c:pt idx="50">
                  <c:v>91.189217947022343</c:v>
                </c:pt>
                <c:pt idx="51">
                  <c:v>92.33007341005748</c:v>
                </c:pt>
                <c:pt idx="52">
                  <c:v>93.341345768676291</c:v>
                </c:pt>
                <c:pt idx="53">
                  <c:v>93.31404546149534</c:v>
                </c:pt>
                <c:pt idx="54">
                  <c:v>94.405955907254125</c:v>
                </c:pt>
                <c:pt idx="55">
                  <c:v>93.19017226962292</c:v>
                </c:pt>
                <c:pt idx="56">
                  <c:v>94.594939754651506</c:v>
                </c:pt>
                <c:pt idx="57">
                  <c:v>95.056913094995295</c:v>
                </c:pt>
                <c:pt idx="58">
                  <c:v>95.733045497615095</c:v>
                </c:pt>
                <c:pt idx="59">
                  <c:v>96.917346537783246</c:v>
                </c:pt>
                <c:pt idx="60">
                  <c:v>96.318912398127821</c:v>
                </c:pt>
                <c:pt idx="61">
                  <c:v>94.836426281837888</c:v>
                </c:pt>
                <c:pt idx="62">
                  <c:v>95.105206326773171</c:v>
                </c:pt>
                <c:pt idx="63">
                  <c:v>95.919924621006913</c:v>
                </c:pt>
                <c:pt idx="64">
                  <c:v>94.708336852522322</c:v>
                </c:pt>
                <c:pt idx="65">
                  <c:v>93.761312891529442</c:v>
                </c:pt>
                <c:pt idx="66">
                  <c:v>94.233762325874835</c:v>
                </c:pt>
                <c:pt idx="67">
                  <c:v>93.981813283551332</c:v>
                </c:pt>
                <c:pt idx="68">
                  <c:v>92.375440396524468</c:v>
                </c:pt>
                <c:pt idx="69">
                  <c:v>92.033151168338946</c:v>
                </c:pt>
                <c:pt idx="70">
                  <c:v>93.087278423482928</c:v>
                </c:pt>
                <c:pt idx="71">
                  <c:v>91.928159387625669</c:v>
                </c:pt>
                <c:pt idx="72">
                  <c:v>91.965969735969693</c:v>
                </c:pt>
                <c:pt idx="73">
                  <c:v>93.450533418536182</c:v>
                </c:pt>
                <c:pt idx="74">
                  <c:v>93.381240472729104</c:v>
                </c:pt>
                <c:pt idx="75">
                  <c:v>91.98485793656107</c:v>
                </c:pt>
                <c:pt idx="76">
                  <c:v>89.460872909160287</c:v>
                </c:pt>
                <c:pt idx="77">
                  <c:v>89.979538009007001</c:v>
                </c:pt>
                <c:pt idx="78">
                  <c:v>87.373645270630718</c:v>
                </c:pt>
                <c:pt idx="79">
                  <c:v>87.619320877531266</c:v>
                </c:pt>
                <c:pt idx="80">
                  <c:v>89.832540010803299</c:v>
                </c:pt>
                <c:pt idx="81">
                  <c:v>86.512718100327689</c:v>
                </c:pt>
                <c:pt idx="82">
                  <c:v>87.03348792417998</c:v>
                </c:pt>
                <c:pt idx="83">
                  <c:v>87.432441754139433</c:v>
                </c:pt>
                <c:pt idx="84">
                  <c:v>90.095012673154145</c:v>
                </c:pt>
                <c:pt idx="85">
                  <c:v>86.892776940263516</c:v>
                </c:pt>
                <c:pt idx="86">
                  <c:v>86.374132208713533</c:v>
                </c:pt>
                <c:pt idx="87">
                  <c:v>83.608653864694134</c:v>
                </c:pt>
                <c:pt idx="88">
                  <c:v>83.801860738967122</c:v>
                </c:pt>
                <c:pt idx="89">
                  <c:v>82.470561700595255</c:v>
                </c:pt>
                <c:pt idx="90">
                  <c:v>82.384464909905603</c:v>
                </c:pt>
                <c:pt idx="91">
                  <c:v>84.354113160282466</c:v>
                </c:pt>
                <c:pt idx="92">
                  <c:v>84.011823932096945</c:v>
                </c:pt>
                <c:pt idx="93">
                  <c:v>85.739992444719675</c:v>
                </c:pt>
                <c:pt idx="94">
                  <c:v>82.283668998338726</c:v>
                </c:pt>
                <c:pt idx="95">
                  <c:v>81.779723387665982</c:v>
                </c:pt>
                <c:pt idx="96">
                  <c:v>81.815429012004444</c:v>
                </c:pt>
                <c:pt idx="97">
                  <c:v>83.346174412911026</c:v>
                </c:pt>
                <c:pt idx="98">
                  <c:v>82.709950293208323</c:v>
                </c:pt>
                <c:pt idx="99">
                  <c:v>83.440683310190451</c:v>
                </c:pt>
                <c:pt idx="100">
                  <c:v>85.10793024700213</c:v>
                </c:pt>
                <c:pt idx="101">
                  <c:v>87.19726939896951</c:v>
                </c:pt>
                <c:pt idx="102">
                  <c:v>86.708009330309281</c:v>
                </c:pt>
                <c:pt idx="103">
                  <c:v>86.006667765649397</c:v>
                </c:pt>
                <c:pt idx="104">
                  <c:v>87.64453003957135</c:v>
                </c:pt>
                <c:pt idx="105">
                  <c:v>86.206154864777602</c:v>
                </c:pt>
                <c:pt idx="106">
                  <c:v>86.46863431656071</c:v>
                </c:pt>
                <c:pt idx="107">
                  <c:v>87.298065310536387</c:v>
                </c:pt>
                <c:pt idx="108">
                  <c:v>86.348943414970194</c:v>
                </c:pt>
                <c:pt idx="109">
                  <c:v>84.295309887341503</c:v>
                </c:pt>
                <c:pt idx="110">
                  <c:v>81.851121057478395</c:v>
                </c:pt>
                <c:pt idx="111">
                  <c:v>78.743380643002681</c:v>
                </c:pt>
                <c:pt idx="112">
                  <c:v>78.506096774394948</c:v>
                </c:pt>
                <c:pt idx="113">
                  <c:v>79.625314316767145</c:v>
                </c:pt>
                <c:pt idx="114">
                  <c:v>76.990023336636611</c:v>
                </c:pt>
                <c:pt idx="115">
                  <c:v>77.155991008618912</c:v>
                </c:pt>
                <c:pt idx="116">
                  <c:v>79.098277846924375</c:v>
                </c:pt>
                <c:pt idx="117">
                  <c:v>78.954885037259032</c:v>
                </c:pt>
                <c:pt idx="118">
                  <c:v>79.728839580108854</c:v>
                </c:pt>
                <c:pt idx="119">
                  <c:v>82.263735225176902</c:v>
                </c:pt>
                <c:pt idx="120">
                  <c:v>81.949506720587451</c:v>
                </c:pt>
                <c:pt idx="121">
                  <c:v>80.275049406698557</c:v>
                </c:pt>
                <c:pt idx="122">
                  <c:v>80.209680752747062</c:v>
                </c:pt>
                <c:pt idx="123">
                  <c:v>79.558024253481463</c:v>
                </c:pt>
                <c:pt idx="124">
                  <c:v>80.399472542585286</c:v>
                </c:pt>
                <c:pt idx="125">
                  <c:v>80.55129782713712</c:v>
                </c:pt>
                <c:pt idx="126">
                  <c:v>80.823357167861559</c:v>
                </c:pt>
                <c:pt idx="127">
                  <c:v>82.033872206046738</c:v>
                </c:pt>
                <c:pt idx="128">
                  <c:v>81.966398828089694</c:v>
                </c:pt>
                <c:pt idx="129">
                  <c:v>81.030041065202042</c:v>
                </c:pt>
                <c:pt idx="130">
                  <c:v>80.312995543688189</c:v>
                </c:pt>
                <c:pt idx="131">
                  <c:v>79.891236010714223</c:v>
                </c:pt>
                <c:pt idx="132">
                  <c:v>79.697214404568143</c:v>
                </c:pt>
                <c:pt idx="133">
                  <c:v>81.21983285504048</c:v>
                </c:pt>
                <c:pt idx="134">
                  <c:v>80.549206681996282</c:v>
                </c:pt>
                <c:pt idx="135">
                  <c:v>82.72558635573958</c:v>
                </c:pt>
                <c:pt idx="136">
                  <c:v>83.252799350821476</c:v>
                </c:pt>
                <c:pt idx="137">
                  <c:v>84.100588969670966</c:v>
                </c:pt>
                <c:pt idx="138">
                  <c:v>83.320286307643229</c:v>
                </c:pt>
                <c:pt idx="139">
                  <c:v>83.421530321740264</c:v>
                </c:pt>
                <c:pt idx="140">
                  <c:v>82.434570920101052</c:v>
                </c:pt>
                <c:pt idx="141">
                  <c:v>84.575082023131259</c:v>
                </c:pt>
                <c:pt idx="142">
                  <c:v>85.635869711337691</c:v>
                </c:pt>
                <c:pt idx="143">
                  <c:v>86.884330886512288</c:v>
                </c:pt>
                <c:pt idx="144">
                  <c:v>86.627045350420261</c:v>
                </c:pt>
                <c:pt idx="145">
                  <c:v>86.055524520306093</c:v>
                </c:pt>
                <c:pt idx="146">
                  <c:v>87.403111406707893</c:v>
                </c:pt>
                <c:pt idx="147">
                  <c:v>87.344084082501865</c:v>
                </c:pt>
                <c:pt idx="148">
                  <c:v>87.196441088231907</c:v>
                </c:pt>
                <c:pt idx="149">
                  <c:v>87.095203863567122</c:v>
                </c:pt>
                <c:pt idx="150">
                  <c:v>86.749356972868981</c:v>
                </c:pt>
                <c:pt idx="151">
                  <c:v>88.571430123298825</c:v>
                </c:pt>
                <c:pt idx="152">
                  <c:v>88.571430123298825</c:v>
                </c:pt>
                <c:pt idx="153">
                  <c:v>90.070862662549203</c:v>
                </c:pt>
                <c:pt idx="154">
                  <c:v>90.442013767339134</c:v>
                </c:pt>
                <c:pt idx="155">
                  <c:v>90.619184002576702</c:v>
                </c:pt>
                <c:pt idx="156">
                  <c:v>89.975973557062332</c:v>
                </c:pt>
                <c:pt idx="157">
                  <c:v>90.237454962300973</c:v>
                </c:pt>
                <c:pt idx="158">
                  <c:v>89.024862357839453</c:v>
                </c:pt>
                <c:pt idx="159">
                  <c:v>87.171136874139904</c:v>
                </c:pt>
                <c:pt idx="160">
                  <c:v>86.96025031822056</c:v>
                </c:pt>
                <c:pt idx="161">
                  <c:v>87.238623830961458</c:v>
                </c:pt>
                <c:pt idx="162">
                  <c:v>88.470206477498536</c:v>
                </c:pt>
                <c:pt idx="163">
                  <c:v>85.475578004737869</c:v>
                </c:pt>
                <c:pt idx="164">
                  <c:v>84.910418872666327</c:v>
                </c:pt>
                <c:pt idx="165">
                  <c:v>83.978277347222033</c:v>
                </c:pt>
                <c:pt idx="166">
                  <c:v>83.339269560286326</c:v>
                </c:pt>
                <c:pt idx="167">
                  <c:v>83.600778123254173</c:v>
                </c:pt>
                <c:pt idx="168">
                  <c:v>82.719258604858396</c:v>
                </c:pt>
                <c:pt idx="169">
                  <c:v>82.407141613706742</c:v>
                </c:pt>
                <c:pt idx="170">
                  <c:v>83.887584110881576</c:v>
                </c:pt>
                <c:pt idx="171">
                  <c:v>84.435891872044593</c:v>
                </c:pt>
                <c:pt idx="172">
                  <c:v>85.747616977165336</c:v>
                </c:pt>
                <c:pt idx="173">
                  <c:v>86.669214514285315</c:v>
                </c:pt>
                <c:pt idx="174">
                  <c:v>82.900617919810117</c:v>
                </c:pt>
                <c:pt idx="175">
                  <c:v>83.216964727269854</c:v>
                </c:pt>
                <c:pt idx="176">
                  <c:v>82.272174489495669</c:v>
                </c:pt>
                <c:pt idx="177">
                  <c:v>81.644525422757596</c:v>
                </c:pt>
                <c:pt idx="178">
                  <c:v>82.277673929639036</c:v>
                </c:pt>
                <c:pt idx="179">
                  <c:v>81.333250321208027</c:v>
                </c:pt>
                <c:pt idx="180">
                  <c:v>79.914489816258893</c:v>
                </c:pt>
                <c:pt idx="181">
                  <c:v>79.243218647148467</c:v>
                </c:pt>
                <c:pt idx="182">
                  <c:v>77.91551121845049</c:v>
                </c:pt>
                <c:pt idx="183">
                  <c:v>77.144713761608912</c:v>
                </c:pt>
                <c:pt idx="184">
                  <c:v>76.947786278448646</c:v>
                </c:pt>
                <c:pt idx="185">
                  <c:v>78.461843254821105</c:v>
                </c:pt>
                <c:pt idx="186">
                  <c:v>76.822847145709048</c:v>
                </c:pt>
                <c:pt idx="187">
                  <c:v>75.634906969841069</c:v>
                </c:pt>
                <c:pt idx="188">
                  <c:v>77.631740107050192</c:v>
                </c:pt>
                <c:pt idx="189">
                  <c:v>80.037310646128418</c:v>
                </c:pt>
                <c:pt idx="190">
                  <c:v>79.850967887886199</c:v>
                </c:pt>
                <c:pt idx="191">
                  <c:v>79.027226438157939</c:v>
                </c:pt>
                <c:pt idx="192">
                  <c:v>76.822847145709048</c:v>
                </c:pt>
                <c:pt idx="193">
                  <c:v>76.236294512536375</c:v>
                </c:pt>
                <c:pt idx="194">
                  <c:v>75.753477615105993</c:v>
                </c:pt>
                <c:pt idx="195">
                  <c:v>75.503599349626583</c:v>
                </c:pt>
                <c:pt idx="196">
                  <c:v>77.496236617689533</c:v>
                </c:pt>
                <c:pt idx="197">
                  <c:v>75.730189862399882</c:v>
                </c:pt>
                <c:pt idx="198">
                  <c:v>77.676224467321376</c:v>
                </c:pt>
                <c:pt idx="199">
                  <c:v>78.588893900998499</c:v>
                </c:pt>
                <c:pt idx="200">
                  <c:v>78.031970350277618</c:v>
                </c:pt>
                <c:pt idx="201">
                  <c:v>77.377659182992147</c:v>
                </c:pt>
                <c:pt idx="202">
                  <c:v>79.258039977806618</c:v>
                </c:pt>
                <c:pt idx="203">
                  <c:v>80.227876431246258</c:v>
                </c:pt>
                <c:pt idx="204">
                  <c:v>81.509008354532213</c:v>
                </c:pt>
                <c:pt idx="205">
                  <c:v>80.894904205184105</c:v>
                </c:pt>
                <c:pt idx="206">
                  <c:v>80.462933366067318</c:v>
                </c:pt>
                <c:pt idx="207">
                  <c:v>82.377200217370415</c:v>
                </c:pt>
                <c:pt idx="208">
                  <c:v>81.782160793853038</c:v>
                </c:pt>
                <c:pt idx="209">
                  <c:v>81.424310186891219</c:v>
                </c:pt>
                <c:pt idx="210">
                  <c:v>79.380854018243895</c:v>
                </c:pt>
                <c:pt idx="211">
                  <c:v>78.563481055990309</c:v>
                </c:pt>
                <c:pt idx="212">
                  <c:v>79.694267790960268</c:v>
                </c:pt>
                <c:pt idx="213">
                  <c:v>80.456578457457141</c:v>
                </c:pt>
                <c:pt idx="214">
                  <c:v>80.890660810011738</c:v>
                </c:pt>
                <c:pt idx="215">
                  <c:v>79.224160710750226</c:v>
                </c:pt>
                <c:pt idx="216">
                  <c:v>83.5778434210265</c:v>
                </c:pt>
                <c:pt idx="217">
                  <c:v>84.386770329529099</c:v>
                </c:pt>
                <c:pt idx="218">
                  <c:v>83.668923655006665</c:v>
                </c:pt>
                <c:pt idx="219">
                  <c:v>84.382520144924484</c:v>
                </c:pt>
                <c:pt idx="220">
                  <c:v>83.738800491989295</c:v>
                </c:pt>
                <c:pt idx="221">
                  <c:v>83.482560528467701</c:v>
                </c:pt>
                <c:pt idx="222">
                  <c:v>83.861621321858834</c:v>
                </c:pt>
                <c:pt idx="223">
                  <c:v>83.556680760622683</c:v>
                </c:pt>
                <c:pt idx="224">
                  <c:v>84.681105797550472</c:v>
                </c:pt>
                <c:pt idx="225">
                  <c:v>85.214714437836236</c:v>
                </c:pt>
                <c:pt idx="226">
                  <c:v>85.195663290870243</c:v>
                </c:pt>
                <c:pt idx="227">
                  <c:v>83.836215266282878</c:v>
                </c:pt>
                <c:pt idx="228">
                  <c:v>83.692218197145024</c:v>
                </c:pt>
                <c:pt idx="229">
                  <c:v>86.328561539278226</c:v>
                </c:pt>
                <c:pt idx="230">
                  <c:v>86.265046400338008</c:v>
                </c:pt>
                <c:pt idx="231">
                  <c:v>86.165506533742132</c:v>
                </c:pt>
                <c:pt idx="232">
                  <c:v>84.615465566307719</c:v>
                </c:pt>
                <c:pt idx="233">
                  <c:v>83.395744057956648</c:v>
                </c:pt>
                <c:pt idx="234">
                  <c:v>83.253865291688854</c:v>
                </c:pt>
                <c:pt idx="235">
                  <c:v>83.906071734968762</c:v>
                </c:pt>
                <c:pt idx="236">
                  <c:v>83.27928492612952</c:v>
                </c:pt>
                <c:pt idx="237">
                  <c:v>84.479941708650102</c:v>
                </c:pt>
                <c:pt idx="238">
                  <c:v>85.119445124141919</c:v>
                </c:pt>
                <c:pt idx="239">
                  <c:v>84.575224601209129</c:v>
                </c:pt>
                <c:pt idx="240">
                  <c:v>82.506375955850132</c:v>
                </c:pt>
                <c:pt idx="241">
                  <c:v>81.532296107238125</c:v>
                </c:pt>
                <c:pt idx="242">
                  <c:v>80.840921429159025</c:v>
                </c:pt>
                <c:pt idx="243">
                  <c:v>80.951548438661291</c:v>
                </c:pt>
                <c:pt idx="244">
                  <c:v>82.161968424794551</c:v>
                </c:pt>
                <c:pt idx="245">
                  <c:v>80.989840836696928</c:v>
                </c:pt>
                <c:pt idx="246">
                  <c:v>81.45571131116688</c:v>
                </c:pt>
                <c:pt idx="247">
                  <c:v>81.134503270197968</c:v>
                </c:pt>
                <c:pt idx="248">
                  <c:v>80.12615715688986</c:v>
                </c:pt>
                <c:pt idx="249">
                  <c:v>81.56846341297144</c:v>
                </c:pt>
                <c:pt idx="250">
                  <c:v>81.353605039170773</c:v>
                </c:pt>
                <c:pt idx="251">
                  <c:v>81.011105338584898</c:v>
                </c:pt>
                <c:pt idx="252">
                  <c:v>81.636541050401235</c:v>
                </c:pt>
                <c:pt idx="253">
                  <c:v>80.704779733164386</c:v>
                </c:pt>
                <c:pt idx="254">
                  <c:v>82.555511077230321</c:v>
                </c:pt>
                <c:pt idx="255">
                  <c:v>82.508718309985255</c:v>
                </c:pt>
                <c:pt idx="256">
                  <c:v>83.087334096827519</c:v>
                </c:pt>
                <c:pt idx="257">
                  <c:v>84.138209213911381</c:v>
                </c:pt>
                <c:pt idx="258">
                  <c:v>84.444541608764141</c:v>
                </c:pt>
                <c:pt idx="259">
                  <c:v>84.772138505504671</c:v>
                </c:pt>
                <c:pt idx="260">
                  <c:v>84.616843821059845</c:v>
                </c:pt>
                <c:pt idx="261">
                  <c:v>83.280914389875733</c:v>
                </c:pt>
                <c:pt idx="262">
                  <c:v>82.6746520348063</c:v>
                </c:pt>
                <c:pt idx="263">
                  <c:v>84.214800799414874</c:v>
                </c:pt>
                <c:pt idx="264">
                  <c:v>85.225238057863834</c:v>
                </c:pt>
                <c:pt idx="265">
                  <c:v>85.133784405108457</c:v>
                </c:pt>
                <c:pt idx="266">
                  <c:v>85.165694736804937</c:v>
                </c:pt>
                <c:pt idx="267">
                  <c:v>86.101692659781676</c:v>
                </c:pt>
                <c:pt idx="268">
                  <c:v>86.29952313743469</c:v>
                </c:pt>
                <c:pt idx="269">
                  <c:v>85.216737688654391</c:v>
                </c:pt>
                <c:pt idx="270">
                  <c:v>86.46970704686035</c:v>
                </c:pt>
                <c:pt idx="271">
                  <c:v>87.388690652553933</c:v>
                </c:pt>
                <c:pt idx="272">
                  <c:v>88.660812999209853</c:v>
                </c:pt>
                <c:pt idx="273">
                  <c:v>87.718453378190475</c:v>
                </c:pt>
                <c:pt idx="274">
                  <c:v>87.182346226827207</c:v>
                </c:pt>
                <c:pt idx="275">
                  <c:v>88.322583851525337</c:v>
                </c:pt>
                <c:pt idx="276">
                  <c:v>87.356787110289929</c:v>
                </c:pt>
                <c:pt idx="277">
                  <c:v>86.599480255380328</c:v>
                </c:pt>
                <c:pt idx="278">
                  <c:v>86.801567707070205</c:v>
                </c:pt>
                <c:pt idx="279">
                  <c:v>87.820539281889836</c:v>
                </c:pt>
                <c:pt idx="280">
                  <c:v>87.780115002119643</c:v>
                </c:pt>
                <c:pt idx="281">
                  <c:v>88.065176105652185</c:v>
                </c:pt>
                <c:pt idx="282">
                  <c:v>86.852624237784369</c:v>
                </c:pt>
                <c:pt idx="283">
                  <c:v>86.635640771681395</c:v>
                </c:pt>
                <c:pt idx="284">
                  <c:v>84.897661529420049</c:v>
                </c:pt>
                <c:pt idx="285">
                  <c:v>84.780659243010845</c:v>
                </c:pt>
                <c:pt idx="286">
                  <c:v>85.231640492499935</c:v>
                </c:pt>
                <c:pt idx="287">
                  <c:v>84.321157256015582</c:v>
                </c:pt>
                <c:pt idx="288">
                  <c:v>84.608350241282665</c:v>
                </c:pt>
                <c:pt idx="289">
                  <c:v>84.295635780090734</c:v>
                </c:pt>
                <c:pt idx="290">
                  <c:v>83.972275489090322</c:v>
                </c:pt>
                <c:pt idx="291">
                  <c:v>84.625357769133785</c:v>
                </c:pt>
                <c:pt idx="292">
                  <c:v>85.982572070502414</c:v>
                </c:pt>
                <c:pt idx="293">
                  <c:v>86.042128970426035</c:v>
                </c:pt>
                <c:pt idx="294">
                  <c:v>84.723213856525049</c:v>
                </c:pt>
                <c:pt idx="295">
                  <c:v>84.861487434254471</c:v>
                </c:pt>
                <c:pt idx="296">
                  <c:v>83.295803614856567</c:v>
                </c:pt>
                <c:pt idx="297">
                  <c:v>82.093890787364984</c:v>
                </c:pt>
                <c:pt idx="298">
                  <c:v>81.976902079820306</c:v>
                </c:pt>
                <c:pt idx="299">
                  <c:v>83.33197771002213</c:v>
                </c:pt>
                <c:pt idx="300">
                  <c:v>82.810786941368931</c:v>
                </c:pt>
                <c:pt idx="301">
                  <c:v>84.263725448394496</c:v>
                </c:pt>
                <c:pt idx="302">
                  <c:v>83.278449825959683</c:v>
                </c:pt>
                <c:pt idx="303">
                  <c:v>84.079222626299043</c:v>
                </c:pt>
                <c:pt idx="304">
                  <c:v>85.183231840373409</c:v>
                </c:pt>
                <c:pt idx="305">
                  <c:v>83.731155591246676</c:v>
                </c:pt>
                <c:pt idx="306">
                  <c:v>83.957501684458137</c:v>
                </c:pt>
                <c:pt idx="307">
                  <c:v>84.508450534776287</c:v>
                </c:pt>
                <c:pt idx="308">
                  <c:v>84.666454202699185</c:v>
                </c:pt>
                <c:pt idx="309">
                  <c:v>84.476411203866689</c:v>
                </c:pt>
                <c:pt idx="310">
                  <c:v>85.704266452084255</c:v>
                </c:pt>
                <c:pt idx="311">
                  <c:v>86.20609375988694</c:v>
                </c:pt>
                <c:pt idx="312">
                  <c:v>87.42114413883246</c:v>
                </c:pt>
                <c:pt idx="313">
                  <c:v>87.754247265148592</c:v>
                </c:pt>
                <c:pt idx="314">
                  <c:v>87.267377076649694</c:v>
                </c:pt>
                <c:pt idx="315">
                  <c:v>87.038899101703663</c:v>
                </c:pt>
                <c:pt idx="316">
                  <c:v>87.378425030952883</c:v>
                </c:pt>
                <c:pt idx="317">
                  <c:v>87.468099852451928</c:v>
                </c:pt>
                <c:pt idx="318">
                  <c:v>87.491598077558621</c:v>
                </c:pt>
                <c:pt idx="319">
                  <c:v>87.134983147271072</c:v>
                </c:pt>
                <c:pt idx="320">
                  <c:v>88.292364088465732</c:v>
                </c:pt>
                <c:pt idx="321">
                  <c:v>88.076697772224222</c:v>
                </c:pt>
                <c:pt idx="322">
                  <c:v>88.392725476366749</c:v>
                </c:pt>
                <c:pt idx="323">
                  <c:v>88.450381335253141</c:v>
                </c:pt>
                <c:pt idx="324">
                  <c:v>88.435437794814078</c:v>
                </c:pt>
                <c:pt idx="325">
                  <c:v>87.952838159216512</c:v>
                </c:pt>
                <c:pt idx="326">
                  <c:v>88.021173795072613</c:v>
                </c:pt>
                <c:pt idx="327">
                  <c:v>88.112994077170711</c:v>
                </c:pt>
                <c:pt idx="328">
                  <c:v>86.714303134029009</c:v>
                </c:pt>
                <c:pt idx="329">
                  <c:v>86.347015216203971</c:v>
                </c:pt>
                <c:pt idx="330">
                  <c:v>88.066017995254271</c:v>
                </c:pt>
                <c:pt idx="331">
                  <c:v>88.817669253078151</c:v>
                </c:pt>
                <c:pt idx="332">
                  <c:v>88.727994431579134</c:v>
                </c:pt>
                <c:pt idx="333">
                  <c:v>87.73075582947439</c:v>
                </c:pt>
                <c:pt idx="334">
                  <c:v>87.128567133770446</c:v>
                </c:pt>
                <c:pt idx="335">
                  <c:v>86.511462055356702</c:v>
                </c:pt>
                <c:pt idx="336">
                  <c:v>88.112994077170711</c:v>
                </c:pt>
                <c:pt idx="337">
                  <c:v>88.136478723412907</c:v>
                </c:pt>
                <c:pt idx="338">
                  <c:v>87.749969922814998</c:v>
                </c:pt>
                <c:pt idx="339">
                  <c:v>88.159970159087138</c:v>
                </c:pt>
                <c:pt idx="340">
                  <c:v>88.006237044065799</c:v>
                </c:pt>
                <c:pt idx="341">
                  <c:v>87.890918536861022</c:v>
                </c:pt>
                <c:pt idx="342">
                  <c:v>88.194148161163568</c:v>
                </c:pt>
                <c:pt idx="343">
                  <c:v>87.604771124164131</c:v>
                </c:pt>
                <c:pt idx="344">
                  <c:v>88.668193112093689</c:v>
                </c:pt>
                <c:pt idx="345">
                  <c:v>89.52236479728235</c:v>
                </c:pt>
                <c:pt idx="346">
                  <c:v>89.392095960206277</c:v>
                </c:pt>
                <c:pt idx="347">
                  <c:v>89.428399054585</c:v>
                </c:pt>
                <c:pt idx="348">
                  <c:v>88.424758017844127</c:v>
                </c:pt>
                <c:pt idx="349">
                  <c:v>87.784141135459166</c:v>
                </c:pt>
                <c:pt idx="350">
                  <c:v>88.544333499085994</c:v>
                </c:pt>
                <c:pt idx="351">
                  <c:v>89.69106861047193</c:v>
                </c:pt>
                <c:pt idx="352">
                  <c:v>89.725219454819381</c:v>
                </c:pt>
                <c:pt idx="353">
                  <c:v>89.227676278782766</c:v>
                </c:pt>
                <c:pt idx="354">
                  <c:v>90.075431950470801</c:v>
                </c:pt>
                <c:pt idx="355">
                  <c:v>91.378025269180597</c:v>
                </c:pt>
                <c:pt idx="356">
                  <c:v>91.202919021354873</c:v>
                </c:pt>
                <c:pt idx="357">
                  <c:v>91.401509915422579</c:v>
                </c:pt>
                <c:pt idx="358">
                  <c:v>91.0854890007123</c:v>
                </c:pt>
                <c:pt idx="359">
                  <c:v>91.636403903869223</c:v>
                </c:pt>
                <c:pt idx="360">
                  <c:v>91.800823585292733</c:v>
                </c:pt>
                <c:pt idx="361">
                  <c:v>92.633642505973967</c:v>
                </c:pt>
                <c:pt idx="362">
                  <c:v>93.244365518048568</c:v>
                </c:pt>
                <c:pt idx="363">
                  <c:v>93.355399893487274</c:v>
                </c:pt>
                <c:pt idx="364">
                  <c:v>94.512780834681948</c:v>
                </c:pt>
                <c:pt idx="365">
                  <c:v>94.190859903323883</c:v>
                </c:pt>
                <c:pt idx="366">
                  <c:v>93.702176936407199</c:v>
                </c:pt>
                <c:pt idx="367">
                  <c:v>93.222062233022413</c:v>
                </c:pt>
                <c:pt idx="368">
                  <c:v>93.558587233205799</c:v>
                </c:pt>
                <c:pt idx="369">
                  <c:v>92.851291336439928</c:v>
                </c:pt>
                <c:pt idx="370">
                  <c:v>92.471911439731571</c:v>
                </c:pt>
                <c:pt idx="371">
                  <c:v>93.485709467157079</c:v>
                </c:pt>
                <c:pt idx="372">
                  <c:v>93.532862074312632</c:v>
                </c:pt>
                <c:pt idx="373">
                  <c:v>93.90150787859281</c:v>
                </c:pt>
                <c:pt idx="374">
                  <c:v>95.009617909761872</c:v>
                </c:pt>
                <c:pt idx="375">
                  <c:v>95.118920979970227</c:v>
                </c:pt>
                <c:pt idx="376">
                  <c:v>94.977469947935845</c:v>
                </c:pt>
                <c:pt idx="377">
                  <c:v>94.233721589281117</c:v>
                </c:pt>
                <c:pt idx="378">
                  <c:v>93.995813092904129</c:v>
                </c:pt>
                <c:pt idx="379">
                  <c:v>94.233721589281117</c:v>
                </c:pt>
                <c:pt idx="380">
                  <c:v>94.833853087005423</c:v>
                </c:pt>
                <c:pt idx="381">
                  <c:v>95.596883433323484</c:v>
                </c:pt>
                <c:pt idx="382">
                  <c:v>96.355616069010978</c:v>
                </c:pt>
                <c:pt idx="383">
                  <c:v>96.295617855989462</c:v>
                </c:pt>
                <c:pt idx="384">
                  <c:v>96.629956658980063</c:v>
                </c:pt>
                <c:pt idx="385">
                  <c:v>97.347979858741624</c:v>
                </c:pt>
                <c:pt idx="386">
                  <c:v>97.564454117423978</c:v>
                </c:pt>
                <c:pt idx="387">
                  <c:v>96.917170012544133</c:v>
                </c:pt>
                <c:pt idx="388">
                  <c:v>96.917170012544133</c:v>
                </c:pt>
                <c:pt idx="389">
                  <c:v>97.35012531934089</c:v>
                </c:pt>
                <c:pt idx="390">
                  <c:v>97.615911224642346</c:v>
                </c:pt>
                <c:pt idx="391">
                  <c:v>97.630909080539624</c:v>
                </c:pt>
                <c:pt idx="392">
                  <c:v>96.983624975659737</c:v>
                </c:pt>
                <c:pt idx="393">
                  <c:v>97.933120290000929</c:v>
                </c:pt>
                <c:pt idx="394">
                  <c:v>98.119585258024074</c:v>
                </c:pt>
                <c:pt idx="395">
                  <c:v>97.838815075689837</c:v>
                </c:pt>
                <c:pt idx="396">
                  <c:v>96.477798692246523</c:v>
                </c:pt>
                <c:pt idx="397">
                  <c:v>96.201305852246122</c:v>
                </c:pt>
                <c:pt idx="398">
                  <c:v>95.766211874282334</c:v>
                </c:pt>
                <c:pt idx="399">
                  <c:v>96.602113197216838</c:v>
                </c:pt>
                <c:pt idx="400">
                  <c:v>96.182010285718292</c:v>
                </c:pt>
                <c:pt idx="401">
                  <c:v>95.539023891469</c:v>
                </c:pt>
                <c:pt idx="402">
                  <c:v>95.573310524461846</c:v>
                </c:pt>
                <c:pt idx="403">
                  <c:v>95.517582864341904</c:v>
                </c:pt>
                <c:pt idx="404">
                  <c:v>96.044836596017504</c:v>
                </c:pt>
                <c:pt idx="405">
                  <c:v>94.926026419581973</c:v>
                </c:pt>
                <c:pt idx="406">
                  <c:v>94.229444246947295</c:v>
                </c:pt>
                <c:pt idx="407">
                  <c:v>93.511421047185749</c:v>
                </c:pt>
                <c:pt idx="408">
                  <c:v>93.556441772606519</c:v>
                </c:pt>
                <c:pt idx="409">
                  <c:v>94.165141533862979</c:v>
                </c:pt>
                <c:pt idx="410">
                  <c:v>93.910082931557199</c:v>
                </c:pt>
                <c:pt idx="411">
                  <c:v>94.956028920808734</c:v>
                </c:pt>
                <c:pt idx="412">
                  <c:v>93.640026473354183</c:v>
                </c:pt>
                <c:pt idx="413">
                  <c:v>94.300169762964487</c:v>
                </c:pt>
                <c:pt idx="414">
                  <c:v>94.898162589522002</c:v>
                </c:pt>
                <c:pt idx="415">
                  <c:v>96.269879118231799</c:v>
                </c:pt>
                <c:pt idx="416">
                  <c:v>96.66640912086892</c:v>
                </c:pt>
                <c:pt idx="417">
                  <c:v>96.524944509969828</c:v>
                </c:pt>
                <c:pt idx="418">
                  <c:v>96.704986675060084</c:v>
                </c:pt>
                <c:pt idx="419">
                  <c:v>96.287022434728328</c:v>
                </c:pt>
                <c:pt idx="420">
                  <c:v>95.639745119280718</c:v>
                </c:pt>
                <c:pt idx="421">
                  <c:v>95.346115752216036</c:v>
                </c:pt>
                <c:pt idx="422">
                  <c:v>95.489719034281933</c:v>
                </c:pt>
                <c:pt idx="423">
                  <c:v>96.117721151498472</c:v>
                </c:pt>
                <c:pt idx="424">
                  <c:v>95.590453840958361</c:v>
                </c:pt>
                <c:pt idx="425">
                  <c:v>95.701915950630479</c:v>
                </c:pt>
                <c:pt idx="426">
                  <c:v>96.527083181136831</c:v>
                </c:pt>
                <c:pt idx="427">
                  <c:v>95.364100958314651</c:v>
                </c:pt>
                <c:pt idx="428">
                  <c:v>95.420025511970664</c:v>
                </c:pt>
                <c:pt idx="429">
                  <c:v>95.222140718859663</c:v>
                </c:pt>
                <c:pt idx="430">
                  <c:v>94.346724900079764</c:v>
                </c:pt>
                <c:pt idx="431">
                  <c:v>92.78732809496934</c:v>
                </c:pt>
                <c:pt idx="432">
                  <c:v>92.578702419997924</c:v>
                </c:pt>
                <c:pt idx="433">
                  <c:v>92.968015256125824</c:v>
                </c:pt>
                <c:pt idx="434">
                  <c:v>91.602191954631323</c:v>
                </c:pt>
                <c:pt idx="435">
                  <c:v>91.638753047436609</c:v>
                </c:pt>
                <c:pt idx="436">
                  <c:v>92.170019333587234</c:v>
                </c:pt>
                <c:pt idx="437">
                  <c:v>91.946341487260369</c:v>
                </c:pt>
                <c:pt idx="438">
                  <c:v>91.909773605022849</c:v>
                </c:pt>
                <c:pt idx="439">
                  <c:v>90.679467371753745</c:v>
                </c:pt>
                <c:pt idx="440">
                  <c:v>91.339780397170927</c:v>
                </c:pt>
                <c:pt idx="441">
                  <c:v>91.305364764964722</c:v>
                </c:pt>
                <c:pt idx="442">
                  <c:v>92.389419837580306</c:v>
                </c:pt>
                <c:pt idx="443">
                  <c:v>92.980915177449774</c:v>
                </c:pt>
                <c:pt idx="444">
                  <c:v>93.46485912063801</c:v>
                </c:pt>
                <c:pt idx="445">
                  <c:v>93.847715206671566</c:v>
                </c:pt>
                <c:pt idx="446">
                  <c:v>93.275590117085088</c:v>
                </c:pt>
                <c:pt idx="447">
                  <c:v>92.810996055882896</c:v>
                </c:pt>
                <c:pt idx="448">
                  <c:v>93.787499731817235</c:v>
                </c:pt>
                <c:pt idx="449">
                  <c:v>93.783195231754419</c:v>
                </c:pt>
                <c:pt idx="450">
                  <c:v>92.533525537634787</c:v>
                </c:pt>
                <c:pt idx="451">
                  <c:v>91.720484233172982</c:v>
                </c:pt>
                <c:pt idx="452">
                  <c:v>90.59343847538679</c:v>
                </c:pt>
                <c:pt idx="453">
                  <c:v>90.43640569627938</c:v>
                </c:pt>
                <c:pt idx="454">
                  <c:v>91.118248011443114</c:v>
                </c:pt>
                <c:pt idx="455">
                  <c:v>89.810481145339182</c:v>
                </c:pt>
                <c:pt idx="456">
                  <c:v>88.735048651713726</c:v>
                </c:pt>
                <c:pt idx="457">
                  <c:v>88.332822315397379</c:v>
                </c:pt>
                <c:pt idx="458">
                  <c:v>89.388925295333337</c:v>
                </c:pt>
                <c:pt idx="459">
                  <c:v>89.95030271362738</c:v>
                </c:pt>
                <c:pt idx="460">
                  <c:v>90.909601968174954</c:v>
                </c:pt>
                <c:pt idx="461">
                  <c:v>92.651824605608681</c:v>
                </c:pt>
                <c:pt idx="462">
                  <c:v>93.497129292244949</c:v>
                </c:pt>
                <c:pt idx="463">
                  <c:v>93.712211717310694</c:v>
                </c:pt>
                <c:pt idx="464">
                  <c:v>93.978927774834119</c:v>
                </c:pt>
                <c:pt idx="465">
                  <c:v>94.047765828678592</c:v>
                </c:pt>
                <c:pt idx="466">
                  <c:v>93.314303459921661</c:v>
                </c:pt>
                <c:pt idx="467">
                  <c:v>94.770446578981421</c:v>
                </c:pt>
                <c:pt idx="468">
                  <c:v>94.680119971983899</c:v>
                </c:pt>
                <c:pt idx="469">
                  <c:v>96.516973716478176</c:v>
                </c:pt>
                <c:pt idx="470">
                  <c:v>96.721328838548004</c:v>
                </c:pt>
                <c:pt idx="471">
                  <c:v>96.839607538225152</c:v>
                </c:pt>
                <c:pt idx="472">
                  <c:v>96.960065645662596</c:v>
                </c:pt>
                <c:pt idx="473">
                  <c:v>97.706427935743704</c:v>
                </c:pt>
                <c:pt idx="474">
                  <c:v>97.49348418184475</c:v>
                </c:pt>
                <c:pt idx="475">
                  <c:v>97.86988351778399</c:v>
                </c:pt>
                <c:pt idx="476">
                  <c:v>97.930105782070569</c:v>
                </c:pt>
                <c:pt idx="477">
                  <c:v>97.753743489273859</c:v>
                </c:pt>
                <c:pt idx="478">
                  <c:v>97.85052684636571</c:v>
                </c:pt>
                <c:pt idx="479">
                  <c:v>97.781695581953272</c:v>
                </c:pt>
                <c:pt idx="480">
                  <c:v>98.166717496882853</c:v>
                </c:pt>
                <c:pt idx="481">
                  <c:v>98.74745158659519</c:v>
                </c:pt>
                <c:pt idx="482">
                  <c:v>98.22909880063321</c:v>
                </c:pt>
                <c:pt idx="483">
                  <c:v>98.209721760917958</c:v>
                </c:pt>
                <c:pt idx="484">
                  <c:v>97.813972542992687</c:v>
                </c:pt>
                <c:pt idx="485">
                  <c:v>98.56032804364132</c:v>
                </c:pt>
                <c:pt idx="486">
                  <c:v>98.984056511975226</c:v>
                </c:pt>
                <c:pt idx="487">
                  <c:v>99.369051269175586</c:v>
                </c:pt>
                <c:pt idx="488">
                  <c:v>99.822897659085143</c:v>
                </c:pt>
                <c:pt idx="489">
                  <c:v>101.19946184244002</c:v>
                </c:pt>
                <c:pt idx="490">
                  <c:v>101.52425470365078</c:v>
                </c:pt>
                <c:pt idx="491">
                  <c:v>101.35709209158772</c:v>
                </c:pt>
                <c:pt idx="492">
                  <c:v>101.92724145638203</c:v>
                </c:pt>
                <c:pt idx="493">
                  <c:v>102.54703514997712</c:v>
                </c:pt>
                <c:pt idx="494">
                  <c:v>101.12601376408026</c:v>
                </c:pt>
                <c:pt idx="495">
                  <c:v>102.0848852843942</c:v>
                </c:pt>
                <c:pt idx="496">
                  <c:v>102.29005513833735</c:v>
                </c:pt>
                <c:pt idx="497">
                  <c:v>102.72197166199595</c:v>
                </c:pt>
                <c:pt idx="498">
                  <c:v>102.9077033713332</c:v>
                </c:pt>
                <c:pt idx="499">
                  <c:v>102.94657287111232</c:v>
                </c:pt>
                <c:pt idx="500">
                  <c:v>102.64855074136518</c:v>
                </c:pt>
                <c:pt idx="501">
                  <c:v>102.07409008707582</c:v>
                </c:pt>
                <c:pt idx="502">
                  <c:v>101.24048359225048</c:v>
                </c:pt>
                <c:pt idx="503">
                  <c:v>100.91437358117827</c:v>
                </c:pt>
                <c:pt idx="504">
                  <c:v>101.05259963288174</c:v>
                </c:pt>
                <c:pt idx="505">
                  <c:v>102.4952249922803</c:v>
                </c:pt>
                <c:pt idx="506">
                  <c:v>102.33971983543491</c:v>
                </c:pt>
                <c:pt idx="507">
                  <c:v>102.91849856865181</c:v>
                </c:pt>
                <c:pt idx="508">
                  <c:v>102.87313837161707</c:v>
                </c:pt>
                <c:pt idx="509">
                  <c:v>102.94441383164859</c:v>
                </c:pt>
                <c:pt idx="510">
                  <c:v>102.56649366287955</c:v>
                </c:pt>
                <c:pt idx="511">
                  <c:v>101.99635108751752</c:v>
                </c:pt>
                <c:pt idx="512">
                  <c:v>102.90337850297364</c:v>
                </c:pt>
                <c:pt idx="513">
                  <c:v>104.18618741603154</c:v>
                </c:pt>
                <c:pt idx="514">
                  <c:v>104.40647733565285</c:v>
                </c:pt>
                <c:pt idx="515">
                  <c:v>104.71097658379109</c:v>
                </c:pt>
                <c:pt idx="516">
                  <c:v>104.82544641196152</c:v>
                </c:pt>
                <c:pt idx="517">
                  <c:v>105.39558219789112</c:v>
                </c:pt>
                <c:pt idx="518">
                  <c:v>105.26168101454742</c:v>
                </c:pt>
                <c:pt idx="519">
                  <c:v>106.09528750937278</c:v>
                </c:pt>
                <c:pt idx="520">
                  <c:v>106.01323043088715</c:v>
                </c:pt>
                <c:pt idx="521">
                  <c:v>104.28336456019531</c:v>
                </c:pt>
                <c:pt idx="522">
                  <c:v>105.64824413060354</c:v>
                </c:pt>
                <c:pt idx="523">
                  <c:v>106.76044818943484</c:v>
                </c:pt>
                <c:pt idx="524">
                  <c:v>106.37171924448272</c:v>
                </c:pt>
                <c:pt idx="525">
                  <c:v>106.680550150413</c:v>
                </c:pt>
                <c:pt idx="526">
                  <c:v>107.57031203959144</c:v>
                </c:pt>
                <c:pt idx="527">
                  <c:v>107.61781769722545</c:v>
                </c:pt>
                <c:pt idx="528">
                  <c:v>108.23979079858105</c:v>
                </c:pt>
                <c:pt idx="529">
                  <c:v>108.19227835151482</c:v>
                </c:pt>
                <c:pt idx="530">
                  <c:v>106.70212696618549</c:v>
                </c:pt>
                <c:pt idx="531">
                  <c:v>107.67180726268278</c:v>
                </c:pt>
                <c:pt idx="532">
                  <c:v>108.41471373173539</c:v>
                </c:pt>
                <c:pt idx="533">
                  <c:v>107.87481128772968</c:v>
                </c:pt>
                <c:pt idx="534">
                  <c:v>107.28091927826688</c:v>
                </c:pt>
                <c:pt idx="535">
                  <c:v>107.37809642243067</c:v>
                </c:pt>
                <c:pt idx="536">
                  <c:v>109.60035229006175</c:v>
                </c:pt>
                <c:pt idx="537">
                  <c:v>109.67593225015628</c:v>
                </c:pt>
                <c:pt idx="538">
                  <c:v>109.27424227898955</c:v>
                </c:pt>
                <c:pt idx="539">
                  <c:v>109.47724630403668</c:v>
                </c:pt>
                <c:pt idx="540">
                  <c:v>109.33255671280666</c:v>
                </c:pt>
                <c:pt idx="541">
                  <c:v>109.72559694725383</c:v>
                </c:pt>
                <c:pt idx="542">
                  <c:v>110.75573034873503</c:v>
                </c:pt>
                <c:pt idx="543">
                  <c:v>110.63696280993402</c:v>
                </c:pt>
                <c:pt idx="544">
                  <c:v>109.531235869494</c:v>
                </c:pt>
                <c:pt idx="545">
                  <c:v>110.08624480031317</c:v>
                </c:pt>
                <c:pt idx="546">
                  <c:v>111.17901750397101</c:v>
                </c:pt>
                <c:pt idx="547">
                  <c:v>110.51170457387742</c:v>
                </c:pt>
                <c:pt idx="548">
                  <c:v>110.41667967974516</c:v>
                </c:pt>
                <c:pt idx="549">
                  <c:v>111.60446369867078</c:v>
                </c:pt>
                <c:pt idx="550">
                  <c:v>111.42954076551644</c:v>
                </c:pt>
                <c:pt idx="551">
                  <c:v>111.20924405646309</c:v>
                </c:pt>
                <c:pt idx="552">
                  <c:v>110.445623029537</c:v>
                </c:pt>
                <c:pt idx="553">
                  <c:v>111.10201855253085</c:v>
                </c:pt>
                <c:pt idx="554">
                  <c:v>111.71942915539732</c:v>
                </c:pt>
                <c:pt idx="555">
                  <c:v>112.75275359004797</c:v>
                </c:pt>
                <c:pt idx="556">
                  <c:v>113.12537800164175</c:v>
                </c:pt>
                <c:pt idx="557">
                  <c:v>112.91090662548098</c:v>
                </c:pt>
                <c:pt idx="558">
                  <c:v>112.59895258070374</c:v>
                </c:pt>
                <c:pt idx="559">
                  <c:v>112.39099227009552</c:v>
                </c:pt>
                <c:pt idx="560">
                  <c:v>113.33549056228169</c:v>
                </c:pt>
                <c:pt idx="561">
                  <c:v>113.31383906275403</c:v>
                </c:pt>
                <c:pt idx="562">
                  <c:v>113.11670110719341</c:v>
                </c:pt>
                <c:pt idx="563">
                  <c:v>112.39749654621561</c:v>
                </c:pt>
                <c:pt idx="564">
                  <c:v>112.52096237215159</c:v>
                </c:pt>
                <c:pt idx="565">
                  <c:v>111.14751453821121</c:v>
                </c:pt>
                <c:pt idx="566">
                  <c:v>112.30867040375112</c:v>
                </c:pt>
                <c:pt idx="567">
                  <c:v>112.37147944173465</c:v>
                </c:pt>
                <c:pt idx="568">
                  <c:v>112.50145633322295</c:v>
                </c:pt>
                <c:pt idx="569">
                  <c:v>111.37498088774804</c:v>
                </c:pt>
                <c:pt idx="570">
                  <c:v>112.21549902463011</c:v>
                </c:pt>
                <c:pt idx="571">
                  <c:v>110.6665918923858</c:v>
                </c:pt>
                <c:pt idx="572">
                  <c:v>109.28015587450179</c:v>
                </c:pt>
                <c:pt idx="573">
                  <c:v>109.08084530061292</c:v>
                </c:pt>
                <c:pt idx="574">
                  <c:v>108.43526534323422</c:v>
                </c:pt>
                <c:pt idx="575">
                  <c:v>108.2121442303539</c:v>
                </c:pt>
                <c:pt idx="576">
                  <c:v>107.26763914873547</c:v>
                </c:pt>
                <c:pt idx="577">
                  <c:v>108.25547438713825</c:v>
                </c:pt>
                <c:pt idx="578">
                  <c:v>109.54010965747842</c:v>
                </c:pt>
                <c:pt idx="579">
                  <c:v>109.48810939567799</c:v>
                </c:pt>
                <c:pt idx="580">
                  <c:v>109.07217519559663</c:v>
                </c:pt>
                <c:pt idx="581">
                  <c:v>110.10552678797649</c:v>
                </c:pt>
                <c:pt idx="582">
                  <c:v>110.49545067300916</c:v>
                </c:pt>
                <c:pt idx="583">
                  <c:v>108.74506713797996</c:v>
                </c:pt>
                <c:pt idx="584">
                  <c:v>108.39196234417909</c:v>
                </c:pt>
                <c:pt idx="585">
                  <c:v>109.40579431876584</c:v>
                </c:pt>
                <c:pt idx="586">
                  <c:v>110.76191552153831</c:v>
                </c:pt>
                <c:pt idx="587">
                  <c:v>111.90573117704584</c:v>
                </c:pt>
                <c:pt idx="588">
                  <c:v>112.02919700298159</c:v>
                </c:pt>
                <c:pt idx="589">
                  <c:v>112.04004651575821</c:v>
                </c:pt>
                <c:pt idx="590">
                  <c:v>112.68559252597568</c:v>
                </c:pt>
                <c:pt idx="591">
                  <c:v>112.83073021973587</c:v>
                </c:pt>
                <c:pt idx="592">
                  <c:v>112.84589781143998</c:v>
                </c:pt>
                <c:pt idx="593">
                  <c:v>113.36367349565866</c:v>
                </c:pt>
                <c:pt idx="594">
                  <c:v>114.76744972357504</c:v>
                </c:pt>
                <c:pt idx="595">
                  <c:v>114.53129969015738</c:v>
                </c:pt>
                <c:pt idx="596">
                  <c:v>114.6959570017105</c:v>
                </c:pt>
                <c:pt idx="597">
                  <c:v>114.82810651152707</c:v>
                </c:pt>
                <c:pt idx="598">
                  <c:v>115.1097321623281</c:v>
                </c:pt>
                <c:pt idx="599">
                  <c:v>114.77827207862263</c:v>
                </c:pt>
                <c:pt idx="600">
                  <c:v>113.93992656006884</c:v>
                </c:pt>
                <c:pt idx="601">
                  <c:v>114.69378438338222</c:v>
                </c:pt>
                <c:pt idx="602">
                  <c:v>114.7739404208306</c:v>
                </c:pt>
                <c:pt idx="603">
                  <c:v>113.97023458574809</c:v>
                </c:pt>
                <c:pt idx="604">
                  <c:v>113.21417698637724</c:v>
                </c:pt>
                <c:pt idx="605">
                  <c:v>114.24536953929356</c:v>
                </c:pt>
                <c:pt idx="606">
                  <c:v>114.3385069712531</c:v>
                </c:pt>
                <c:pt idx="607">
                  <c:v>114.46631124441313</c:v>
                </c:pt>
                <c:pt idx="608">
                  <c:v>115.82676410497763</c:v>
                </c:pt>
                <c:pt idx="609">
                  <c:v>115.82460506551386</c:v>
                </c:pt>
                <c:pt idx="610">
                  <c:v>115.68379224011325</c:v>
                </c:pt>
                <c:pt idx="611">
                  <c:v>116.04124227057065</c:v>
                </c:pt>
                <c:pt idx="612">
                  <c:v>116.32070888190813</c:v>
                </c:pt>
                <c:pt idx="613">
                  <c:v>117.27600916084515</c:v>
                </c:pt>
                <c:pt idx="614">
                  <c:v>117.51217277312729</c:v>
                </c:pt>
                <c:pt idx="615">
                  <c:v>117.58369265272064</c:v>
                </c:pt>
                <c:pt idx="616">
                  <c:v>118.5195208398907</c:v>
                </c:pt>
                <c:pt idx="617">
                  <c:v>118.82061858245869</c:v>
                </c:pt>
                <c:pt idx="618">
                  <c:v>118.49784897206629</c:v>
                </c:pt>
                <c:pt idx="619">
                  <c:v>118.33896267794761</c:v>
                </c:pt>
                <c:pt idx="620">
                  <c:v>117.95431418179321</c:v>
                </c:pt>
                <c:pt idx="621">
                  <c:v>118.40854077991021</c:v>
                </c:pt>
                <c:pt idx="622">
                  <c:v>118.55631956282555</c:v>
                </c:pt>
                <c:pt idx="623">
                  <c:v>118.74321905451436</c:v>
                </c:pt>
                <c:pt idx="624">
                  <c:v>118.27594316756327</c:v>
                </c:pt>
                <c:pt idx="625">
                  <c:v>118.51938505124508</c:v>
                </c:pt>
                <c:pt idx="626">
                  <c:v>119.316966818415</c:v>
                </c:pt>
                <c:pt idx="627">
                  <c:v>119.84946199180742</c:v>
                </c:pt>
                <c:pt idx="628">
                  <c:v>120.54054472429871</c:v>
                </c:pt>
                <c:pt idx="629">
                  <c:v>120.67966019163023</c:v>
                </c:pt>
                <c:pt idx="630">
                  <c:v>120.79699516022092</c:v>
                </c:pt>
                <c:pt idx="631">
                  <c:v>121.99232902783746</c:v>
                </c:pt>
                <c:pt idx="632">
                  <c:v>120.94040154875094</c:v>
                </c:pt>
                <c:pt idx="633">
                  <c:v>121.70328931699113</c:v>
                </c:pt>
                <c:pt idx="634">
                  <c:v>122.03796759159546</c:v>
                </c:pt>
                <c:pt idx="635">
                  <c:v>122.76168033560421</c:v>
                </c:pt>
                <c:pt idx="636">
                  <c:v>121.04040988617373</c:v>
                </c:pt>
                <c:pt idx="637">
                  <c:v>120.11023050665712</c:v>
                </c:pt>
                <c:pt idx="638">
                  <c:v>119.31262158175846</c:v>
                </c:pt>
                <c:pt idx="639">
                  <c:v>120.54274450035598</c:v>
                </c:pt>
                <c:pt idx="640">
                  <c:v>120.35365881147445</c:v>
                </c:pt>
                <c:pt idx="641">
                  <c:v>117.62614018330915</c:v>
                </c:pt>
                <c:pt idx="642">
                  <c:v>117.01324455290629</c:v>
                </c:pt>
                <c:pt idx="643">
                  <c:v>118.32379508624327</c:v>
                </c:pt>
                <c:pt idx="644">
                  <c:v>118.39333245161237</c:v>
                </c:pt>
                <c:pt idx="645">
                  <c:v>117.79345895231437</c:v>
                </c:pt>
                <c:pt idx="646">
                  <c:v>119.70816032728312</c:v>
                </c:pt>
                <c:pt idx="647">
                  <c:v>118.0129884555208</c:v>
                </c:pt>
                <c:pt idx="648">
                  <c:v>115.81576522469071</c:v>
                </c:pt>
                <c:pt idx="649">
                  <c:v>112.44278884892762</c:v>
                </c:pt>
                <c:pt idx="650">
                  <c:v>113.4794808419873</c:v>
                </c:pt>
                <c:pt idx="651">
                  <c:v>112.72096546813263</c:v>
                </c:pt>
                <c:pt idx="652">
                  <c:v>115.326763154457</c:v>
                </c:pt>
                <c:pt idx="653">
                  <c:v>115.83533236850955</c:v>
                </c:pt>
                <c:pt idx="654">
                  <c:v>115.89619283943011</c:v>
                </c:pt>
                <c:pt idx="655">
                  <c:v>117.80213584676294</c:v>
                </c:pt>
                <c:pt idx="656">
                  <c:v>118.17380294840594</c:v>
                </c:pt>
                <c:pt idx="657">
                  <c:v>120.1993485947096</c:v>
                </c:pt>
                <c:pt idx="658">
                  <c:v>120.46883474060157</c:v>
                </c:pt>
                <c:pt idx="659">
                  <c:v>121.62066192619443</c:v>
                </c:pt>
                <c:pt idx="660">
                  <c:v>121.42289934286434</c:v>
                </c:pt>
                <c:pt idx="661">
                  <c:v>121.84019142940087</c:v>
                </c:pt>
                <c:pt idx="662">
                  <c:v>120.88392705108062</c:v>
                </c:pt>
                <c:pt idx="663">
                  <c:v>122.16836542788494</c:v>
                </c:pt>
                <c:pt idx="664">
                  <c:v>121.87713951984583</c:v>
                </c:pt>
                <c:pt idx="665">
                  <c:v>122.04447186771577</c:v>
                </c:pt>
                <c:pt idx="666">
                  <c:v>121.33599460973383</c:v>
                </c:pt>
                <c:pt idx="667">
                  <c:v>121.34683054364595</c:v>
                </c:pt>
                <c:pt idx="668">
                  <c:v>122.50522989968205</c:v>
                </c:pt>
                <c:pt idx="669">
                  <c:v>119.9841914858889</c:v>
                </c:pt>
                <c:pt idx="670">
                  <c:v>119.73859056274333</c:v>
                </c:pt>
                <c:pt idx="671">
                  <c:v>119.44736465470423</c:v>
                </c:pt>
                <c:pt idx="672">
                  <c:v>117.43705449442763</c:v>
                </c:pt>
                <c:pt idx="673">
                  <c:v>118.7518959489629</c:v>
                </c:pt>
                <c:pt idx="674">
                  <c:v>119.26915563632849</c:v>
                </c:pt>
                <c:pt idx="675">
                  <c:v>120.49273354221246</c:v>
                </c:pt>
                <c:pt idx="676">
                  <c:v>121.50767219426031</c:v>
                </c:pt>
                <c:pt idx="677">
                  <c:v>122.14226685021656</c:v>
                </c:pt>
                <c:pt idx="678">
                  <c:v>122.32264848692056</c:v>
                </c:pt>
                <c:pt idx="679">
                  <c:v>122.37264586619983</c:v>
                </c:pt>
                <c:pt idx="680">
                  <c:v>122.00972355332804</c:v>
                </c:pt>
                <c:pt idx="681">
                  <c:v>124.09175727616653</c:v>
                </c:pt>
                <c:pt idx="682">
                  <c:v>123.87722479511511</c:v>
                </c:pt>
                <c:pt idx="683">
                  <c:v>124.18676859143432</c:v>
                </c:pt>
                <c:pt idx="684">
                  <c:v>124.54212747675086</c:v>
                </c:pt>
                <c:pt idx="685">
                  <c:v>124.26742704687106</c:v>
                </c:pt>
                <c:pt idx="686">
                  <c:v>124.76010898939829</c:v>
                </c:pt>
                <c:pt idx="687">
                  <c:v>124.57917061924772</c:v>
                </c:pt>
                <c:pt idx="688">
                  <c:v>125.07838399562425</c:v>
                </c:pt>
                <c:pt idx="689">
                  <c:v>123.95788325055186</c:v>
                </c:pt>
                <c:pt idx="690">
                  <c:v>124.01021619453398</c:v>
                </c:pt>
                <c:pt idx="691">
                  <c:v>123.7835034719798</c:v>
                </c:pt>
                <c:pt idx="692">
                  <c:v>124.90836303257322</c:v>
                </c:pt>
                <c:pt idx="693">
                  <c:v>123.77913107759406</c:v>
                </c:pt>
                <c:pt idx="694">
                  <c:v>124.94977856945562</c:v>
                </c:pt>
                <c:pt idx="695">
                  <c:v>125.815241080519</c:v>
                </c:pt>
                <c:pt idx="696">
                  <c:v>125.59505979181409</c:v>
                </c:pt>
                <c:pt idx="697">
                  <c:v>126.34712520500688</c:v>
                </c:pt>
                <c:pt idx="698">
                  <c:v>127.38046321852204</c:v>
                </c:pt>
                <c:pt idx="699">
                  <c:v>126.39075409681124</c:v>
                </c:pt>
                <c:pt idx="700">
                  <c:v>126.94010064111241</c:v>
                </c:pt>
                <c:pt idx="701">
                  <c:v>126.95099089048274</c:v>
                </c:pt>
                <c:pt idx="702">
                  <c:v>127.43932759635344</c:v>
                </c:pt>
                <c:pt idx="703">
                  <c:v>127.23002297815455</c:v>
                </c:pt>
                <c:pt idx="704">
                  <c:v>127.1624545481456</c:v>
                </c:pt>
                <c:pt idx="705">
                  <c:v>126.00051110846158</c:v>
                </c:pt>
                <c:pt idx="706">
                  <c:v>126.27303892001314</c:v>
                </c:pt>
                <c:pt idx="707">
                  <c:v>126.22941002820853</c:v>
                </c:pt>
                <c:pt idx="708">
                  <c:v>126.6196530165582</c:v>
                </c:pt>
                <c:pt idx="709">
                  <c:v>126.82455808264257</c:v>
                </c:pt>
                <c:pt idx="710">
                  <c:v>126.44088726473591</c:v>
                </c:pt>
                <c:pt idx="711">
                  <c:v>123.96224206607309</c:v>
                </c:pt>
                <c:pt idx="712">
                  <c:v>124.48543571724771</c:v>
                </c:pt>
                <c:pt idx="713">
                  <c:v>124.21729387894641</c:v>
                </c:pt>
                <c:pt idx="714">
                  <c:v>125.71931998132619</c:v>
                </c:pt>
                <c:pt idx="715">
                  <c:v>128.84539186294674</c:v>
                </c:pt>
                <c:pt idx="716">
                  <c:v>129.84165957623603</c:v>
                </c:pt>
                <c:pt idx="717">
                  <c:v>130.40408256710049</c:v>
                </c:pt>
                <c:pt idx="718">
                  <c:v>130.5283427566126</c:v>
                </c:pt>
                <c:pt idx="719">
                  <c:v>130.12286428223612</c:v>
                </c:pt>
                <c:pt idx="720">
                  <c:v>130.18606031785936</c:v>
                </c:pt>
                <c:pt idx="721">
                  <c:v>129.34897763370901</c:v>
                </c:pt>
                <c:pt idx="722">
                  <c:v>127.69220679089869</c:v>
                </c:pt>
                <c:pt idx="723">
                  <c:v>128.2154004420733</c:v>
                </c:pt>
                <c:pt idx="724">
                  <c:v>128.68407495207325</c:v>
                </c:pt>
                <c:pt idx="725">
                  <c:v>128.72766310728414</c:v>
                </c:pt>
                <c:pt idx="726">
                  <c:v>129.41871868204623</c:v>
                </c:pt>
                <c:pt idx="727">
                  <c:v>129.81983834090173</c:v>
                </c:pt>
                <c:pt idx="728">
                  <c:v>130.26020091831128</c:v>
                </c:pt>
                <c:pt idx="729">
                  <c:v>130.94037982256759</c:v>
                </c:pt>
                <c:pt idx="730">
                  <c:v>130.54359182150418</c:v>
                </c:pt>
                <c:pt idx="731">
                  <c:v>131.35456234912164</c:v>
                </c:pt>
                <c:pt idx="732">
                  <c:v>131.5899791238536</c:v>
                </c:pt>
                <c:pt idx="733">
                  <c:v>131.65101612001305</c:v>
                </c:pt>
                <c:pt idx="734">
                  <c:v>132.46851808148006</c:v>
                </c:pt>
                <c:pt idx="735">
                  <c:v>132.25049583223893</c:v>
                </c:pt>
                <c:pt idx="736">
                  <c:v>132.50121598732042</c:v>
                </c:pt>
                <c:pt idx="737">
                  <c:v>131.81887804360056</c:v>
                </c:pt>
                <c:pt idx="738">
                  <c:v>131.40905433256754</c:v>
                </c:pt>
                <c:pt idx="739">
                  <c:v>132.42494350513388</c:v>
                </c:pt>
                <c:pt idx="740">
                  <c:v>131.74260556141405</c:v>
                </c:pt>
                <c:pt idx="741">
                  <c:v>131.71642551055848</c:v>
                </c:pt>
                <c:pt idx="742">
                  <c:v>132.27884850142274</c:v>
                </c:pt>
                <c:pt idx="743">
                  <c:v>131.73387435150727</c:v>
                </c:pt>
                <c:pt idx="744">
                  <c:v>127.80772219163956</c:v>
                </c:pt>
                <c:pt idx="745">
                  <c:v>127.76847927308521</c:v>
                </c:pt>
                <c:pt idx="746">
                  <c:v>129.30310822925347</c:v>
                </c:pt>
                <c:pt idx="747">
                  <c:v>130.07741582258171</c:v>
                </c:pt>
                <c:pt idx="748">
                  <c:v>131.52323900458222</c:v>
                </c:pt>
                <c:pt idx="749">
                  <c:v>131.5319837933535</c:v>
                </c:pt>
                <c:pt idx="750">
                  <c:v>130.14741486934548</c:v>
                </c:pt>
                <c:pt idx="751">
                  <c:v>128.66222655900972</c:v>
                </c:pt>
                <c:pt idx="752">
                  <c:v>128.19413594018553</c:v>
                </c:pt>
                <c:pt idx="753">
                  <c:v>127.8791741769102</c:v>
                </c:pt>
                <c:pt idx="754">
                  <c:v>129.47809905673049</c:v>
                </c:pt>
                <c:pt idx="755">
                  <c:v>130.22397250768753</c:v>
                </c:pt>
                <c:pt idx="756">
                  <c:v>128.75190138050874</c:v>
                </c:pt>
                <c:pt idx="757">
                  <c:v>128.94000939114258</c:v>
                </c:pt>
                <c:pt idx="758">
                  <c:v>126.97142708163311</c:v>
                </c:pt>
                <c:pt idx="759">
                  <c:v>127.16829345990269</c:v>
                </c:pt>
                <c:pt idx="760">
                  <c:v>127.34325712965054</c:v>
                </c:pt>
                <c:pt idx="761">
                  <c:v>129.65963489692135</c:v>
                </c:pt>
                <c:pt idx="762">
                  <c:v>129.41028620715952</c:v>
                </c:pt>
                <c:pt idx="763">
                  <c:v>130.7095662829187</c:v>
                </c:pt>
                <c:pt idx="764">
                  <c:v>131.90600003856389</c:v>
                </c:pt>
                <c:pt idx="765">
                  <c:v>132.64751467399986</c:v>
                </c:pt>
                <c:pt idx="766">
                  <c:v>133.37149899529965</c:v>
                </c:pt>
                <c:pt idx="767">
                  <c:v>132.982165790875</c:v>
                </c:pt>
                <c:pt idx="768">
                  <c:v>131.10107210567162</c:v>
                </c:pt>
                <c:pt idx="769">
                  <c:v>132.22756113001125</c:v>
                </c:pt>
                <c:pt idx="770">
                  <c:v>131.63477579800931</c:v>
                </c:pt>
                <c:pt idx="771">
                  <c:v>132.34128412063126</c:v>
                </c:pt>
                <c:pt idx="772">
                  <c:v>131.63696199520228</c:v>
                </c:pt>
                <c:pt idx="773">
                  <c:v>130.75110402958222</c:v>
                </c:pt>
                <c:pt idx="774">
                  <c:v>131.6282307852955</c:v>
                </c:pt>
                <c:pt idx="775">
                  <c:v>132.1619208987687</c:v>
                </c:pt>
                <c:pt idx="776">
                  <c:v>132.62126672882161</c:v>
                </c:pt>
                <c:pt idx="777">
                  <c:v>131.40731623790492</c:v>
                </c:pt>
                <c:pt idx="778">
                  <c:v>132.29971921623874</c:v>
                </c:pt>
                <c:pt idx="779">
                  <c:v>132.4003521814308</c:v>
                </c:pt>
                <c:pt idx="780">
                  <c:v>131.97382646699938</c:v>
                </c:pt>
                <c:pt idx="781">
                  <c:v>133.36712660091413</c:v>
                </c:pt>
                <c:pt idx="782">
                  <c:v>133.36056800933565</c:v>
                </c:pt>
                <c:pt idx="783">
                  <c:v>133.75211456868226</c:v>
                </c:pt>
                <c:pt idx="784">
                  <c:v>134.06708991082212</c:v>
                </c:pt>
                <c:pt idx="785">
                  <c:v>133.50931089163421</c:v>
                </c:pt>
                <c:pt idx="786">
                  <c:v>131.22575323998487</c:v>
                </c:pt>
                <c:pt idx="787">
                  <c:v>130.62860909246191</c:v>
                </c:pt>
                <c:pt idx="788">
                  <c:v>129.97899621231142</c:v>
                </c:pt>
                <c:pt idx="789">
                  <c:v>130.04459570696048</c:v>
                </c:pt>
                <c:pt idx="790">
                  <c:v>127.96883541954472</c:v>
                </c:pt>
                <c:pt idx="791">
                  <c:v>129.96587902915445</c:v>
                </c:pt>
                <c:pt idx="792">
                  <c:v>127.68885281135441</c:v>
                </c:pt>
                <c:pt idx="793">
                  <c:v>126.17743013470486</c:v>
                </c:pt>
                <c:pt idx="794">
                  <c:v>127.53356491634182</c:v>
                </c:pt>
                <c:pt idx="795">
                  <c:v>125.26969661829229</c:v>
                </c:pt>
                <c:pt idx="796">
                  <c:v>125.97181896766401</c:v>
                </c:pt>
                <c:pt idx="797">
                  <c:v>122.61649511581807</c:v>
                </c:pt>
                <c:pt idx="798">
                  <c:v>121.59717049051999</c:v>
                </c:pt>
                <c:pt idx="799">
                  <c:v>122.24245171287869</c:v>
                </c:pt>
                <c:pt idx="800">
                  <c:v>120.61289291462987</c:v>
                </c:pt>
                <c:pt idx="801">
                  <c:v>123.10426150937752</c:v>
                </c:pt>
                <c:pt idx="802">
                  <c:v>124.05354635131833</c:v>
                </c:pt>
                <c:pt idx="803">
                  <c:v>122.71272852889558</c:v>
                </c:pt>
                <c:pt idx="804">
                  <c:v>124.04917395693258</c:v>
                </c:pt>
                <c:pt idx="805">
                  <c:v>123.69046109207193</c:v>
                </c:pt>
                <c:pt idx="806">
                  <c:v>123.73126558004957</c:v>
                </c:pt>
                <c:pt idx="807">
                  <c:v>125.94711901304454</c:v>
                </c:pt>
                <c:pt idx="808">
                  <c:v>126.24984621935893</c:v>
                </c:pt>
                <c:pt idx="809">
                  <c:v>124.74266014844947</c:v>
                </c:pt>
                <c:pt idx="810">
                  <c:v>124.41139016884766</c:v>
                </c:pt>
                <c:pt idx="811">
                  <c:v>121.90594029155982</c:v>
                </c:pt>
                <c:pt idx="812">
                  <c:v>122.72427056376441</c:v>
                </c:pt>
                <c:pt idx="813">
                  <c:v>123.07089823917418</c:v>
                </c:pt>
                <c:pt idx="814">
                  <c:v>123.8497411732626</c:v>
                </c:pt>
                <c:pt idx="815">
                  <c:v>117.7463267134558</c:v>
                </c:pt>
                <c:pt idx="816">
                  <c:v>110.85310438643489</c:v>
                </c:pt>
                <c:pt idx="817">
                  <c:v>110.65566090642179</c:v>
                </c:pt>
                <c:pt idx="818">
                  <c:v>108.9224750033471</c:v>
                </c:pt>
                <c:pt idx="819">
                  <c:v>120.36145307972718</c:v>
                </c:pt>
                <c:pt idx="820">
                  <c:v>115.0873134569535</c:v>
                </c:pt>
                <c:pt idx="821">
                  <c:v>117.14079082763982</c:v>
                </c:pt>
                <c:pt idx="822">
                  <c:v>118.27723315969574</c:v>
                </c:pt>
                <c:pt idx="823">
                  <c:v>117.9459631800939</c:v>
                </c:pt>
                <c:pt idx="824">
                  <c:v>115.32425106451501</c:v>
                </c:pt>
                <c:pt idx="825">
                  <c:v>115.4887861662872</c:v>
                </c:pt>
                <c:pt idx="826">
                  <c:v>112.73985366872404</c:v>
                </c:pt>
                <c:pt idx="827">
                  <c:v>115.67309209484655</c:v>
                </c:pt>
                <c:pt idx="828">
                  <c:v>117.46550221566314</c:v>
                </c:pt>
                <c:pt idx="829">
                  <c:v>119.93803692527783</c:v>
                </c:pt>
                <c:pt idx="830">
                  <c:v>120.80459932436982</c:v>
                </c:pt>
                <c:pt idx="831">
                  <c:v>120.85067241179371</c:v>
                </c:pt>
                <c:pt idx="832">
                  <c:v>121.61195787401691</c:v>
                </c:pt>
                <c:pt idx="833">
                  <c:v>121.66021715863332</c:v>
                </c:pt>
                <c:pt idx="834">
                  <c:v>122.52240716333979</c:v>
                </c:pt>
                <c:pt idx="835">
                  <c:v>124.34116028138658</c:v>
                </c:pt>
                <c:pt idx="836">
                  <c:v>123.62816126150902</c:v>
                </c:pt>
                <c:pt idx="837">
                  <c:v>122.59480966912915</c:v>
                </c:pt>
                <c:pt idx="838">
                  <c:v>123.11038557729034</c:v>
                </c:pt>
                <c:pt idx="839">
                  <c:v>123.96820318761111</c:v>
                </c:pt>
                <c:pt idx="840">
                  <c:v>123.81025383514641</c:v>
                </c:pt>
                <c:pt idx="841">
                  <c:v>127.90186445957603</c:v>
                </c:pt>
                <c:pt idx="842">
                  <c:v>128.74652415014629</c:v>
                </c:pt>
                <c:pt idx="843">
                  <c:v>128.91105925191849</c:v>
                </c:pt>
                <c:pt idx="844">
                  <c:v>129.54069762231347</c:v>
                </c:pt>
                <c:pt idx="845">
                  <c:v>130.36122767057552</c:v>
                </c:pt>
                <c:pt idx="846">
                  <c:v>130.50381932723226</c:v>
                </c:pt>
                <c:pt idx="847">
                  <c:v>130.06503189811062</c:v>
                </c:pt>
                <c:pt idx="848">
                  <c:v>127.8733352651531</c:v>
                </c:pt>
                <c:pt idx="849">
                  <c:v>127.92382148355598</c:v>
                </c:pt>
                <c:pt idx="850">
                  <c:v>127.05061901969827</c:v>
                </c:pt>
                <c:pt idx="851">
                  <c:v>129.69207480433516</c:v>
                </c:pt>
                <c:pt idx="852">
                  <c:v>128.94176106466969</c:v>
                </c:pt>
                <c:pt idx="853">
                  <c:v>129.45075122352338</c:v>
                </c:pt>
                <c:pt idx="854">
                  <c:v>129.3059462119447</c:v>
                </c:pt>
                <c:pt idx="855">
                  <c:v>130.03434366422391</c:v>
                </c:pt>
                <c:pt idx="856">
                  <c:v>130.77585829965992</c:v>
                </c:pt>
                <c:pt idx="857">
                  <c:v>130.74075693479398</c:v>
                </c:pt>
                <c:pt idx="858">
                  <c:v>130.10890520947703</c:v>
                </c:pt>
                <c:pt idx="859">
                  <c:v>131.44501116590027</c:v>
                </c:pt>
                <c:pt idx="860">
                  <c:v>131.5634596013841</c:v>
                </c:pt>
                <c:pt idx="861">
                  <c:v>132.30938736779953</c:v>
                </c:pt>
                <c:pt idx="862">
                  <c:v>131.93203072190931</c:v>
                </c:pt>
                <c:pt idx="863">
                  <c:v>132.45637857657098</c:v>
                </c:pt>
                <c:pt idx="864">
                  <c:v>130.97550834516275</c:v>
                </c:pt>
                <c:pt idx="865">
                  <c:v>132.22164074506674</c:v>
                </c:pt>
                <c:pt idx="866">
                  <c:v>131.091797741183</c:v>
                </c:pt>
                <c:pt idx="867">
                  <c:v>131.07204049326032</c:v>
                </c:pt>
                <c:pt idx="868">
                  <c:v>130.76422121273922</c:v>
                </c:pt>
                <c:pt idx="869">
                  <c:v>132.05581565116208</c:v>
                </c:pt>
                <c:pt idx="870">
                  <c:v>133.51467454313217</c:v>
                </c:pt>
                <c:pt idx="871">
                  <c:v>133.58949408681181</c:v>
                </c:pt>
                <c:pt idx="872">
                  <c:v>134.63467287021601</c:v>
                </c:pt>
                <c:pt idx="873">
                  <c:v>135.30359489575903</c:v>
                </c:pt>
                <c:pt idx="874">
                  <c:v>135.9504920029992</c:v>
                </c:pt>
                <c:pt idx="875">
                  <c:v>135.90651006071639</c:v>
                </c:pt>
                <c:pt idx="876">
                  <c:v>136.52261030315341</c:v>
                </c:pt>
                <c:pt idx="877">
                  <c:v>137.59859953022544</c:v>
                </c:pt>
                <c:pt idx="878">
                  <c:v>136.57320515247295</c:v>
                </c:pt>
                <c:pt idx="879">
                  <c:v>136.49839918765781</c:v>
                </c:pt>
                <c:pt idx="880">
                  <c:v>137.31693314283072</c:v>
                </c:pt>
                <c:pt idx="881">
                  <c:v>137.70420235984352</c:v>
                </c:pt>
                <c:pt idx="882">
                  <c:v>137.22011583857761</c:v>
                </c:pt>
                <c:pt idx="883">
                  <c:v>137.48195708372697</c:v>
                </c:pt>
                <c:pt idx="884">
                  <c:v>136.89446750890005</c:v>
                </c:pt>
                <c:pt idx="885">
                  <c:v>137.35214313861329</c:v>
                </c:pt>
                <c:pt idx="886">
                  <c:v>138.19268843322433</c:v>
                </c:pt>
                <c:pt idx="887">
                  <c:v>138.09147157685629</c:v>
                </c:pt>
                <c:pt idx="888">
                  <c:v>138.35331282200565</c:v>
                </c:pt>
                <c:pt idx="889">
                  <c:v>138.37312438538655</c:v>
                </c:pt>
                <c:pt idx="890">
                  <c:v>139.55033046882639</c:v>
                </c:pt>
                <c:pt idx="891">
                  <c:v>139.59652576603116</c:v>
                </c:pt>
                <c:pt idx="892">
                  <c:v>140.18622869577982</c:v>
                </c:pt>
                <c:pt idx="893">
                  <c:v>140.15103227886198</c:v>
                </c:pt>
                <c:pt idx="894">
                  <c:v>139.78137484917261</c:v>
                </c:pt>
                <c:pt idx="895">
                  <c:v>139.60532487026063</c:v>
                </c:pt>
                <c:pt idx="896">
                  <c:v>139.08164237996195</c:v>
                </c:pt>
                <c:pt idx="897">
                  <c:v>136.80203617789721</c:v>
                </c:pt>
                <c:pt idx="898">
                  <c:v>138.88139486441906</c:v>
                </c:pt>
                <c:pt idx="899">
                  <c:v>138.17729000082269</c:v>
                </c:pt>
                <c:pt idx="900">
                  <c:v>139.23566744057126</c:v>
                </c:pt>
                <c:pt idx="901">
                  <c:v>139.11905215180178</c:v>
                </c:pt>
                <c:pt idx="902">
                  <c:v>140.20382690423875</c:v>
                </c:pt>
                <c:pt idx="903">
                  <c:v>139.92658722668796</c:v>
                </c:pt>
                <c:pt idx="904">
                  <c:v>141.41625656232566</c:v>
                </c:pt>
                <c:pt idx="905">
                  <c:v>141.90032950472704</c:v>
                </c:pt>
                <c:pt idx="906">
                  <c:v>141.91352816107124</c:v>
                </c:pt>
                <c:pt idx="907">
                  <c:v>141.58126692435721</c:v>
                </c:pt>
                <c:pt idx="908">
                  <c:v>141.55047005955407</c:v>
                </c:pt>
                <c:pt idx="909">
                  <c:v>140.78253095370047</c:v>
                </c:pt>
                <c:pt idx="910">
                  <c:v>140.40844681416738</c:v>
                </c:pt>
                <c:pt idx="911">
                  <c:v>139.84516835483635</c:v>
                </c:pt>
                <c:pt idx="912">
                  <c:v>141.99274725686564</c:v>
                </c:pt>
                <c:pt idx="913">
                  <c:v>141.36783433133439</c:v>
                </c:pt>
                <c:pt idx="914">
                  <c:v>141.95973703714054</c:v>
                </c:pt>
                <c:pt idx="915">
                  <c:v>142.28319916962511</c:v>
                </c:pt>
                <c:pt idx="916">
                  <c:v>142.78708367540739</c:v>
                </c:pt>
                <c:pt idx="917">
                  <c:v>141.93553950050941</c:v>
                </c:pt>
                <c:pt idx="918">
                  <c:v>140.88374781006851</c:v>
                </c:pt>
                <c:pt idx="919">
                  <c:v>141.64728736380718</c:v>
                </c:pt>
                <c:pt idx="920">
                  <c:v>142.83109277541922</c:v>
                </c:pt>
                <c:pt idx="921">
                  <c:v>142.41739908798903</c:v>
                </c:pt>
                <c:pt idx="922">
                  <c:v>142.76729926975571</c:v>
                </c:pt>
                <c:pt idx="923">
                  <c:v>143.09734715154778</c:v>
                </c:pt>
                <c:pt idx="924">
                  <c:v>143.51100010238446</c:v>
                </c:pt>
                <c:pt idx="925">
                  <c:v>144.70361819709046</c:v>
                </c:pt>
                <c:pt idx="926">
                  <c:v>144.65518238723493</c:v>
                </c:pt>
                <c:pt idx="927">
                  <c:v>145.42533484801029</c:v>
                </c:pt>
                <c:pt idx="928">
                  <c:v>145.22510091133171</c:v>
                </c:pt>
                <c:pt idx="929">
                  <c:v>145.04466495916949</c:v>
                </c:pt>
                <c:pt idx="930">
                  <c:v>145.72238608894199</c:v>
                </c:pt>
                <c:pt idx="931">
                  <c:v>146.44412989759081</c:v>
                </c:pt>
                <c:pt idx="932">
                  <c:v>147.13696430360923</c:v>
                </c:pt>
                <c:pt idx="933">
                  <c:v>146.33602855689526</c:v>
                </c:pt>
                <c:pt idx="934">
                  <c:v>145.8704364491486</c:v>
                </c:pt>
                <c:pt idx="935">
                  <c:v>145.19746792196929</c:v>
                </c:pt>
                <c:pt idx="936">
                  <c:v>146.0293227432673</c:v>
                </c:pt>
                <c:pt idx="937">
                  <c:v>146.43971676661155</c:v>
                </c:pt>
                <c:pt idx="938">
                  <c:v>146.99133098129272</c:v>
                </c:pt>
                <c:pt idx="939">
                  <c:v>147.49221455800915</c:v>
                </c:pt>
                <c:pt idx="940">
                  <c:v>147.66208615355026</c:v>
                </c:pt>
                <c:pt idx="941">
                  <c:v>147.65989995635729</c:v>
                </c:pt>
                <c:pt idx="942">
                  <c:v>148.18944851614231</c:v>
                </c:pt>
                <c:pt idx="943">
                  <c:v>147.64003407751841</c:v>
                </c:pt>
                <c:pt idx="944">
                  <c:v>148.52041976072388</c:v>
                </c:pt>
                <c:pt idx="945">
                  <c:v>148.09015985854072</c:v>
                </c:pt>
                <c:pt idx="946">
                  <c:v>144.08759942784084</c:v>
                </c:pt>
                <c:pt idx="947">
                  <c:v>146.2984965752745</c:v>
                </c:pt>
                <c:pt idx="948">
                  <c:v>146.11977156004571</c:v>
                </c:pt>
                <c:pt idx="949">
                  <c:v>146.76848823513589</c:v>
                </c:pt>
                <c:pt idx="950">
                  <c:v>145.76894801548951</c:v>
                </c:pt>
                <c:pt idx="951">
                  <c:v>146.5963761269438</c:v>
                </c:pt>
                <c:pt idx="952">
                  <c:v>148.12105177539573</c:v>
                </c:pt>
                <c:pt idx="953">
                  <c:v>148.11882484160924</c:v>
                </c:pt>
                <c:pt idx="954">
                  <c:v>147.34878101175011</c:v>
                </c:pt>
                <c:pt idx="955">
                  <c:v>148.22255378791908</c:v>
                </c:pt>
                <c:pt idx="956">
                  <c:v>149.43391071570659</c:v>
                </c:pt>
                <c:pt idx="957">
                  <c:v>151.1968818581752</c:v>
                </c:pt>
                <c:pt idx="958">
                  <c:v>151.59846319842535</c:v>
                </c:pt>
                <c:pt idx="959">
                  <c:v>151.67127307015133</c:v>
                </c:pt>
                <c:pt idx="960">
                  <c:v>150.00317745430485</c:v>
                </c:pt>
                <c:pt idx="961">
                  <c:v>150.49522119019812</c:v>
                </c:pt>
                <c:pt idx="962">
                  <c:v>150.77766157287223</c:v>
                </c:pt>
                <c:pt idx="963">
                  <c:v>148.99041142058527</c:v>
                </c:pt>
                <c:pt idx="964">
                  <c:v>149.50672058743237</c:v>
                </c:pt>
                <c:pt idx="965">
                  <c:v>147.90260858135343</c:v>
                </c:pt>
                <c:pt idx="966">
                  <c:v>148.04822832480525</c:v>
                </c:pt>
                <c:pt idx="967">
                  <c:v>150.35842770870499</c:v>
                </c:pt>
                <c:pt idx="968">
                  <c:v>150.70262476735999</c:v>
                </c:pt>
                <c:pt idx="969">
                  <c:v>150.7864742559664</c:v>
                </c:pt>
                <c:pt idx="970">
                  <c:v>148.28432404276467</c:v>
                </c:pt>
                <c:pt idx="971">
                  <c:v>148.26007219067534</c:v>
                </c:pt>
                <c:pt idx="972">
                  <c:v>146.87880293075341</c:v>
                </c:pt>
                <c:pt idx="973">
                  <c:v>145.6453939269341</c:v>
                </c:pt>
                <c:pt idx="974">
                  <c:v>146.20804775849587</c:v>
                </c:pt>
                <c:pt idx="975">
                  <c:v>143.97949808714529</c:v>
                </c:pt>
                <c:pt idx="976">
                  <c:v>145.41371133995409</c:v>
                </c:pt>
                <c:pt idx="977">
                  <c:v>147.55397123399001</c:v>
                </c:pt>
                <c:pt idx="978">
                  <c:v>148.94185340094862</c:v>
                </c:pt>
                <c:pt idx="979">
                  <c:v>149.97008576139257</c:v>
                </c:pt>
                <c:pt idx="980">
                  <c:v>150.78868761088816</c:v>
                </c:pt>
                <c:pt idx="981">
                  <c:v>150.1002663358492</c:v>
                </c:pt>
                <c:pt idx="982">
                  <c:v>150.37829358754408</c:v>
                </c:pt>
                <c:pt idx="983">
                  <c:v>150.8990158853704</c:v>
                </c:pt>
                <c:pt idx="984">
                  <c:v>151.00933058098792</c:v>
                </c:pt>
                <c:pt idx="985">
                  <c:v>151.29617051577679</c:v>
                </c:pt>
                <c:pt idx="986">
                  <c:v>150.84164518263955</c:v>
                </c:pt>
                <c:pt idx="987">
                  <c:v>150.71143745045396</c:v>
                </c:pt>
                <c:pt idx="988">
                  <c:v>151.71100482782933</c:v>
                </c:pt>
                <c:pt idx="989">
                  <c:v>152.06402814844299</c:v>
                </c:pt>
                <c:pt idx="990">
                  <c:v>150.42902422550901</c:v>
                </c:pt>
                <c:pt idx="991">
                  <c:v>150.20175476950803</c:v>
                </c:pt>
                <c:pt idx="992">
                  <c:v>149.79136074616397</c:v>
                </c:pt>
                <c:pt idx="993">
                  <c:v>148.14311743029211</c:v>
                </c:pt>
                <c:pt idx="994">
                  <c:v>149.26178502864997</c:v>
                </c:pt>
                <c:pt idx="995">
                  <c:v>150.61462014620085</c:v>
                </c:pt>
                <c:pt idx="996">
                  <c:v>151.55293326558373</c:v>
                </c:pt>
                <c:pt idx="997">
                  <c:v>152.24559114636281</c:v>
                </c:pt>
                <c:pt idx="998">
                  <c:v>152.78114156427952</c:v>
                </c:pt>
                <c:pt idx="999">
                  <c:v>152.76564807982618</c:v>
                </c:pt>
                <c:pt idx="1000">
                  <c:v>152.22124424222179</c:v>
                </c:pt>
                <c:pt idx="1001">
                  <c:v>152.03536316537446</c:v>
                </c:pt>
                <c:pt idx="1002">
                  <c:v>150.90894203535748</c:v>
                </c:pt>
                <c:pt idx="1003">
                  <c:v>151.18555708513904</c:v>
                </c:pt>
                <c:pt idx="1004">
                  <c:v>152.1924706282368</c:v>
                </c:pt>
                <c:pt idx="1005">
                  <c:v>153.09759700265568</c:v>
                </c:pt>
                <c:pt idx="1006">
                  <c:v>152.60410032825536</c:v>
                </c:pt>
                <c:pt idx="1007">
                  <c:v>152.58860684380198</c:v>
                </c:pt>
                <c:pt idx="1008">
                  <c:v>153.59773374182171</c:v>
                </c:pt>
                <c:pt idx="1009">
                  <c:v>153.83894869171706</c:v>
                </c:pt>
                <c:pt idx="1010">
                  <c:v>153.53134667302857</c:v>
                </c:pt>
                <c:pt idx="1011">
                  <c:v>152.77671485443582</c:v>
                </c:pt>
                <c:pt idx="1012">
                  <c:v>153.19275768543358</c:v>
                </c:pt>
                <c:pt idx="1013">
                  <c:v>153.06439667882677</c:v>
                </c:pt>
                <c:pt idx="1014">
                  <c:v>149.94849536675557</c:v>
                </c:pt>
                <c:pt idx="1015">
                  <c:v>151.67906733840385</c:v>
                </c:pt>
                <c:pt idx="1016">
                  <c:v>152.47132619066929</c:v>
                </c:pt>
                <c:pt idx="1017">
                  <c:v>152.52663290598829</c:v>
                </c:pt>
                <c:pt idx="1018">
                  <c:v>153.30118491887839</c:v>
                </c:pt>
                <c:pt idx="1019">
                  <c:v>153.9119758252757</c:v>
                </c:pt>
                <c:pt idx="1020">
                  <c:v>153.89648234082233</c:v>
                </c:pt>
                <c:pt idx="1021">
                  <c:v>153.5910936770558</c:v>
                </c:pt>
                <c:pt idx="1022">
                  <c:v>153.13299710254165</c:v>
                </c:pt>
                <c:pt idx="1023">
                  <c:v>153.89428256476484</c:v>
                </c:pt>
                <c:pt idx="1024">
                  <c:v>152.59303355364571</c:v>
                </c:pt>
                <c:pt idx="1025">
                  <c:v>151.85389521950631</c:v>
                </c:pt>
                <c:pt idx="1026">
                  <c:v>149.95734878644322</c:v>
                </c:pt>
                <c:pt idx="1027">
                  <c:v>152.83424850354106</c:v>
                </c:pt>
                <c:pt idx="1028">
                  <c:v>153.57118706162322</c:v>
                </c:pt>
                <c:pt idx="1029">
                  <c:v>153.16619742637056</c:v>
                </c:pt>
                <c:pt idx="1030">
                  <c:v>153.13079732648441</c:v>
                </c:pt>
                <c:pt idx="1031">
                  <c:v>150.76510112316203</c:v>
                </c:pt>
                <c:pt idx="1032">
                  <c:v>150.87131500168508</c:v>
                </c:pt>
                <c:pt idx="1033">
                  <c:v>151.11474330650216</c:v>
                </c:pt>
                <c:pt idx="1034">
                  <c:v>151.87601518986088</c:v>
                </c:pt>
                <c:pt idx="1035">
                  <c:v>151.47545226445197</c:v>
                </c:pt>
                <c:pt idx="1036">
                  <c:v>152.57091358329114</c:v>
                </c:pt>
                <c:pt idx="1037">
                  <c:v>151.01295613782307</c:v>
                </c:pt>
                <c:pt idx="1038">
                  <c:v>152.11059007499051</c:v>
                </c:pt>
                <c:pt idx="1039">
                  <c:v>153.3941458255988</c:v>
                </c:pt>
                <c:pt idx="1040">
                  <c:v>152.54212639044167</c:v>
                </c:pt>
                <c:pt idx="1041">
                  <c:v>151.80962812106796</c:v>
                </c:pt>
                <c:pt idx="1042">
                  <c:v>151.89594896302268</c:v>
                </c:pt>
                <c:pt idx="1043">
                  <c:v>150.55708649709538</c:v>
                </c:pt>
                <c:pt idx="1044">
                  <c:v>151.61930675551216</c:v>
                </c:pt>
                <c:pt idx="1045">
                  <c:v>150.77395454284971</c:v>
                </c:pt>
                <c:pt idx="1046">
                  <c:v>148.79774091146209</c:v>
                </c:pt>
                <c:pt idx="1047">
                  <c:v>150.1012032775032</c:v>
                </c:pt>
                <c:pt idx="1048">
                  <c:v>149.85997474874338</c:v>
                </c:pt>
                <c:pt idx="1049">
                  <c:v>149.67188031697404</c:v>
                </c:pt>
                <c:pt idx="1050">
                  <c:v>147.3991178626431</c:v>
                </c:pt>
                <c:pt idx="1051">
                  <c:v>146.5648188457258</c:v>
                </c:pt>
                <c:pt idx="1052">
                  <c:v>148.05638922240072</c:v>
                </c:pt>
                <c:pt idx="1053">
                  <c:v>148.44585821547099</c:v>
                </c:pt>
                <c:pt idx="1054">
                  <c:v>146.37449748016999</c:v>
                </c:pt>
                <c:pt idx="1055">
                  <c:v>146.01378852222021</c:v>
                </c:pt>
                <c:pt idx="1056">
                  <c:v>143.92056581499116</c:v>
                </c:pt>
                <c:pt idx="1057">
                  <c:v>145.43173049321419</c:v>
                </c:pt>
                <c:pt idx="1058">
                  <c:v>144.94354315485359</c:v>
                </c:pt>
                <c:pt idx="1059">
                  <c:v>145.7512683338434</c:v>
                </c:pt>
                <c:pt idx="1060">
                  <c:v>143.14833578793926</c:v>
                </c:pt>
                <c:pt idx="1061">
                  <c:v>140.7073855172718</c:v>
                </c:pt>
                <c:pt idx="1062">
                  <c:v>140.23694575488025</c:v>
                </c:pt>
                <c:pt idx="1063">
                  <c:v>144.31333447214732</c:v>
                </c:pt>
                <c:pt idx="1064">
                  <c:v>145.40066205112004</c:v>
                </c:pt>
                <c:pt idx="1065">
                  <c:v>145.53158946312683</c:v>
                </c:pt>
                <c:pt idx="1066">
                  <c:v>146.21949474131296</c:v>
                </c:pt>
                <c:pt idx="1067">
                  <c:v>146.28383140155873</c:v>
                </c:pt>
                <c:pt idx="1068">
                  <c:v>150.00962741496696</c:v>
                </c:pt>
                <c:pt idx="1069">
                  <c:v>150.87503561057213</c:v>
                </c:pt>
                <c:pt idx="1070">
                  <c:v>150.77519021952398</c:v>
                </c:pt>
                <c:pt idx="1071">
                  <c:v>152.24863281202238</c:v>
                </c:pt>
                <c:pt idx="1072">
                  <c:v>154.10376370820308</c:v>
                </c:pt>
                <c:pt idx="1073">
                  <c:v>155.3197917653961</c:v>
                </c:pt>
                <c:pt idx="1074">
                  <c:v>155.70146649021362</c:v>
                </c:pt>
                <c:pt idx="1075">
                  <c:v>157.58322553977999</c:v>
                </c:pt>
                <c:pt idx="1076">
                  <c:v>157.26810083013024</c:v>
                </c:pt>
                <c:pt idx="1077">
                  <c:v>156.2384834255019</c:v>
                </c:pt>
                <c:pt idx="1078">
                  <c:v>157.82066556533013</c:v>
                </c:pt>
                <c:pt idx="1079">
                  <c:v>157.20820445859292</c:v>
                </c:pt>
                <c:pt idx="1080">
                  <c:v>158.42645944957238</c:v>
                </c:pt>
                <c:pt idx="1081">
                  <c:v>158.69939462706037</c:v>
                </c:pt>
                <c:pt idx="1082">
                  <c:v>157.92716460000867</c:v>
                </c:pt>
                <c:pt idx="1083">
                  <c:v>157.9027633804092</c:v>
                </c:pt>
                <c:pt idx="1084">
                  <c:v>159.47383800903404</c:v>
                </c:pt>
                <c:pt idx="1085">
                  <c:v>159.91543626311812</c:v>
                </c:pt>
                <c:pt idx="1086">
                  <c:v>159.32960330976664</c:v>
                </c:pt>
                <c:pt idx="1087">
                  <c:v>160.60778183001247</c:v>
                </c:pt>
                <c:pt idx="1088">
                  <c:v>162.84013358343771</c:v>
                </c:pt>
                <c:pt idx="1089">
                  <c:v>162.34085231273852</c:v>
                </c:pt>
                <c:pt idx="1090">
                  <c:v>163.68115413830816</c:v>
                </c:pt>
                <c:pt idx="1091">
                  <c:v>164.053948285709</c:v>
                </c:pt>
                <c:pt idx="1092">
                  <c:v>163.80541432782027</c:v>
                </c:pt>
                <c:pt idx="1093">
                  <c:v>164.72187905413961</c:v>
                </c:pt>
                <c:pt idx="1094">
                  <c:v>166.02224543906297</c:v>
                </c:pt>
                <c:pt idx="1095">
                  <c:v>164.02510677740133</c:v>
                </c:pt>
                <c:pt idx="1096">
                  <c:v>163.90971358644137</c:v>
                </c:pt>
                <c:pt idx="1097">
                  <c:v>162.81794571876046</c:v>
                </c:pt>
                <c:pt idx="1098">
                  <c:v>164.48666596237598</c:v>
                </c:pt>
                <c:pt idx="1099">
                  <c:v>164.81285744663563</c:v>
                </c:pt>
                <c:pt idx="1100">
                  <c:v>165.46082728417539</c:v>
                </c:pt>
                <c:pt idx="1101">
                  <c:v>166.55926237435125</c:v>
                </c:pt>
                <c:pt idx="1102">
                  <c:v>166.53040728717906</c:v>
                </c:pt>
                <c:pt idx="1103">
                  <c:v>167.44908536842013</c:v>
                </c:pt>
                <c:pt idx="1104">
                  <c:v>167.86626882404028</c:v>
                </c:pt>
                <c:pt idx="1105">
                  <c:v>168.3233877203067</c:v>
                </c:pt>
                <c:pt idx="1106">
                  <c:v>168.55196074730441</c:v>
                </c:pt>
                <c:pt idx="1107">
                  <c:v>167.369200908263</c:v>
                </c:pt>
                <c:pt idx="1108">
                  <c:v>168.0016365247555</c:v>
                </c:pt>
                <c:pt idx="1109">
                  <c:v>163.66561991726107</c:v>
                </c:pt>
                <c:pt idx="1110">
                  <c:v>164.03618713087545</c:v>
                </c:pt>
                <c:pt idx="1111">
                  <c:v>163.55466701500956</c:v>
                </c:pt>
                <c:pt idx="1112">
                  <c:v>160.97613568870489</c:v>
                </c:pt>
                <c:pt idx="1113">
                  <c:v>163.71222258040231</c:v>
                </c:pt>
                <c:pt idx="1114">
                  <c:v>164.59761886462749</c:v>
                </c:pt>
                <c:pt idx="1115">
                  <c:v>167.50012832026982</c:v>
                </c:pt>
                <c:pt idx="1116">
                  <c:v>166.50156577887137</c:v>
                </c:pt>
                <c:pt idx="1117">
                  <c:v>164.42231572326591</c:v>
                </c:pt>
                <c:pt idx="1118">
                  <c:v>166.13181329713007</c:v>
                </c:pt>
                <c:pt idx="1119">
                  <c:v>165.6089998541629</c:v>
                </c:pt>
                <c:pt idx="1120">
                  <c:v>163.20403357455723</c:v>
                </c:pt>
                <c:pt idx="1121">
                  <c:v>163.12838572013996</c:v>
                </c:pt>
                <c:pt idx="1122">
                  <c:v>163.36420986080839</c:v>
                </c:pt>
                <c:pt idx="1123">
                  <c:v>162.1828622236801</c:v>
                </c:pt>
                <c:pt idx="1124">
                  <c:v>164.85480255923557</c:v>
                </c:pt>
                <c:pt idx="1125">
                  <c:v>166.13849409848947</c:v>
                </c:pt>
                <c:pt idx="1126">
                  <c:v>165.91379104788894</c:v>
                </c:pt>
                <c:pt idx="1127">
                  <c:v>165.6957687986478</c:v>
                </c:pt>
                <c:pt idx="1128">
                  <c:v>167.27861630283897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2D-414E-8056-59C141F5E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yyyy\-mm" sourceLinked="0"/>
        <c:majorTickMark val="none"/>
        <c:minorTickMark val="none"/>
        <c:tickLblPos val="low"/>
        <c:crossAx val="100"/>
        <c:crosses val="autoZero"/>
        <c:auto val="1"/>
        <c:lblOffset val="100"/>
        <c:baseTimeUnit val="days"/>
        <c:majorUnit val="110"/>
        <c:minorUnit val="110"/>
      </c:dateAx>
      <c:valAx>
        <c:axId val="10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2000" b="1">
                <a:solidFill>
                  <a:srgbClr val="1F3864"/>
                </a:solidFill>
                <a:latin typeface="Arial"/>
              </a:defRPr>
            </a:pPr>
            <a:r>
              <a:rPr lang="en-US" sz="2000" b="1">
                <a:solidFill>
                  <a:srgbClr val="1F3864"/>
                </a:solidFill>
                <a:latin typeface="Arial"/>
              </a:rPr>
              <a:t>Drawdown from Peak (underwater)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Tech Portfolio</c:v>
          </c:tx>
          <c:spPr>
            <a:ln w="20000">
              <a:solidFill>
                <a:srgbClr val="2E5496"/>
              </a:solidFill>
              <a:prstDash val="solid"/>
            </a:ln>
          </c:spPr>
          <c:marker>
            <c:symbol val="none"/>
          </c:marker>
          <c:cat>
            <c:numRef>
              <c:f>'Tech Portfolio'!$A$2:$A$1130</c:f>
              <c:numCache>
                <c:formatCode>yyyy\-mm\-dd</c:formatCode>
                <c:ptCount val="112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44579</c:v>
                </c:pt>
                <c:pt idx="11">
                  <c:v>44580</c:v>
                </c:pt>
                <c:pt idx="12">
                  <c:v>44581</c:v>
                </c:pt>
                <c:pt idx="13">
                  <c:v>44582</c:v>
                </c:pt>
                <c:pt idx="14">
                  <c:v>44585</c:v>
                </c:pt>
                <c:pt idx="15">
                  <c:v>44586</c:v>
                </c:pt>
                <c:pt idx="16">
                  <c:v>44587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44614</c:v>
                </c:pt>
                <c:pt idx="35">
                  <c:v>44615</c:v>
                </c:pt>
                <c:pt idx="36">
                  <c:v>44616</c:v>
                </c:pt>
                <c:pt idx="37">
                  <c:v>44617</c:v>
                </c:pt>
                <c:pt idx="38">
                  <c:v>44620</c:v>
                </c:pt>
                <c:pt idx="39">
                  <c:v>44621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44672</c:v>
                </c:pt>
                <c:pt idx="76">
                  <c:v>44673</c:v>
                </c:pt>
                <c:pt idx="77">
                  <c:v>44676</c:v>
                </c:pt>
                <c:pt idx="78">
                  <c:v>44677</c:v>
                </c:pt>
                <c:pt idx="79">
                  <c:v>44678</c:v>
                </c:pt>
                <c:pt idx="80">
                  <c:v>44679</c:v>
                </c:pt>
                <c:pt idx="81">
                  <c:v>44680</c:v>
                </c:pt>
                <c:pt idx="82">
                  <c:v>44683</c:v>
                </c:pt>
                <c:pt idx="83">
                  <c:v>44684</c:v>
                </c:pt>
                <c:pt idx="84">
                  <c:v>44685</c:v>
                </c:pt>
                <c:pt idx="85">
                  <c:v>44686</c:v>
                </c:pt>
                <c:pt idx="86">
                  <c:v>44687</c:v>
                </c:pt>
                <c:pt idx="87">
                  <c:v>44690</c:v>
                </c:pt>
                <c:pt idx="88">
                  <c:v>44691</c:v>
                </c:pt>
                <c:pt idx="89">
                  <c:v>44692</c:v>
                </c:pt>
                <c:pt idx="90">
                  <c:v>44693</c:v>
                </c:pt>
                <c:pt idx="91">
                  <c:v>44694</c:v>
                </c:pt>
                <c:pt idx="92">
                  <c:v>44697</c:v>
                </c:pt>
                <c:pt idx="93">
                  <c:v>44698</c:v>
                </c:pt>
                <c:pt idx="94">
                  <c:v>44699</c:v>
                </c:pt>
                <c:pt idx="95">
                  <c:v>44700</c:v>
                </c:pt>
                <c:pt idx="96">
                  <c:v>44701</c:v>
                </c:pt>
                <c:pt idx="97">
                  <c:v>44704</c:v>
                </c:pt>
                <c:pt idx="98">
                  <c:v>44705</c:v>
                </c:pt>
                <c:pt idx="99">
                  <c:v>44706</c:v>
                </c:pt>
                <c:pt idx="100">
                  <c:v>44707</c:v>
                </c:pt>
                <c:pt idx="101">
                  <c:v>44708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44728</c:v>
                </c:pt>
                <c:pt idx="115">
                  <c:v>44729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44782</c:v>
                </c:pt>
                <c:pt idx="151">
                  <c:v>44783</c:v>
                </c:pt>
                <c:pt idx="152">
                  <c:v>44784</c:v>
                </c:pt>
                <c:pt idx="153">
                  <c:v>44785</c:v>
                </c:pt>
                <c:pt idx="154">
                  <c:v>44788</c:v>
                </c:pt>
                <c:pt idx="155">
                  <c:v>44789</c:v>
                </c:pt>
                <c:pt idx="156">
                  <c:v>44790</c:v>
                </c:pt>
                <c:pt idx="157">
                  <c:v>44791</c:v>
                </c:pt>
                <c:pt idx="158">
                  <c:v>44792</c:v>
                </c:pt>
                <c:pt idx="159">
                  <c:v>44795</c:v>
                </c:pt>
                <c:pt idx="160">
                  <c:v>44796</c:v>
                </c:pt>
                <c:pt idx="161">
                  <c:v>44797</c:v>
                </c:pt>
                <c:pt idx="162">
                  <c:v>44798</c:v>
                </c:pt>
                <c:pt idx="163">
                  <c:v>44799</c:v>
                </c:pt>
                <c:pt idx="164">
                  <c:v>44802</c:v>
                </c:pt>
                <c:pt idx="165">
                  <c:v>44803</c:v>
                </c:pt>
                <c:pt idx="166">
                  <c:v>44804</c:v>
                </c:pt>
                <c:pt idx="167">
                  <c:v>44805</c:v>
                </c:pt>
                <c:pt idx="168">
                  <c:v>44806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44816</c:v>
                </c:pt>
                <c:pt idx="174">
                  <c:v>44817</c:v>
                </c:pt>
                <c:pt idx="175">
                  <c:v>44818</c:v>
                </c:pt>
                <c:pt idx="176">
                  <c:v>44819</c:v>
                </c:pt>
                <c:pt idx="177">
                  <c:v>44820</c:v>
                </c:pt>
                <c:pt idx="178">
                  <c:v>44823</c:v>
                </c:pt>
                <c:pt idx="179">
                  <c:v>44824</c:v>
                </c:pt>
                <c:pt idx="180">
                  <c:v>44825</c:v>
                </c:pt>
                <c:pt idx="181">
                  <c:v>44826</c:v>
                </c:pt>
                <c:pt idx="182">
                  <c:v>44827</c:v>
                </c:pt>
                <c:pt idx="183">
                  <c:v>44830</c:v>
                </c:pt>
                <c:pt idx="184">
                  <c:v>44831</c:v>
                </c:pt>
                <c:pt idx="185">
                  <c:v>44832</c:v>
                </c:pt>
                <c:pt idx="186">
                  <c:v>44833</c:v>
                </c:pt>
                <c:pt idx="187">
                  <c:v>44834</c:v>
                </c:pt>
                <c:pt idx="188">
                  <c:v>44837</c:v>
                </c:pt>
                <c:pt idx="189">
                  <c:v>44838</c:v>
                </c:pt>
                <c:pt idx="190">
                  <c:v>44839</c:v>
                </c:pt>
                <c:pt idx="191">
                  <c:v>44840</c:v>
                </c:pt>
                <c:pt idx="192">
                  <c:v>44841</c:v>
                </c:pt>
                <c:pt idx="193">
                  <c:v>44844</c:v>
                </c:pt>
                <c:pt idx="194">
                  <c:v>44845</c:v>
                </c:pt>
                <c:pt idx="195">
                  <c:v>44846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44867</c:v>
                </c:pt>
                <c:pt idx="211">
                  <c:v>44868</c:v>
                </c:pt>
                <c:pt idx="212">
                  <c:v>44869</c:v>
                </c:pt>
                <c:pt idx="213">
                  <c:v>44872</c:v>
                </c:pt>
                <c:pt idx="214">
                  <c:v>44873</c:v>
                </c:pt>
                <c:pt idx="215">
                  <c:v>44874</c:v>
                </c:pt>
                <c:pt idx="216">
                  <c:v>44875</c:v>
                </c:pt>
                <c:pt idx="217">
                  <c:v>44876</c:v>
                </c:pt>
                <c:pt idx="218">
                  <c:v>44879</c:v>
                </c:pt>
                <c:pt idx="219">
                  <c:v>44880</c:v>
                </c:pt>
                <c:pt idx="220">
                  <c:v>44881</c:v>
                </c:pt>
                <c:pt idx="221">
                  <c:v>44882</c:v>
                </c:pt>
                <c:pt idx="222">
                  <c:v>44883</c:v>
                </c:pt>
                <c:pt idx="223">
                  <c:v>44886</c:v>
                </c:pt>
                <c:pt idx="224">
                  <c:v>44887</c:v>
                </c:pt>
                <c:pt idx="225">
                  <c:v>44888</c:v>
                </c:pt>
                <c:pt idx="226">
                  <c:v>44890</c:v>
                </c:pt>
                <c:pt idx="227">
                  <c:v>44893</c:v>
                </c:pt>
                <c:pt idx="228">
                  <c:v>44894</c:v>
                </c:pt>
                <c:pt idx="229">
                  <c:v>44895</c:v>
                </c:pt>
                <c:pt idx="230">
                  <c:v>44896</c:v>
                </c:pt>
                <c:pt idx="231">
                  <c:v>44897</c:v>
                </c:pt>
                <c:pt idx="232">
                  <c:v>44900</c:v>
                </c:pt>
                <c:pt idx="233">
                  <c:v>44901</c:v>
                </c:pt>
                <c:pt idx="234">
                  <c:v>44902</c:v>
                </c:pt>
                <c:pt idx="235">
                  <c:v>44903</c:v>
                </c:pt>
                <c:pt idx="236">
                  <c:v>44904</c:v>
                </c:pt>
                <c:pt idx="237">
                  <c:v>44907</c:v>
                </c:pt>
                <c:pt idx="238">
                  <c:v>44908</c:v>
                </c:pt>
                <c:pt idx="239">
                  <c:v>44909</c:v>
                </c:pt>
                <c:pt idx="240">
                  <c:v>44910</c:v>
                </c:pt>
                <c:pt idx="241">
                  <c:v>44911</c:v>
                </c:pt>
                <c:pt idx="242">
                  <c:v>44914</c:v>
                </c:pt>
                <c:pt idx="243">
                  <c:v>44915</c:v>
                </c:pt>
                <c:pt idx="244">
                  <c:v>44916</c:v>
                </c:pt>
                <c:pt idx="245">
                  <c:v>44917</c:v>
                </c:pt>
                <c:pt idx="246">
                  <c:v>44918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44925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44943</c:v>
                </c:pt>
                <c:pt idx="261">
                  <c:v>44944</c:v>
                </c:pt>
                <c:pt idx="262">
                  <c:v>44945</c:v>
                </c:pt>
                <c:pt idx="263">
                  <c:v>44946</c:v>
                </c:pt>
                <c:pt idx="264">
                  <c:v>44949</c:v>
                </c:pt>
                <c:pt idx="265">
                  <c:v>44950</c:v>
                </c:pt>
                <c:pt idx="266">
                  <c:v>44951</c:v>
                </c:pt>
                <c:pt idx="267">
                  <c:v>44952</c:v>
                </c:pt>
                <c:pt idx="268">
                  <c:v>44953</c:v>
                </c:pt>
                <c:pt idx="269">
                  <c:v>44956</c:v>
                </c:pt>
                <c:pt idx="270">
                  <c:v>44957</c:v>
                </c:pt>
                <c:pt idx="271">
                  <c:v>44958</c:v>
                </c:pt>
                <c:pt idx="272">
                  <c:v>44959</c:v>
                </c:pt>
                <c:pt idx="273">
                  <c:v>44960</c:v>
                </c:pt>
                <c:pt idx="274">
                  <c:v>44963</c:v>
                </c:pt>
                <c:pt idx="275">
                  <c:v>44964</c:v>
                </c:pt>
                <c:pt idx="276">
                  <c:v>44965</c:v>
                </c:pt>
                <c:pt idx="277">
                  <c:v>44966</c:v>
                </c:pt>
                <c:pt idx="278">
                  <c:v>44967</c:v>
                </c:pt>
                <c:pt idx="279">
                  <c:v>44970</c:v>
                </c:pt>
                <c:pt idx="280">
                  <c:v>44971</c:v>
                </c:pt>
                <c:pt idx="281">
                  <c:v>44972</c:v>
                </c:pt>
                <c:pt idx="282">
                  <c:v>44973</c:v>
                </c:pt>
                <c:pt idx="283">
                  <c:v>44974</c:v>
                </c:pt>
                <c:pt idx="284">
                  <c:v>44978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45037</c:v>
                </c:pt>
                <c:pt idx="327">
                  <c:v>45040</c:v>
                </c:pt>
                <c:pt idx="328">
                  <c:v>45041</c:v>
                </c:pt>
                <c:pt idx="329">
                  <c:v>45042</c:v>
                </c:pt>
                <c:pt idx="330">
                  <c:v>45043</c:v>
                </c:pt>
                <c:pt idx="331">
                  <c:v>45044</c:v>
                </c:pt>
                <c:pt idx="332">
                  <c:v>45047</c:v>
                </c:pt>
                <c:pt idx="333">
                  <c:v>45048</c:v>
                </c:pt>
                <c:pt idx="334">
                  <c:v>45049</c:v>
                </c:pt>
                <c:pt idx="335">
                  <c:v>45050</c:v>
                </c:pt>
                <c:pt idx="336">
                  <c:v>45051</c:v>
                </c:pt>
                <c:pt idx="337">
                  <c:v>45054</c:v>
                </c:pt>
                <c:pt idx="338">
                  <c:v>45055</c:v>
                </c:pt>
                <c:pt idx="339">
                  <c:v>45056</c:v>
                </c:pt>
                <c:pt idx="340">
                  <c:v>45057</c:v>
                </c:pt>
                <c:pt idx="341">
                  <c:v>45058</c:v>
                </c:pt>
                <c:pt idx="342">
                  <c:v>45061</c:v>
                </c:pt>
                <c:pt idx="343">
                  <c:v>45062</c:v>
                </c:pt>
                <c:pt idx="344">
                  <c:v>45063</c:v>
                </c:pt>
                <c:pt idx="345">
                  <c:v>45064</c:v>
                </c:pt>
                <c:pt idx="346">
                  <c:v>45065</c:v>
                </c:pt>
                <c:pt idx="347">
                  <c:v>45068</c:v>
                </c:pt>
                <c:pt idx="348">
                  <c:v>45069</c:v>
                </c:pt>
                <c:pt idx="349">
                  <c:v>45070</c:v>
                </c:pt>
                <c:pt idx="350">
                  <c:v>45071</c:v>
                </c:pt>
                <c:pt idx="351">
                  <c:v>45072</c:v>
                </c:pt>
                <c:pt idx="352">
                  <c:v>45076</c:v>
                </c:pt>
                <c:pt idx="353">
                  <c:v>45077</c:v>
                </c:pt>
                <c:pt idx="354">
                  <c:v>45078</c:v>
                </c:pt>
                <c:pt idx="355">
                  <c:v>45079</c:v>
                </c:pt>
                <c:pt idx="356">
                  <c:v>45082</c:v>
                </c:pt>
                <c:pt idx="357">
                  <c:v>45083</c:v>
                </c:pt>
                <c:pt idx="358">
                  <c:v>45084</c:v>
                </c:pt>
                <c:pt idx="359">
                  <c:v>45085</c:v>
                </c:pt>
                <c:pt idx="360">
                  <c:v>45086</c:v>
                </c:pt>
                <c:pt idx="361">
                  <c:v>45089</c:v>
                </c:pt>
                <c:pt idx="362">
                  <c:v>45090</c:v>
                </c:pt>
                <c:pt idx="363">
                  <c:v>45091</c:v>
                </c:pt>
                <c:pt idx="364">
                  <c:v>45092</c:v>
                </c:pt>
                <c:pt idx="365">
                  <c:v>45093</c:v>
                </c:pt>
                <c:pt idx="366">
                  <c:v>45097</c:v>
                </c:pt>
                <c:pt idx="367">
                  <c:v>45098</c:v>
                </c:pt>
                <c:pt idx="368">
                  <c:v>45099</c:v>
                </c:pt>
                <c:pt idx="369">
                  <c:v>45100</c:v>
                </c:pt>
                <c:pt idx="370">
                  <c:v>45103</c:v>
                </c:pt>
                <c:pt idx="371">
                  <c:v>45104</c:v>
                </c:pt>
                <c:pt idx="372">
                  <c:v>45105</c:v>
                </c:pt>
                <c:pt idx="373">
                  <c:v>45106</c:v>
                </c:pt>
                <c:pt idx="374">
                  <c:v>45107</c:v>
                </c:pt>
                <c:pt idx="375">
                  <c:v>45110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45174</c:v>
                </c:pt>
                <c:pt idx="420">
                  <c:v>45175</c:v>
                </c:pt>
                <c:pt idx="421">
                  <c:v>45176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45211</c:v>
                </c:pt>
                <c:pt idx="447">
                  <c:v>45212</c:v>
                </c:pt>
                <c:pt idx="448">
                  <c:v>45215</c:v>
                </c:pt>
                <c:pt idx="449">
                  <c:v>45216</c:v>
                </c:pt>
                <c:pt idx="450">
                  <c:v>45217</c:v>
                </c:pt>
                <c:pt idx="451">
                  <c:v>45218</c:v>
                </c:pt>
                <c:pt idx="452">
                  <c:v>45219</c:v>
                </c:pt>
                <c:pt idx="453">
                  <c:v>45222</c:v>
                </c:pt>
                <c:pt idx="454">
                  <c:v>45223</c:v>
                </c:pt>
                <c:pt idx="455">
                  <c:v>45224</c:v>
                </c:pt>
                <c:pt idx="456">
                  <c:v>45225</c:v>
                </c:pt>
                <c:pt idx="457">
                  <c:v>45226</c:v>
                </c:pt>
                <c:pt idx="458">
                  <c:v>45229</c:v>
                </c:pt>
                <c:pt idx="459">
                  <c:v>45230</c:v>
                </c:pt>
                <c:pt idx="460">
                  <c:v>45231</c:v>
                </c:pt>
                <c:pt idx="461">
                  <c:v>45232</c:v>
                </c:pt>
                <c:pt idx="462">
                  <c:v>45233</c:v>
                </c:pt>
                <c:pt idx="463">
                  <c:v>45236</c:v>
                </c:pt>
                <c:pt idx="464">
                  <c:v>45237</c:v>
                </c:pt>
                <c:pt idx="465">
                  <c:v>45238</c:v>
                </c:pt>
                <c:pt idx="466">
                  <c:v>45239</c:v>
                </c:pt>
                <c:pt idx="467">
                  <c:v>45240</c:v>
                </c:pt>
                <c:pt idx="468">
                  <c:v>45243</c:v>
                </c:pt>
                <c:pt idx="469">
                  <c:v>45244</c:v>
                </c:pt>
                <c:pt idx="470">
                  <c:v>45245</c:v>
                </c:pt>
                <c:pt idx="471">
                  <c:v>45246</c:v>
                </c:pt>
                <c:pt idx="472">
                  <c:v>45247</c:v>
                </c:pt>
                <c:pt idx="473">
                  <c:v>45250</c:v>
                </c:pt>
                <c:pt idx="474">
                  <c:v>45251</c:v>
                </c:pt>
                <c:pt idx="475">
                  <c:v>45252</c:v>
                </c:pt>
                <c:pt idx="476">
                  <c:v>45254</c:v>
                </c:pt>
                <c:pt idx="477">
                  <c:v>45257</c:v>
                </c:pt>
                <c:pt idx="478">
                  <c:v>45258</c:v>
                </c:pt>
                <c:pt idx="479">
                  <c:v>45259</c:v>
                </c:pt>
                <c:pt idx="480">
                  <c:v>45260</c:v>
                </c:pt>
                <c:pt idx="481">
                  <c:v>45261</c:v>
                </c:pt>
                <c:pt idx="482">
                  <c:v>45264</c:v>
                </c:pt>
                <c:pt idx="483">
                  <c:v>45265</c:v>
                </c:pt>
                <c:pt idx="484">
                  <c:v>45266</c:v>
                </c:pt>
                <c:pt idx="485">
                  <c:v>45267</c:v>
                </c:pt>
                <c:pt idx="486">
                  <c:v>45268</c:v>
                </c:pt>
                <c:pt idx="487">
                  <c:v>45271</c:v>
                </c:pt>
                <c:pt idx="488">
                  <c:v>45272</c:v>
                </c:pt>
                <c:pt idx="489">
                  <c:v>45273</c:v>
                </c:pt>
                <c:pt idx="490">
                  <c:v>45274</c:v>
                </c:pt>
                <c:pt idx="491">
                  <c:v>45275</c:v>
                </c:pt>
                <c:pt idx="492">
                  <c:v>45278</c:v>
                </c:pt>
                <c:pt idx="493">
                  <c:v>45279</c:v>
                </c:pt>
                <c:pt idx="494">
                  <c:v>45280</c:v>
                </c:pt>
                <c:pt idx="495">
                  <c:v>45281</c:v>
                </c:pt>
                <c:pt idx="496">
                  <c:v>45282</c:v>
                </c:pt>
                <c:pt idx="497">
                  <c:v>45286</c:v>
                </c:pt>
                <c:pt idx="498">
                  <c:v>45287</c:v>
                </c:pt>
                <c:pt idx="499">
                  <c:v>45288</c:v>
                </c:pt>
                <c:pt idx="500">
                  <c:v>45289</c:v>
                </c:pt>
                <c:pt idx="501">
                  <c:v>45293</c:v>
                </c:pt>
                <c:pt idx="502">
                  <c:v>45294</c:v>
                </c:pt>
                <c:pt idx="503">
                  <c:v>45295</c:v>
                </c:pt>
                <c:pt idx="504">
                  <c:v>45296</c:v>
                </c:pt>
                <c:pt idx="505">
                  <c:v>45299</c:v>
                </c:pt>
                <c:pt idx="506">
                  <c:v>45300</c:v>
                </c:pt>
                <c:pt idx="507">
                  <c:v>45301</c:v>
                </c:pt>
                <c:pt idx="508">
                  <c:v>45302</c:v>
                </c:pt>
                <c:pt idx="509">
                  <c:v>45303</c:v>
                </c:pt>
                <c:pt idx="510">
                  <c:v>45307</c:v>
                </c:pt>
                <c:pt idx="511">
                  <c:v>45308</c:v>
                </c:pt>
                <c:pt idx="512">
                  <c:v>45309</c:v>
                </c:pt>
                <c:pt idx="513">
                  <c:v>45310</c:v>
                </c:pt>
                <c:pt idx="514">
                  <c:v>45313</c:v>
                </c:pt>
                <c:pt idx="515">
                  <c:v>45314</c:v>
                </c:pt>
                <c:pt idx="516">
                  <c:v>45315</c:v>
                </c:pt>
                <c:pt idx="517">
                  <c:v>45316</c:v>
                </c:pt>
                <c:pt idx="518">
                  <c:v>45317</c:v>
                </c:pt>
                <c:pt idx="519">
                  <c:v>45320</c:v>
                </c:pt>
                <c:pt idx="520">
                  <c:v>45321</c:v>
                </c:pt>
                <c:pt idx="521">
                  <c:v>45322</c:v>
                </c:pt>
                <c:pt idx="522">
                  <c:v>45323</c:v>
                </c:pt>
                <c:pt idx="523">
                  <c:v>45324</c:v>
                </c:pt>
                <c:pt idx="524">
                  <c:v>45327</c:v>
                </c:pt>
                <c:pt idx="525">
                  <c:v>45328</c:v>
                </c:pt>
                <c:pt idx="526">
                  <c:v>45329</c:v>
                </c:pt>
                <c:pt idx="527">
                  <c:v>45330</c:v>
                </c:pt>
                <c:pt idx="528">
                  <c:v>45331</c:v>
                </c:pt>
                <c:pt idx="529">
                  <c:v>45334</c:v>
                </c:pt>
                <c:pt idx="530">
                  <c:v>45335</c:v>
                </c:pt>
                <c:pt idx="531">
                  <c:v>45336</c:v>
                </c:pt>
                <c:pt idx="532">
                  <c:v>45337</c:v>
                </c:pt>
                <c:pt idx="533">
                  <c:v>45338</c:v>
                </c:pt>
                <c:pt idx="534">
                  <c:v>45342</c:v>
                </c:pt>
                <c:pt idx="535">
                  <c:v>45343</c:v>
                </c:pt>
                <c:pt idx="536">
                  <c:v>45344</c:v>
                </c:pt>
                <c:pt idx="537">
                  <c:v>45345</c:v>
                </c:pt>
                <c:pt idx="538">
                  <c:v>45348</c:v>
                </c:pt>
                <c:pt idx="539">
                  <c:v>45349</c:v>
                </c:pt>
                <c:pt idx="540">
                  <c:v>45350</c:v>
                </c:pt>
                <c:pt idx="541">
                  <c:v>45351</c:v>
                </c:pt>
                <c:pt idx="542">
                  <c:v>45352</c:v>
                </c:pt>
                <c:pt idx="543">
                  <c:v>45355</c:v>
                </c:pt>
                <c:pt idx="544">
                  <c:v>45356</c:v>
                </c:pt>
                <c:pt idx="545">
                  <c:v>45357</c:v>
                </c:pt>
                <c:pt idx="546">
                  <c:v>45358</c:v>
                </c:pt>
                <c:pt idx="547">
                  <c:v>45359</c:v>
                </c:pt>
                <c:pt idx="548">
                  <c:v>45362</c:v>
                </c:pt>
                <c:pt idx="549">
                  <c:v>45363</c:v>
                </c:pt>
                <c:pt idx="550">
                  <c:v>45364</c:v>
                </c:pt>
                <c:pt idx="551">
                  <c:v>45365</c:v>
                </c:pt>
                <c:pt idx="552">
                  <c:v>45366</c:v>
                </c:pt>
                <c:pt idx="553">
                  <c:v>45369</c:v>
                </c:pt>
                <c:pt idx="554">
                  <c:v>45370</c:v>
                </c:pt>
                <c:pt idx="555">
                  <c:v>45371</c:v>
                </c:pt>
                <c:pt idx="556">
                  <c:v>45372</c:v>
                </c:pt>
                <c:pt idx="557">
                  <c:v>45373</c:v>
                </c:pt>
                <c:pt idx="558">
                  <c:v>45376</c:v>
                </c:pt>
                <c:pt idx="559">
                  <c:v>45377</c:v>
                </c:pt>
                <c:pt idx="560">
                  <c:v>45378</c:v>
                </c:pt>
                <c:pt idx="561">
                  <c:v>45379</c:v>
                </c:pt>
                <c:pt idx="562">
                  <c:v>45383</c:v>
                </c:pt>
                <c:pt idx="563">
                  <c:v>45384</c:v>
                </c:pt>
                <c:pt idx="564">
                  <c:v>45385</c:v>
                </c:pt>
                <c:pt idx="565">
                  <c:v>45386</c:v>
                </c:pt>
                <c:pt idx="566">
                  <c:v>45387</c:v>
                </c:pt>
                <c:pt idx="567">
                  <c:v>45390</c:v>
                </c:pt>
                <c:pt idx="568">
                  <c:v>45391</c:v>
                </c:pt>
                <c:pt idx="569">
                  <c:v>45392</c:v>
                </c:pt>
                <c:pt idx="570">
                  <c:v>45393</c:v>
                </c:pt>
                <c:pt idx="571">
                  <c:v>45394</c:v>
                </c:pt>
                <c:pt idx="572">
                  <c:v>45397</c:v>
                </c:pt>
                <c:pt idx="573">
                  <c:v>45398</c:v>
                </c:pt>
                <c:pt idx="574">
                  <c:v>45399</c:v>
                </c:pt>
                <c:pt idx="575">
                  <c:v>45400</c:v>
                </c:pt>
                <c:pt idx="576">
                  <c:v>45401</c:v>
                </c:pt>
                <c:pt idx="577">
                  <c:v>45404</c:v>
                </c:pt>
                <c:pt idx="578">
                  <c:v>45405</c:v>
                </c:pt>
                <c:pt idx="579">
                  <c:v>45406</c:v>
                </c:pt>
                <c:pt idx="580">
                  <c:v>45407</c:v>
                </c:pt>
                <c:pt idx="581">
                  <c:v>45408</c:v>
                </c:pt>
                <c:pt idx="582">
                  <c:v>45411</c:v>
                </c:pt>
                <c:pt idx="583">
                  <c:v>45412</c:v>
                </c:pt>
                <c:pt idx="584">
                  <c:v>45413</c:v>
                </c:pt>
                <c:pt idx="585">
                  <c:v>45414</c:v>
                </c:pt>
                <c:pt idx="586">
                  <c:v>45415</c:v>
                </c:pt>
                <c:pt idx="587">
                  <c:v>45418</c:v>
                </c:pt>
                <c:pt idx="588">
                  <c:v>45419</c:v>
                </c:pt>
                <c:pt idx="589">
                  <c:v>45420</c:v>
                </c:pt>
                <c:pt idx="590">
                  <c:v>45421</c:v>
                </c:pt>
                <c:pt idx="591">
                  <c:v>45422</c:v>
                </c:pt>
                <c:pt idx="592">
                  <c:v>45425</c:v>
                </c:pt>
                <c:pt idx="593">
                  <c:v>45426</c:v>
                </c:pt>
                <c:pt idx="594">
                  <c:v>45427</c:v>
                </c:pt>
                <c:pt idx="595">
                  <c:v>45428</c:v>
                </c:pt>
                <c:pt idx="596">
                  <c:v>45429</c:v>
                </c:pt>
                <c:pt idx="597">
                  <c:v>45432</c:v>
                </c:pt>
                <c:pt idx="598">
                  <c:v>45433</c:v>
                </c:pt>
                <c:pt idx="599">
                  <c:v>45434</c:v>
                </c:pt>
                <c:pt idx="600">
                  <c:v>45435</c:v>
                </c:pt>
                <c:pt idx="601">
                  <c:v>45436</c:v>
                </c:pt>
                <c:pt idx="602">
                  <c:v>45440</c:v>
                </c:pt>
                <c:pt idx="603">
                  <c:v>45441</c:v>
                </c:pt>
                <c:pt idx="604">
                  <c:v>45442</c:v>
                </c:pt>
                <c:pt idx="605">
                  <c:v>45443</c:v>
                </c:pt>
                <c:pt idx="606">
                  <c:v>45446</c:v>
                </c:pt>
                <c:pt idx="607">
                  <c:v>45447</c:v>
                </c:pt>
                <c:pt idx="608">
                  <c:v>45448</c:v>
                </c:pt>
                <c:pt idx="609">
                  <c:v>45449</c:v>
                </c:pt>
                <c:pt idx="610">
                  <c:v>45450</c:v>
                </c:pt>
                <c:pt idx="611">
                  <c:v>45453</c:v>
                </c:pt>
                <c:pt idx="612">
                  <c:v>45454</c:v>
                </c:pt>
                <c:pt idx="613">
                  <c:v>45455</c:v>
                </c:pt>
                <c:pt idx="614">
                  <c:v>45456</c:v>
                </c:pt>
                <c:pt idx="615">
                  <c:v>45457</c:v>
                </c:pt>
                <c:pt idx="616">
                  <c:v>45460</c:v>
                </c:pt>
                <c:pt idx="617">
                  <c:v>45461</c:v>
                </c:pt>
                <c:pt idx="618">
                  <c:v>45463</c:v>
                </c:pt>
                <c:pt idx="619">
                  <c:v>45464</c:v>
                </c:pt>
                <c:pt idx="620">
                  <c:v>45467</c:v>
                </c:pt>
                <c:pt idx="621">
                  <c:v>45468</c:v>
                </c:pt>
                <c:pt idx="622">
                  <c:v>45469</c:v>
                </c:pt>
                <c:pt idx="623">
                  <c:v>45470</c:v>
                </c:pt>
                <c:pt idx="624">
                  <c:v>45471</c:v>
                </c:pt>
                <c:pt idx="625">
                  <c:v>45474</c:v>
                </c:pt>
                <c:pt idx="626">
                  <c:v>45475</c:v>
                </c:pt>
                <c:pt idx="627">
                  <c:v>45476</c:v>
                </c:pt>
                <c:pt idx="628">
                  <c:v>45478</c:v>
                </c:pt>
                <c:pt idx="629">
                  <c:v>45481</c:v>
                </c:pt>
                <c:pt idx="630">
                  <c:v>45482</c:v>
                </c:pt>
                <c:pt idx="631">
                  <c:v>45483</c:v>
                </c:pt>
                <c:pt idx="632">
                  <c:v>45484</c:v>
                </c:pt>
                <c:pt idx="633">
                  <c:v>45485</c:v>
                </c:pt>
                <c:pt idx="634">
                  <c:v>45488</c:v>
                </c:pt>
                <c:pt idx="635">
                  <c:v>45489</c:v>
                </c:pt>
                <c:pt idx="636">
                  <c:v>45490</c:v>
                </c:pt>
                <c:pt idx="637">
                  <c:v>45491</c:v>
                </c:pt>
                <c:pt idx="638">
                  <c:v>45492</c:v>
                </c:pt>
                <c:pt idx="639">
                  <c:v>45495</c:v>
                </c:pt>
                <c:pt idx="640">
                  <c:v>45496</c:v>
                </c:pt>
                <c:pt idx="641">
                  <c:v>45497</c:v>
                </c:pt>
                <c:pt idx="642">
                  <c:v>45498</c:v>
                </c:pt>
                <c:pt idx="643">
                  <c:v>45499</c:v>
                </c:pt>
                <c:pt idx="644">
                  <c:v>45502</c:v>
                </c:pt>
                <c:pt idx="645">
                  <c:v>45503</c:v>
                </c:pt>
                <c:pt idx="646">
                  <c:v>45504</c:v>
                </c:pt>
                <c:pt idx="647">
                  <c:v>45505</c:v>
                </c:pt>
                <c:pt idx="648">
                  <c:v>45506</c:v>
                </c:pt>
                <c:pt idx="649">
                  <c:v>45509</c:v>
                </c:pt>
                <c:pt idx="650">
                  <c:v>45510</c:v>
                </c:pt>
                <c:pt idx="651">
                  <c:v>45511</c:v>
                </c:pt>
                <c:pt idx="652">
                  <c:v>45512</c:v>
                </c:pt>
                <c:pt idx="653">
                  <c:v>45513</c:v>
                </c:pt>
                <c:pt idx="654">
                  <c:v>45516</c:v>
                </c:pt>
                <c:pt idx="655">
                  <c:v>45517</c:v>
                </c:pt>
                <c:pt idx="656">
                  <c:v>45518</c:v>
                </c:pt>
                <c:pt idx="657">
                  <c:v>45519</c:v>
                </c:pt>
                <c:pt idx="658">
                  <c:v>45520</c:v>
                </c:pt>
                <c:pt idx="659">
                  <c:v>45523</c:v>
                </c:pt>
                <c:pt idx="660">
                  <c:v>45524</c:v>
                </c:pt>
                <c:pt idx="661">
                  <c:v>45525</c:v>
                </c:pt>
                <c:pt idx="662">
                  <c:v>45526</c:v>
                </c:pt>
                <c:pt idx="663">
                  <c:v>45527</c:v>
                </c:pt>
                <c:pt idx="664">
                  <c:v>45530</c:v>
                </c:pt>
                <c:pt idx="665">
                  <c:v>45531</c:v>
                </c:pt>
                <c:pt idx="666">
                  <c:v>45532</c:v>
                </c:pt>
                <c:pt idx="667">
                  <c:v>45533</c:v>
                </c:pt>
                <c:pt idx="668">
                  <c:v>45534</c:v>
                </c:pt>
                <c:pt idx="669">
                  <c:v>45538</c:v>
                </c:pt>
                <c:pt idx="670">
                  <c:v>45539</c:v>
                </c:pt>
                <c:pt idx="671">
                  <c:v>45540</c:v>
                </c:pt>
                <c:pt idx="672">
                  <c:v>45541</c:v>
                </c:pt>
                <c:pt idx="673">
                  <c:v>45544</c:v>
                </c:pt>
                <c:pt idx="674">
                  <c:v>45545</c:v>
                </c:pt>
                <c:pt idx="675">
                  <c:v>45546</c:v>
                </c:pt>
                <c:pt idx="676">
                  <c:v>45547</c:v>
                </c:pt>
                <c:pt idx="677">
                  <c:v>45548</c:v>
                </c:pt>
                <c:pt idx="678">
                  <c:v>45551</c:v>
                </c:pt>
                <c:pt idx="679">
                  <c:v>45552</c:v>
                </c:pt>
                <c:pt idx="680">
                  <c:v>45553</c:v>
                </c:pt>
                <c:pt idx="681">
                  <c:v>45554</c:v>
                </c:pt>
                <c:pt idx="682">
                  <c:v>45555</c:v>
                </c:pt>
                <c:pt idx="683">
                  <c:v>45558</c:v>
                </c:pt>
                <c:pt idx="684">
                  <c:v>45559</c:v>
                </c:pt>
                <c:pt idx="685">
                  <c:v>45560</c:v>
                </c:pt>
                <c:pt idx="686">
                  <c:v>45561</c:v>
                </c:pt>
                <c:pt idx="687">
                  <c:v>45562</c:v>
                </c:pt>
                <c:pt idx="688">
                  <c:v>45565</c:v>
                </c:pt>
                <c:pt idx="689">
                  <c:v>45566</c:v>
                </c:pt>
                <c:pt idx="690">
                  <c:v>45567</c:v>
                </c:pt>
                <c:pt idx="691">
                  <c:v>45568</c:v>
                </c:pt>
                <c:pt idx="692">
                  <c:v>45569</c:v>
                </c:pt>
                <c:pt idx="693">
                  <c:v>45572</c:v>
                </c:pt>
                <c:pt idx="694">
                  <c:v>45573</c:v>
                </c:pt>
                <c:pt idx="695">
                  <c:v>45574</c:v>
                </c:pt>
                <c:pt idx="696">
                  <c:v>45575</c:v>
                </c:pt>
                <c:pt idx="697">
                  <c:v>45576</c:v>
                </c:pt>
                <c:pt idx="698">
                  <c:v>45579</c:v>
                </c:pt>
                <c:pt idx="699">
                  <c:v>45580</c:v>
                </c:pt>
                <c:pt idx="700">
                  <c:v>45581</c:v>
                </c:pt>
                <c:pt idx="701">
                  <c:v>45582</c:v>
                </c:pt>
                <c:pt idx="702">
                  <c:v>45583</c:v>
                </c:pt>
                <c:pt idx="703">
                  <c:v>45586</c:v>
                </c:pt>
                <c:pt idx="704">
                  <c:v>45587</c:v>
                </c:pt>
                <c:pt idx="705">
                  <c:v>45588</c:v>
                </c:pt>
                <c:pt idx="706">
                  <c:v>45589</c:v>
                </c:pt>
                <c:pt idx="707">
                  <c:v>45590</c:v>
                </c:pt>
                <c:pt idx="708">
                  <c:v>45593</c:v>
                </c:pt>
                <c:pt idx="709">
                  <c:v>45594</c:v>
                </c:pt>
                <c:pt idx="710">
                  <c:v>45595</c:v>
                </c:pt>
                <c:pt idx="711">
                  <c:v>45596</c:v>
                </c:pt>
                <c:pt idx="712">
                  <c:v>45597</c:v>
                </c:pt>
                <c:pt idx="713">
                  <c:v>45600</c:v>
                </c:pt>
                <c:pt idx="714">
                  <c:v>45601</c:v>
                </c:pt>
                <c:pt idx="715">
                  <c:v>45602</c:v>
                </c:pt>
                <c:pt idx="716">
                  <c:v>45603</c:v>
                </c:pt>
                <c:pt idx="717">
                  <c:v>45604</c:v>
                </c:pt>
                <c:pt idx="718">
                  <c:v>45607</c:v>
                </c:pt>
                <c:pt idx="719">
                  <c:v>45608</c:v>
                </c:pt>
                <c:pt idx="720">
                  <c:v>45609</c:v>
                </c:pt>
                <c:pt idx="721">
                  <c:v>45610</c:v>
                </c:pt>
                <c:pt idx="722">
                  <c:v>45611</c:v>
                </c:pt>
                <c:pt idx="723">
                  <c:v>45614</c:v>
                </c:pt>
                <c:pt idx="724">
                  <c:v>45615</c:v>
                </c:pt>
                <c:pt idx="725">
                  <c:v>45616</c:v>
                </c:pt>
                <c:pt idx="726">
                  <c:v>45617</c:v>
                </c:pt>
                <c:pt idx="727">
                  <c:v>45618</c:v>
                </c:pt>
                <c:pt idx="728">
                  <c:v>45621</c:v>
                </c:pt>
                <c:pt idx="729">
                  <c:v>45622</c:v>
                </c:pt>
                <c:pt idx="730">
                  <c:v>45623</c:v>
                </c:pt>
                <c:pt idx="731">
                  <c:v>45625</c:v>
                </c:pt>
                <c:pt idx="732">
                  <c:v>45628</c:v>
                </c:pt>
                <c:pt idx="733">
                  <c:v>45629</c:v>
                </c:pt>
                <c:pt idx="734">
                  <c:v>45630</c:v>
                </c:pt>
                <c:pt idx="735">
                  <c:v>45631</c:v>
                </c:pt>
                <c:pt idx="736">
                  <c:v>45632</c:v>
                </c:pt>
                <c:pt idx="737">
                  <c:v>45635</c:v>
                </c:pt>
                <c:pt idx="738">
                  <c:v>45636</c:v>
                </c:pt>
                <c:pt idx="739">
                  <c:v>45637</c:v>
                </c:pt>
                <c:pt idx="740">
                  <c:v>45638</c:v>
                </c:pt>
                <c:pt idx="741">
                  <c:v>45639</c:v>
                </c:pt>
                <c:pt idx="742">
                  <c:v>45642</c:v>
                </c:pt>
                <c:pt idx="743">
                  <c:v>45643</c:v>
                </c:pt>
                <c:pt idx="744">
                  <c:v>45644</c:v>
                </c:pt>
                <c:pt idx="745">
                  <c:v>45645</c:v>
                </c:pt>
                <c:pt idx="746">
                  <c:v>45646</c:v>
                </c:pt>
                <c:pt idx="747">
                  <c:v>45649</c:v>
                </c:pt>
                <c:pt idx="748">
                  <c:v>45650</c:v>
                </c:pt>
                <c:pt idx="749">
                  <c:v>45652</c:v>
                </c:pt>
                <c:pt idx="750">
                  <c:v>45653</c:v>
                </c:pt>
                <c:pt idx="751">
                  <c:v>45656</c:v>
                </c:pt>
                <c:pt idx="752">
                  <c:v>45657</c:v>
                </c:pt>
                <c:pt idx="753">
                  <c:v>45659</c:v>
                </c:pt>
                <c:pt idx="754">
                  <c:v>45660</c:v>
                </c:pt>
                <c:pt idx="755">
                  <c:v>45663</c:v>
                </c:pt>
                <c:pt idx="756">
                  <c:v>45664</c:v>
                </c:pt>
                <c:pt idx="757">
                  <c:v>45665</c:v>
                </c:pt>
                <c:pt idx="758">
                  <c:v>45667</c:v>
                </c:pt>
                <c:pt idx="759">
                  <c:v>45670</c:v>
                </c:pt>
                <c:pt idx="760">
                  <c:v>45671</c:v>
                </c:pt>
                <c:pt idx="761">
                  <c:v>45672</c:v>
                </c:pt>
                <c:pt idx="762">
                  <c:v>45673</c:v>
                </c:pt>
                <c:pt idx="763">
                  <c:v>45674</c:v>
                </c:pt>
                <c:pt idx="764">
                  <c:v>45678</c:v>
                </c:pt>
                <c:pt idx="765">
                  <c:v>45679</c:v>
                </c:pt>
                <c:pt idx="766">
                  <c:v>45680</c:v>
                </c:pt>
                <c:pt idx="767">
                  <c:v>45681</c:v>
                </c:pt>
                <c:pt idx="768">
                  <c:v>45684</c:v>
                </c:pt>
                <c:pt idx="769">
                  <c:v>45685</c:v>
                </c:pt>
                <c:pt idx="770">
                  <c:v>45686</c:v>
                </c:pt>
                <c:pt idx="771">
                  <c:v>45687</c:v>
                </c:pt>
                <c:pt idx="772">
                  <c:v>45688</c:v>
                </c:pt>
                <c:pt idx="773">
                  <c:v>45691</c:v>
                </c:pt>
                <c:pt idx="774">
                  <c:v>45692</c:v>
                </c:pt>
                <c:pt idx="775">
                  <c:v>45693</c:v>
                </c:pt>
                <c:pt idx="776">
                  <c:v>45694</c:v>
                </c:pt>
                <c:pt idx="777">
                  <c:v>45695</c:v>
                </c:pt>
                <c:pt idx="778">
                  <c:v>45698</c:v>
                </c:pt>
                <c:pt idx="779">
                  <c:v>45699</c:v>
                </c:pt>
                <c:pt idx="780">
                  <c:v>45700</c:v>
                </c:pt>
                <c:pt idx="781">
                  <c:v>45701</c:v>
                </c:pt>
                <c:pt idx="782">
                  <c:v>45702</c:v>
                </c:pt>
                <c:pt idx="783">
                  <c:v>45706</c:v>
                </c:pt>
                <c:pt idx="784">
                  <c:v>45707</c:v>
                </c:pt>
                <c:pt idx="785">
                  <c:v>45708</c:v>
                </c:pt>
                <c:pt idx="786">
                  <c:v>45709</c:v>
                </c:pt>
                <c:pt idx="787">
                  <c:v>45712</c:v>
                </c:pt>
                <c:pt idx="788">
                  <c:v>45713</c:v>
                </c:pt>
                <c:pt idx="789">
                  <c:v>45714</c:v>
                </c:pt>
                <c:pt idx="790">
                  <c:v>45715</c:v>
                </c:pt>
                <c:pt idx="791">
                  <c:v>45716</c:v>
                </c:pt>
                <c:pt idx="792">
                  <c:v>45719</c:v>
                </c:pt>
                <c:pt idx="793">
                  <c:v>45720</c:v>
                </c:pt>
                <c:pt idx="794">
                  <c:v>45721</c:v>
                </c:pt>
                <c:pt idx="795">
                  <c:v>45722</c:v>
                </c:pt>
                <c:pt idx="796">
                  <c:v>45723</c:v>
                </c:pt>
                <c:pt idx="797">
                  <c:v>45726</c:v>
                </c:pt>
                <c:pt idx="798">
                  <c:v>45727</c:v>
                </c:pt>
                <c:pt idx="799">
                  <c:v>45728</c:v>
                </c:pt>
                <c:pt idx="800">
                  <c:v>45729</c:v>
                </c:pt>
                <c:pt idx="801">
                  <c:v>45730</c:v>
                </c:pt>
                <c:pt idx="802">
                  <c:v>45733</c:v>
                </c:pt>
                <c:pt idx="803">
                  <c:v>45734</c:v>
                </c:pt>
                <c:pt idx="804">
                  <c:v>45735</c:v>
                </c:pt>
                <c:pt idx="805">
                  <c:v>45736</c:v>
                </c:pt>
                <c:pt idx="806">
                  <c:v>45737</c:v>
                </c:pt>
                <c:pt idx="807">
                  <c:v>45740</c:v>
                </c:pt>
                <c:pt idx="808">
                  <c:v>45741</c:v>
                </c:pt>
                <c:pt idx="809">
                  <c:v>45742</c:v>
                </c:pt>
                <c:pt idx="810">
                  <c:v>45743</c:v>
                </c:pt>
                <c:pt idx="811">
                  <c:v>45744</c:v>
                </c:pt>
                <c:pt idx="812">
                  <c:v>45747</c:v>
                </c:pt>
                <c:pt idx="813">
                  <c:v>45748</c:v>
                </c:pt>
                <c:pt idx="814">
                  <c:v>45749</c:v>
                </c:pt>
                <c:pt idx="815">
                  <c:v>45750</c:v>
                </c:pt>
                <c:pt idx="816">
                  <c:v>45751</c:v>
                </c:pt>
                <c:pt idx="817">
                  <c:v>45754</c:v>
                </c:pt>
                <c:pt idx="818">
                  <c:v>45755</c:v>
                </c:pt>
                <c:pt idx="819">
                  <c:v>45756</c:v>
                </c:pt>
                <c:pt idx="820">
                  <c:v>45757</c:v>
                </c:pt>
                <c:pt idx="821">
                  <c:v>45758</c:v>
                </c:pt>
                <c:pt idx="822">
                  <c:v>45761</c:v>
                </c:pt>
                <c:pt idx="823">
                  <c:v>45762</c:v>
                </c:pt>
                <c:pt idx="824">
                  <c:v>45763</c:v>
                </c:pt>
                <c:pt idx="825">
                  <c:v>45764</c:v>
                </c:pt>
                <c:pt idx="826">
                  <c:v>45768</c:v>
                </c:pt>
                <c:pt idx="827">
                  <c:v>45769</c:v>
                </c:pt>
                <c:pt idx="828">
                  <c:v>45770</c:v>
                </c:pt>
                <c:pt idx="829">
                  <c:v>45771</c:v>
                </c:pt>
                <c:pt idx="830">
                  <c:v>45772</c:v>
                </c:pt>
                <c:pt idx="831">
                  <c:v>45775</c:v>
                </c:pt>
                <c:pt idx="832">
                  <c:v>45776</c:v>
                </c:pt>
                <c:pt idx="833">
                  <c:v>45777</c:v>
                </c:pt>
                <c:pt idx="834">
                  <c:v>45778</c:v>
                </c:pt>
                <c:pt idx="835">
                  <c:v>45779</c:v>
                </c:pt>
                <c:pt idx="836">
                  <c:v>45782</c:v>
                </c:pt>
                <c:pt idx="837">
                  <c:v>45783</c:v>
                </c:pt>
                <c:pt idx="838">
                  <c:v>45784</c:v>
                </c:pt>
                <c:pt idx="839">
                  <c:v>45785</c:v>
                </c:pt>
                <c:pt idx="840">
                  <c:v>45786</c:v>
                </c:pt>
                <c:pt idx="841">
                  <c:v>45789</c:v>
                </c:pt>
                <c:pt idx="842">
                  <c:v>45790</c:v>
                </c:pt>
                <c:pt idx="843">
                  <c:v>45791</c:v>
                </c:pt>
                <c:pt idx="844">
                  <c:v>45792</c:v>
                </c:pt>
                <c:pt idx="845">
                  <c:v>45793</c:v>
                </c:pt>
                <c:pt idx="846">
                  <c:v>45796</c:v>
                </c:pt>
                <c:pt idx="847">
                  <c:v>45797</c:v>
                </c:pt>
                <c:pt idx="848">
                  <c:v>45798</c:v>
                </c:pt>
                <c:pt idx="849">
                  <c:v>45799</c:v>
                </c:pt>
                <c:pt idx="850">
                  <c:v>45800</c:v>
                </c:pt>
                <c:pt idx="851">
                  <c:v>45804</c:v>
                </c:pt>
                <c:pt idx="852">
                  <c:v>45805</c:v>
                </c:pt>
                <c:pt idx="853">
                  <c:v>45806</c:v>
                </c:pt>
                <c:pt idx="854">
                  <c:v>45807</c:v>
                </c:pt>
                <c:pt idx="855">
                  <c:v>45810</c:v>
                </c:pt>
                <c:pt idx="856">
                  <c:v>45811</c:v>
                </c:pt>
                <c:pt idx="857">
                  <c:v>45812</c:v>
                </c:pt>
                <c:pt idx="858">
                  <c:v>45813</c:v>
                </c:pt>
                <c:pt idx="859">
                  <c:v>45814</c:v>
                </c:pt>
                <c:pt idx="860">
                  <c:v>45817</c:v>
                </c:pt>
                <c:pt idx="861">
                  <c:v>45818</c:v>
                </c:pt>
                <c:pt idx="862">
                  <c:v>45819</c:v>
                </c:pt>
                <c:pt idx="863">
                  <c:v>45820</c:v>
                </c:pt>
                <c:pt idx="864">
                  <c:v>45821</c:v>
                </c:pt>
                <c:pt idx="865">
                  <c:v>45824</c:v>
                </c:pt>
                <c:pt idx="866">
                  <c:v>45825</c:v>
                </c:pt>
                <c:pt idx="867">
                  <c:v>45826</c:v>
                </c:pt>
                <c:pt idx="868">
                  <c:v>45828</c:v>
                </c:pt>
                <c:pt idx="869">
                  <c:v>45831</c:v>
                </c:pt>
                <c:pt idx="870">
                  <c:v>45832</c:v>
                </c:pt>
                <c:pt idx="871">
                  <c:v>45833</c:v>
                </c:pt>
                <c:pt idx="872">
                  <c:v>45834</c:v>
                </c:pt>
                <c:pt idx="873">
                  <c:v>45835</c:v>
                </c:pt>
                <c:pt idx="874">
                  <c:v>45838</c:v>
                </c:pt>
                <c:pt idx="875">
                  <c:v>45839</c:v>
                </c:pt>
                <c:pt idx="876">
                  <c:v>45840</c:v>
                </c:pt>
                <c:pt idx="877">
                  <c:v>45841</c:v>
                </c:pt>
                <c:pt idx="878">
                  <c:v>45845</c:v>
                </c:pt>
                <c:pt idx="879">
                  <c:v>45846</c:v>
                </c:pt>
                <c:pt idx="880">
                  <c:v>45847</c:v>
                </c:pt>
                <c:pt idx="881">
                  <c:v>45848</c:v>
                </c:pt>
                <c:pt idx="882">
                  <c:v>45849</c:v>
                </c:pt>
                <c:pt idx="883">
                  <c:v>45852</c:v>
                </c:pt>
                <c:pt idx="884">
                  <c:v>45853</c:v>
                </c:pt>
                <c:pt idx="885">
                  <c:v>45854</c:v>
                </c:pt>
                <c:pt idx="886">
                  <c:v>45855</c:v>
                </c:pt>
                <c:pt idx="887">
                  <c:v>45856</c:v>
                </c:pt>
                <c:pt idx="888">
                  <c:v>45859</c:v>
                </c:pt>
                <c:pt idx="889">
                  <c:v>45860</c:v>
                </c:pt>
                <c:pt idx="890">
                  <c:v>45861</c:v>
                </c:pt>
                <c:pt idx="891">
                  <c:v>45862</c:v>
                </c:pt>
                <c:pt idx="892">
                  <c:v>45863</c:v>
                </c:pt>
                <c:pt idx="893">
                  <c:v>45866</c:v>
                </c:pt>
                <c:pt idx="894">
                  <c:v>45867</c:v>
                </c:pt>
                <c:pt idx="895">
                  <c:v>45868</c:v>
                </c:pt>
                <c:pt idx="896">
                  <c:v>45869</c:v>
                </c:pt>
                <c:pt idx="897">
                  <c:v>45870</c:v>
                </c:pt>
                <c:pt idx="898">
                  <c:v>45873</c:v>
                </c:pt>
                <c:pt idx="899">
                  <c:v>45874</c:v>
                </c:pt>
                <c:pt idx="900">
                  <c:v>45875</c:v>
                </c:pt>
                <c:pt idx="901">
                  <c:v>45876</c:v>
                </c:pt>
                <c:pt idx="902">
                  <c:v>45877</c:v>
                </c:pt>
                <c:pt idx="903">
                  <c:v>45880</c:v>
                </c:pt>
                <c:pt idx="904">
                  <c:v>45881</c:v>
                </c:pt>
                <c:pt idx="905">
                  <c:v>45882</c:v>
                </c:pt>
                <c:pt idx="906">
                  <c:v>45883</c:v>
                </c:pt>
                <c:pt idx="907">
                  <c:v>45884</c:v>
                </c:pt>
                <c:pt idx="908">
                  <c:v>45887</c:v>
                </c:pt>
                <c:pt idx="909">
                  <c:v>45888</c:v>
                </c:pt>
                <c:pt idx="910">
                  <c:v>45889</c:v>
                </c:pt>
                <c:pt idx="911">
                  <c:v>45890</c:v>
                </c:pt>
                <c:pt idx="912">
                  <c:v>45891</c:v>
                </c:pt>
                <c:pt idx="913">
                  <c:v>45894</c:v>
                </c:pt>
                <c:pt idx="914">
                  <c:v>45895</c:v>
                </c:pt>
                <c:pt idx="915">
                  <c:v>45896</c:v>
                </c:pt>
                <c:pt idx="916">
                  <c:v>45897</c:v>
                </c:pt>
                <c:pt idx="917">
                  <c:v>45898</c:v>
                </c:pt>
                <c:pt idx="918">
                  <c:v>45902</c:v>
                </c:pt>
                <c:pt idx="919">
                  <c:v>45903</c:v>
                </c:pt>
                <c:pt idx="920">
                  <c:v>45904</c:v>
                </c:pt>
                <c:pt idx="921">
                  <c:v>45905</c:v>
                </c:pt>
                <c:pt idx="922">
                  <c:v>45908</c:v>
                </c:pt>
                <c:pt idx="923">
                  <c:v>45909</c:v>
                </c:pt>
                <c:pt idx="924">
                  <c:v>45910</c:v>
                </c:pt>
                <c:pt idx="925">
                  <c:v>45911</c:v>
                </c:pt>
                <c:pt idx="926">
                  <c:v>45912</c:v>
                </c:pt>
                <c:pt idx="927">
                  <c:v>45915</c:v>
                </c:pt>
                <c:pt idx="928">
                  <c:v>45916</c:v>
                </c:pt>
                <c:pt idx="929">
                  <c:v>45917</c:v>
                </c:pt>
                <c:pt idx="930">
                  <c:v>45918</c:v>
                </c:pt>
                <c:pt idx="931">
                  <c:v>45919</c:v>
                </c:pt>
                <c:pt idx="932">
                  <c:v>45922</c:v>
                </c:pt>
                <c:pt idx="933">
                  <c:v>45923</c:v>
                </c:pt>
                <c:pt idx="934">
                  <c:v>45924</c:v>
                </c:pt>
                <c:pt idx="935">
                  <c:v>45925</c:v>
                </c:pt>
                <c:pt idx="936">
                  <c:v>45926</c:v>
                </c:pt>
                <c:pt idx="937">
                  <c:v>45929</c:v>
                </c:pt>
                <c:pt idx="938">
                  <c:v>45930</c:v>
                </c:pt>
                <c:pt idx="939">
                  <c:v>45931</c:v>
                </c:pt>
                <c:pt idx="940">
                  <c:v>45932</c:v>
                </c:pt>
                <c:pt idx="941">
                  <c:v>45933</c:v>
                </c:pt>
                <c:pt idx="942">
                  <c:v>45936</c:v>
                </c:pt>
                <c:pt idx="943">
                  <c:v>45937</c:v>
                </c:pt>
                <c:pt idx="944">
                  <c:v>45938</c:v>
                </c:pt>
                <c:pt idx="945">
                  <c:v>45939</c:v>
                </c:pt>
                <c:pt idx="946">
                  <c:v>45940</c:v>
                </c:pt>
                <c:pt idx="947">
                  <c:v>45943</c:v>
                </c:pt>
                <c:pt idx="948">
                  <c:v>45944</c:v>
                </c:pt>
                <c:pt idx="949">
                  <c:v>45945</c:v>
                </c:pt>
                <c:pt idx="950">
                  <c:v>45946</c:v>
                </c:pt>
                <c:pt idx="951">
                  <c:v>45947</c:v>
                </c:pt>
                <c:pt idx="952">
                  <c:v>45950</c:v>
                </c:pt>
                <c:pt idx="953">
                  <c:v>45951</c:v>
                </c:pt>
                <c:pt idx="954">
                  <c:v>45952</c:v>
                </c:pt>
                <c:pt idx="955">
                  <c:v>45953</c:v>
                </c:pt>
                <c:pt idx="956">
                  <c:v>45954</c:v>
                </c:pt>
                <c:pt idx="957">
                  <c:v>45957</c:v>
                </c:pt>
                <c:pt idx="958">
                  <c:v>45958</c:v>
                </c:pt>
                <c:pt idx="959">
                  <c:v>45959</c:v>
                </c:pt>
                <c:pt idx="960">
                  <c:v>45960</c:v>
                </c:pt>
                <c:pt idx="961">
                  <c:v>45961</c:v>
                </c:pt>
                <c:pt idx="962">
                  <c:v>45964</c:v>
                </c:pt>
                <c:pt idx="963">
                  <c:v>45965</c:v>
                </c:pt>
                <c:pt idx="964">
                  <c:v>45966</c:v>
                </c:pt>
                <c:pt idx="965">
                  <c:v>45967</c:v>
                </c:pt>
                <c:pt idx="966">
                  <c:v>45968</c:v>
                </c:pt>
                <c:pt idx="967">
                  <c:v>45971</c:v>
                </c:pt>
                <c:pt idx="968">
                  <c:v>45972</c:v>
                </c:pt>
                <c:pt idx="969">
                  <c:v>45973</c:v>
                </c:pt>
                <c:pt idx="970">
                  <c:v>45974</c:v>
                </c:pt>
                <c:pt idx="971">
                  <c:v>45975</c:v>
                </c:pt>
                <c:pt idx="972">
                  <c:v>45978</c:v>
                </c:pt>
                <c:pt idx="973">
                  <c:v>45979</c:v>
                </c:pt>
                <c:pt idx="974">
                  <c:v>45980</c:v>
                </c:pt>
                <c:pt idx="975">
                  <c:v>45981</c:v>
                </c:pt>
                <c:pt idx="976">
                  <c:v>45982</c:v>
                </c:pt>
                <c:pt idx="977">
                  <c:v>45985</c:v>
                </c:pt>
                <c:pt idx="978">
                  <c:v>45986</c:v>
                </c:pt>
                <c:pt idx="979">
                  <c:v>45987</c:v>
                </c:pt>
                <c:pt idx="980">
                  <c:v>45989</c:v>
                </c:pt>
                <c:pt idx="981">
                  <c:v>45992</c:v>
                </c:pt>
                <c:pt idx="982">
                  <c:v>45993</c:v>
                </c:pt>
                <c:pt idx="983">
                  <c:v>45994</c:v>
                </c:pt>
                <c:pt idx="984">
                  <c:v>45995</c:v>
                </c:pt>
                <c:pt idx="985">
                  <c:v>45996</c:v>
                </c:pt>
                <c:pt idx="986">
                  <c:v>45999</c:v>
                </c:pt>
                <c:pt idx="987">
                  <c:v>46000</c:v>
                </c:pt>
                <c:pt idx="988">
                  <c:v>46001</c:v>
                </c:pt>
                <c:pt idx="989">
                  <c:v>46002</c:v>
                </c:pt>
                <c:pt idx="990">
                  <c:v>46003</c:v>
                </c:pt>
                <c:pt idx="991">
                  <c:v>46006</c:v>
                </c:pt>
                <c:pt idx="992">
                  <c:v>46007</c:v>
                </c:pt>
                <c:pt idx="993">
                  <c:v>46008</c:v>
                </c:pt>
                <c:pt idx="994">
                  <c:v>46009</c:v>
                </c:pt>
                <c:pt idx="995">
                  <c:v>46010</c:v>
                </c:pt>
                <c:pt idx="996">
                  <c:v>46013</c:v>
                </c:pt>
                <c:pt idx="997">
                  <c:v>46014</c:v>
                </c:pt>
                <c:pt idx="998">
                  <c:v>46015</c:v>
                </c:pt>
                <c:pt idx="999">
                  <c:v>46017</c:v>
                </c:pt>
                <c:pt idx="1000">
                  <c:v>46020</c:v>
                </c:pt>
                <c:pt idx="1001">
                  <c:v>46021</c:v>
                </c:pt>
                <c:pt idx="1002">
                  <c:v>46022</c:v>
                </c:pt>
                <c:pt idx="1003">
                  <c:v>46024</c:v>
                </c:pt>
                <c:pt idx="1004">
                  <c:v>46027</c:v>
                </c:pt>
                <c:pt idx="1005">
                  <c:v>46028</c:v>
                </c:pt>
                <c:pt idx="1006">
                  <c:v>46029</c:v>
                </c:pt>
                <c:pt idx="1007">
                  <c:v>46030</c:v>
                </c:pt>
                <c:pt idx="1008">
                  <c:v>46031</c:v>
                </c:pt>
                <c:pt idx="1009">
                  <c:v>46034</c:v>
                </c:pt>
                <c:pt idx="1010">
                  <c:v>46035</c:v>
                </c:pt>
                <c:pt idx="1011">
                  <c:v>46036</c:v>
                </c:pt>
                <c:pt idx="1012">
                  <c:v>46037</c:v>
                </c:pt>
                <c:pt idx="1013">
                  <c:v>46038</c:v>
                </c:pt>
                <c:pt idx="1014">
                  <c:v>46042</c:v>
                </c:pt>
                <c:pt idx="1015">
                  <c:v>46043</c:v>
                </c:pt>
                <c:pt idx="1016">
                  <c:v>46044</c:v>
                </c:pt>
                <c:pt idx="1017">
                  <c:v>46045</c:v>
                </c:pt>
                <c:pt idx="1018">
                  <c:v>46048</c:v>
                </c:pt>
                <c:pt idx="1019">
                  <c:v>46049</c:v>
                </c:pt>
                <c:pt idx="1020">
                  <c:v>46050</c:v>
                </c:pt>
                <c:pt idx="1021">
                  <c:v>46051</c:v>
                </c:pt>
                <c:pt idx="1022">
                  <c:v>46052</c:v>
                </c:pt>
                <c:pt idx="1023">
                  <c:v>46055</c:v>
                </c:pt>
                <c:pt idx="1024">
                  <c:v>46056</c:v>
                </c:pt>
                <c:pt idx="1025">
                  <c:v>46057</c:v>
                </c:pt>
                <c:pt idx="1026">
                  <c:v>46058</c:v>
                </c:pt>
                <c:pt idx="1027">
                  <c:v>46059</c:v>
                </c:pt>
                <c:pt idx="1028">
                  <c:v>46062</c:v>
                </c:pt>
                <c:pt idx="1029">
                  <c:v>46063</c:v>
                </c:pt>
                <c:pt idx="1030">
                  <c:v>46064</c:v>
                </c:pt>
                <c:pt idx="1031">
                  <c:v>46065</c:v>
                </c:pt>
                <c:pt idx="1032">
                  <c:v>46066</c:v>
                </c:pt>
                <c:pt idx="1033">
                  <c:v>46070</c:v>
                </c:pt>
                <c:pt idx="1034">
                  <c:v>46071</c:v>
                </c:pt>
                <c:pt idx="1035">
                  <c:v>46072</c:v>
                </c:pt>
                <c:pt idx="1036">
                  <c:v>46073</c:v>
                </c:pt>
                <c:pt idx="1037">
                  <c:v>46076</c:v>
                </c:pt>
                <c:pt idx="1038">
                  <c:v>46077</c:v>
                </c:pt>
                <c:pt idx="1039">
                  <c:v>46078</c:v>
                </c:pt>
                <c:pt idx="1040">
                  <c:v>46079</c:v>
                </c:pt>
                <c:pt idx="1041">
                  <c:v>46080</c:v>
                </c:pt>
                <c:pt idx="1042">
                  <c:v>46083</c:v>
                </c:pt>
                <c:pt idx="1043">
                  <c:v>46084</c:v>
                </c:pt>
                <c:pt idx="1044">
                  <c:v>46085</c:v>
                </c:pt>
                <c:pt idx="1045">
                  <c:v>46086</c:v>
                </c:pt>
                <c:pt idx="1046">
                  <c:v>46087</c:v>
                </c:pt>
                <c:pt idx="1047">
                  <c:v>46090</c:v>
                </c:pt>
                <c:pt idx="1048">
                  <c:v>46091</c:v>
                </c:pt>
                <c:pt idx="1049">
                  <c:v>46092</c:v>
                </c:pt>
                <c:pt idx="1050">
                  <c:v>46093</c:v>
                </c:pt>
                <c:pt idx="1051">
                  <c:v>46094</c:v>
                </c:pt>
                <c:pt idx="1052">
                  <c:v>46097</c:v>
                </c:pt>
                <c:pt idx="1053">
                  <c:v>46098</c:v>
                </c:pt>
                <c:pt idx="1054">
                  <c:v>46099</c:v>
                </c:pt>
                <c:pt idx="1055">
                  <c:v>46100</c:v>
                </c:pt>
                <c:pt idx="1056">
                  <c:v>46101</c:v>
                </c:pt>
                <c:pt idx="1057">
                  <c:v>46104</c:v>
                </c:pt>
                <c:pt idx="1058">
                  <c:v>46105</c:v>
                </c:pt>
                <c:pt idx="1059">
                  <c:v>46106</c:v>
                </c:pt>
                <c:pt idx="1060">
                  <c:v>46107</c:v>
                </c:pt>
                <c:pt idx="1061">
                  <c:v>46108</c:v>
                </c:pt>
                <c:pt idx="1062">
                  <c:v>46111</c:v>
                </c:pt>
                <c:pt idx="1063">
                  <c:v>46112</c:v>
                </c:pt>
                <c:pt idx="1064">
                  <c:v>46113</c:v>
                </c:pt>
                <c:pt idx="1065">
                  <c:v>46114</c:v>
                </c:pt>
                <c:pt idx="1066">
                  <c:v>46118</c:v>
                </c:pt>
                <c:pt idx="1067">
                  <c:v>46119</c:v>
                </c:pt>
                <c:pt idx="1068">
                  <c:v>46120</c:v>
                </c:pt>
                <c:pt idx="1069">
                  <c:v>46121</c:v>
                </c:pt>
                <c:pt idx="1070">
                  <c:v>46122</c:v>
                </c:pt>
                <c:pt idx="1071">
                  <c:v>46125</c:v>
                </c:pt>
                <c:pt idx="1072">
                  <c:v>46126</c:v>
                </c:pt>
                <c:pt idx="1073">
                  <c:v>46127</c:v>
                </c:pt>
                <c:pt idx="1074">
                  <c:v>46128</c:v>
                </c:pt>
                <c:pt idx="1075">
                  <c:v>46129</c:v>
                </c:pt>
                <c:pt idx="1076">
                  <c:v>46132</c:v>
                </c:pt>
                <c:pt idx="1077">
                  <c:v>46133</c:v>
                </c:pt>
                <c:pt idx="1078">
                  <c:v>46134</c:v>
                </c:pt>
                <c:pt idx="1079">
                  <c:v>46135</c:v>
                </c:pt>
                <c:pt idx="1080">
                  <c:v>46136</c:v>
                </c:pt>
                <c:pt idx="1081">
                  <c:v>46139</c:v>
                </c:pt>
                <c:pt idx="1082">
                  <c:v>46140</c:v>
                </c:pt>
                <c:pt idx="1083">
                  <c:v>46141</c:v>
                </c:pt>
                <c:pt idx="1084">
                  <c:v>46142</c:v>
                </c:pt>
                <c:pt idx="1085">
                  <c:v>46143</c:v>
                </c:pt>
                <c:pt idx="1086">
                  <c:v>46146</c:v>
                </c:pt>
                <c:pt idx="1087">
                  <c:v>46147</c:v>
                </c:pt>
                <c:pt idx="1088">
                  <c:v>46148</c:v>
                </c:pt>
                <c:pt idx="1089">
                  <c:v>46149</c:v>
                </c:pt>
                <c:pt idx="1090">
                  <c:v>46150</c:v>
                </c:pt>
                <c:pt idx="1091">
                  <c:v>46153</c:v>
                </c:pt>
                <c:pt idx="1092">
                  <c:v>46154</c:v>
                </c:pt>
                <c:pt idx="1093">
                  <c:v>46155</c:v>
                </c:pt>
                <c:pt idx="1094">
                  <c:v>46156</c:v>
                </c:pt>
                <c:pt idx="1095">
                  <c:v>46157</c:v>
                </c:pt>
                <c:pt idx="1096">
                  <c:v>46160</c:v>
                </c:pt>
                <c:pt idx="1097">
                  <c:v>46161</c:v>
                </c:pt>
                <c:pt idx="1098">
                  <c:v>46162</c:v>
                </c:pt>
                <c:pt idx="1099">
                  <c:v>46163</c:v>
                </c:pt>
                <c:pt idx="1100">
                  <c:v>46164</c:v>
                </c:pt>
                <c:pt idx="1101">
                  <c:v>46168</c:v>
                </c:pt>
                <c:pt idx="1102">
                  <c:v>46169</c:v>
                </c:pt>
                <c:pt idx="1103">
                  <c:v>46170</c:v>
                </c:pt>
                <c:pt idx="1104">
                  <c:v>46171</c:v>
                </c:pt>
                <c:pt idx="1105">
                  <c:v>46174</c:v>
                </c:pt>
                <c:pt idx="1106">
                  <c:v>46175</c:v>
                </c:pt>
                <c:pt idx="1107">
                  <c:v>46176</c:v>
                </c:pt>
                <c:pt idx="1108">
                  <c:v>46177</c:v>
                </c:pt>
                <c:pt idx="1109">
                  <c:v>46178</c:v>
                </c:pt>
                <c:pt idx="1110">
                  <c:v>46181</c:v>
                </c:pt>
                <c:pt idx="1111">
                  <c:v>46182</c:v>
                </c:pt>
                <c:pt idx="1112">
                  <c:v>46183</c:v>
                </c:pt>
                <c:pt idx="1113">
                  <c:v>46184</c:v>
                </c:pt>
                <c:pt idx="1114">
                  <c:v>46185</c:v>
                </c:pt>
                <c:pt idx="1115">
                  <c:v>46188</c:v>
                </c:pt>
                <c:pt idx="1116">
                  <c:v>46189</c:v>
                </c:pt>
                <c:pt idx="1117">
                  <c:v>46190</c:v>
                </c:pt>
                <c:pt idx="1118">
                  <c:v>46191</c:v>
                </c:pt>
                <c:pt idx="1119">
                  <c:v>46195</c:v>
                </c:pt>
                <c:pt idx="1120">
                  <c:v>46196</c:v>
                </c:pt>
                <c:pt idx="1121">
                  <c:v>46197</c:v>
                </c:pt>
                <c:pt idx="1122">
                  <c:v>46198</c:v>
                </c:pt>
                <c:pt idx="1123">
                  <c:v>46199</c:v>
                </c:pt>
                <c:pt idx="1124">
                  <c:v>46202</c:v>
                </c:pt>
                <c:pt idx="1125">
                  <c:v>46203</c:v>
                </c:pt>
                <c:pt idx="1126">
                  <c:v>46204</c:v>
                </c:pt>
                <c:pt idx="1127">
                  <c:v>46205</c:v>
                </c:pt>
                <c:pt idx="1128">
                  <c:v>46209</c:v>
                </c:pt>
              </c:numCache>
            </c:numRef>
          </c:cat>
          <c:val>
            <c:numRef>
              <c:f>'Tech Portfolio'!$E$2:$E$1130</c:f>
              <c:numCache>
                <c:formatCode>0.0%;\(0.0%\);\-</c:formatCode>
                <c:ptCount val="1129"/>
                <c:pt idx="0">
                  <c:v>0</c:v>
                </c:pt>
                <c:pt idx="1">
                  <c:v>-9.9846914489530869E-3</c:v>
                </c:pt>
                <c:pt idx="2">
                  <c:v>-4.1578384859133899E-2</c:v>
                </c:pt>
                <c:pt idx="3">
                  <c:v>-4.682349391314633E-2</c:v>
                </c:pt>
                <c:pt idx="4">
                  <c:v>-5.676246366922999E-2</c:v>
                </c:pt>
                <c:pt idx="5">
                  <c:v>-5.2318694143420164E-2</c:v>
                </c:pt>
                <c:pt idx="6">
                  <c:v>-4.1834922485816772E-2</c:v>
                </c:pt>
                <c:pt idx="7">
                  <c:v>-3.1446665417018682E-2</c:v>
                </c:pt>
                <c:pt idx="8">
                  <c:v>-5.3591220182962807E-2</c:v>
                </c:pt>
                <c:pt idx="9">
                  <c:v>-4.6697190225966745E-2</c:v>
                </c:pt>
                <c:pt idx="10">
                  <c:v>-6.8514138182013684E-2</c:v>
                </c:pt>
                <c:pt idx="11">
                  <c:v>-8.3064790719706405E-2</c:v>
                </c:pt>
                <c:pt idx="12">
                  <c:v>-9.4176387267196349E-2</c:v>
                </c:pt>
                <c:pt idx="13">
                  <c:v>-0.11904142204320467</c:v>
                </c:pt>
                <c:pt idx="14">
                  <c:v>-0.11785855358895825</c:v>
                </c:pt>
                <c:pt idx="15">
                  <c:v>-0.13317871406659854</c:v>
                </c:pt>
                <c:pt idx="16">
                  <c:v>-0.12780410083418625</c:v>
                </c:pt>
                <c:pt idx="17">
                  <c:v>-0.14865381542116307</c:v>
                </c:pt>
                <c:pt idx="18">
                  <c:v>-0.12371693023108199</c:v>
                </c:pt>
                <c:pt idx="19">
                  <c:v>-9.3930614276077073E-2</c:v>
                </c:pt>
                <c:pt idx="20">
                  <c:v>-9.1427555424439699E-2</c:v>
                </c:pt>
                <c:pt idx="21">
                  <c:v>-8.4326806380637942E-2</c:v>
                </c:pt>
                <c:pt idx="22">
                  <c:v>-0.10950982885130633</c:v>
                </c:pt>
                <c:pt idx="23">
                  <c:v>-9.5462368828385769E-2</c:v>
                </c:pt>
                <c:pt idx="24">
                  <c:v>-0.10246831831285985</c:v>
                </c:pt>
                <c:pt idx="25">
                  <c:v>-9.1757349244248387E-2</c:v>
                </c:pt>
                <c:pt idx="26">
                  <c:v>-7.7637602405568384E-2</c:v>
                </c:pt>
                <c:pt idx="27">
                  <c:v>-9.5293206476197767E-2</c:v>
                </c:pt>
                <c:pt idx="28">
                  <c:v>-0.11947090677685845</c:v>
                </c:pt>
                <c:pt idx="29">
                  <c:v>-0.11791062888663095</c:v>
                </c:pt>
                <c:pt idx="30">
                  <c:v>-9.5139622000098734E-2</c:v>
                </c:pt>
                <c:pt idx="31">
                  <c:v>-9.455721544070872E-2</c:v>
                </c:pt>
                <c:pt idx="32">
                  <c:v>-0.12119524614829746</c:v>
                </c:pt>
                <c:pt idx="33">
                  <c:v>-0.13128252418496733</c:v>
                </c:pt>
                <c:pt idx="34">
                  <c:v>-0.14428780178180345</c:v>
                </c:pt>
                <c:pt idx="35">
                  <c:v>-0.1681133696614564</c:v>
                </c:pt>
                <c:pt idx="36">
                  <c:v>-0.14806279513454368</c:v>
                </c:pt>
                <c:pt idx="37">
                  <c:v>-0.13502509732096357</c:v>
                </c:pt>
                <c:pt idx="38">
                  <c:v>-0.12894025030085654</c:v>
                </c:pt>
                <c:pt idx="39">
                  <c:v>-0.13983248702612305</c:v>
                </c:pt>
                <c:pt idx="40">
                  <c:v>-0.12353999076252486</c:v>
                </c:pt>
                <c:pt idx="41">
                  <c:v>-0.13611986619576921</c:v>
                </c:pt>
                <c:pt idx="42">
                  <c:v>-0.14926941197022447</c:v>
                </c:pt>
                <c:pt idx="43">
                  <c:v>-0.1799318404584217</c:v>
                </c:pt>
                <c:pt idx="44">
                  <c:v>-0.18101757166253818</c:v>
                </c:pt>
                <c:pt idx="45">
                  <c:v>-0.15220653136224094</c:v>
                </c:pt>
                <c:pt idx="46">
                  <c:v>-0.16053479123421299</c:v>
                </c:pt>
                <c:pt idx="47">
                  <c:v>-0.17936367801735031</c:v>
                </c:pt>
                <c:pt idx="48">
                  <c:v>-0.19446659866287419</c:v>
                </c:pt>
                <c:pt idx="49">
                  <c:v>-0.16945423435005014</c:v>
                </c:pt>
                <c:pt idx="50">
                  <c:v>-0.14214048332644424</c:v>
                </c:pt>
                <c:pt idx="51">
                  <c:v>-0.12981038624974839</c:v>
                </c:pt>
                <c:pt idx="52">
                  <c:v>-0.11511440622140279</c:v>
                </c:pt>
                <c:pt idx="53">
                  <c:v>-0.11315478941489354</c:v>
                </c:pt>
                <c:pt idx="54">
                  <c:v>-9.2581985020277036E-2</c:v>
                </c:pt>
                <c:pt idx="55">
                  <c:v>-0.1012945202662493</c:v>
                </c:pt>
                <c:pt idx="56">
                  <c:v>-8.5582289201982853E-2</c:v>
                </c:pt>
                <c:pt idx="57">
                  <c:v>-8.482045134677596E-2</c:v>
                </c:pt>
                <c:pt idx="58">
                  <c:v>-6.5980617692404819E-2</c:v>
                </c:pt>
                <c:pt idx="59">
                  <c:v>-5.1621328976666492E-2</c:v>
                </c:pt>
                <c:pt idx="60">
                  <c:v>-6.0634270540071755E-2</c:v>
                </c:pt>
                <c:pt idx="61">
                  <c:v>-7.6925263723136461E-2</c:v>
                </c:pt>
                <c:pt idx="62">
                  <c:v>-7.5710798477291563E-2</c:v>
                </c:pt>
                <c:pt idx="63">
                  <c:v>-5.57309715840274E-2</c:v>
                </c:pt>
                <c:pt idx="64">
                  <c:v>-7.6625699745529352E-2</c:v>
                </c:pt>
                <c:pt idx="65">
                  <c:v>-9.7125809840335808E-2</c:v>
                </c:pt>
                <c:pt idx="66">
                  <c:v>-9.4173376923075036E-2</c:v>
                </c:pt>
                <c:pt idx="67">
                  <c:v>-0.10594628398293882</c:v>
                </c:pt>
                <c:pt idx="68">
                  <c:v>-0.12932851885486674</c:v>
                </c:pt>
                <c:pt idx="69">
                  <c:v>-0.12998364390303296</c:v>
                </c:pt>
                <c:pt idx="70">
                  <c:v>-0.1127461065555988</c:v>
                </c:pt>
                <c:pt idx="71">
                  <c:v>-0.1331573554822737</c:v>
                </c:pt>
                <c:pt idx="72">
                  <c:v>-0.12914493305864116</c:v>
                </c:pt>
                <c:pt idx="73">
                  <c:v>-0.11322639211940289</c:v>
                </c:pt>
                <c:pt idx="74">
                  <c:v>-0.12290353577693547</c:v>
                </c:pt>
                <c:pt idx="75">
                  <c:v>-0.13148579561660523</c:v>
                </c:pt>
                <c:pt idx="76">
                  <c:v>-0.15177138213651198</c:v>
                </c:pt>
                <c:pt idx="77">
                  <c:v>-0.14533960377780475</c:v>
                </c:pt>
                <c:pt idx="78">
                  <c:v>-0.18622273127487277</c:v>
                </c:pt>
                <c:pt idx="79">
                  <c:v>-0.18370569292856942</c:v>
                </c:pt>
                <c:pt idx="80">
                  <c:v>-0.16141081946976765</c:v>
                </c:pt>
                <c:pt idx="81">
                  <c:v>-0.19283219677762553</c:v>
                </c:pt>
                <c:pt idx="82">
                  <c:v>-0.18068435937800575</c:v>
                </c:pt>
                <c:pt idx="83">
                  <c:v>-0.17822680242701505</c:v>
                </c:pt>
                <c:pt idx="84">
                  <c:v>-0.1501878028151088</c:v>
                </c:pt>
                <c:pt idx="85">
                  <c:v>-0.19139709742390665</c:v>
                </c:pt>
                <c:pt idx="86">
                  <c:v>-0.19677796295845951</c:v>
                </c:pt>
                <c:pt idx="87">
                  <c:v>-0.23192119409780909</c:v>
                </c:pt>
                <c:pt idx="88">
                  <c:v>-0.22453232900479025</c:v>
                </c:pt>
                <c:pt idx="89">
                  <c:v>-0.25001929420155944</c:v>
                </c:pt>
                <c:pt idx="90">
                  <c:v>-0.25464327398064579</c:v>
                </c:pt>
                <c:pt idx="91">
                  <c:v>-0.22850717650661245</c:v>
                </c:pt>
                <c:pt idx="92">
                  <c:v>-0.23929518725062005</c:v>
                </c:pt>
                <c:pt idx="93">
                  <c:v>-0.21825670133505992</c:v>
                </c:pt>
                <c:pt idx="94">
                  <c:v>-0.25524059431078627</c:v>
                </c:pt>
                <c:pt idx="95">
                  <c:v>-0.26026580020019607</c:v>
                </c:pt>
                <c:pt idx="96">
                  <c:v>-0.26699751710174235</c:v>
                </c:pt>
                <c:pt idx="97">
                  <c:v>-0.25197593467399759</c:v>
                </c:pt>
                <c:pt idx="98">
                  <c:v>-0.26885387912307823</c:v>
                </c:pt>
                <c:pt idx="99">
                  <c:v>-0.25820969342574174</c:v>
                </c:pt>
                <c:pt idx="100">
                  <c:v>-0.23830541303876929</c:v>
                </c:pt>
                <c:pt idx="101">
                  <c:v>-0.21093320255820358</c:v>
                </c:pt>
                <c:pt idx="102">
                  <c:v>-0.2115886970791877</c:v>
                </c:pt>
                <c:pt idx="103">
                  <c:v>-0.21735007751286017</c:v>
                </c:pt>
                <c:pt idx="104">
                  <c:v>-0.19940592672029267</c:v>
                </c:pt>
                <c:pt idx="105">
                  <c:v>-0.22550393584806816</c:v>
                </c:pt>
                <c:pt idx="106">
                  <c:v>-0.22168708267093806</c:v>
                </c:pt>
                <c:pt idx="107">
                  <c:v>-0.2155076054142665</c:v>
                </c:pt>
                <c:pt idx="108">
                  <c:v>-0.22110041603448638</c:v>
                </c:pt>
                <c:pt idx="109">
                  <c:v>-0.23998735206245392</c:v>
                </c:pt>
                <c:pt idx="110">
                  <c:v>-0.26594113438847367</c:v>
                </c:pt>
                <c:pt idx="111">
                  <c:v>-0.29894515219485185</c:v>
                </c:pt>
                <c:pt idx="112">
                  <c:v>-0.29601794709620854</c:v>
                </c:pt>
                <c:pt idx="113">
                  <c:v>-0.27883875426267668</c:v>
                </c:pt>
                <c:pt idx="114">
                  <c:v>-0.30923187407753816</c:v>
                </c:pt>
                <c:pt idx="115">
                  <c:v>-0.30342800035955719</c:v>
                </c:pt>
                <c:pt idx="116">
                  <c:v>-0.27882109513520126</c:v>
                </c:pt>
                <c:pt idx="117">
                  <c:v>-0.28149168758499221</c:v>
                </c:pt>
                <c:pt idx="118">
                  <c:v>-0.2740940953675981</c:v>
                </c:pt>
                <c:pt idx="119">
                  <c:v>-0.24949170675065568</c:v>
                </c:pt>
                <c:pt idx="120">
                  <c:v>-0.25285524296974005</c:v>
                </c:pt>
                <c:pt idx="121">
                  <c:v>-0.27435581088801797</c:v>
                </c:pt>
                <c:pt idx="122">
                  <c:v>-0.27519104434118224</c:v>
                </c:pt>
                <c:pt idx="123">
                  <c:v>-0.28516243267716257</c:v>
                </c:pt>
                <c:pt idx="124">
                  <c:v>-0.2807169754708142</c:v>
                </c:pt>
                <c:pt idx="125">
                  <c:v>-0.27162252991336922</c:v>
                </c:pt>
                <c:pt idx="126">
                  <c:v>-0.2682945533842177</c:v>
                </c:pt>
                <c:pt idx="127">
                  <c:v>-0.25009430309443725</c:v>
                </c:pt>
                <c:pt idx="128">
                  <c:v>-0.24722700460766989</c:v>
                </c:pt>
                <c:pt idx="129">
                  <c:v>-0.26462948342363024</c:v>
                </c:pt>
                <c:pt idx="130">
                  <c:v>-0.27208344748107993</c:v>
                </c:pt>
                <c:pt idx="131">
                  <c:v>-0.27231231911410392</c:v>
                </c:pt>
                <c:pt idx="132">
                  <c:v>-0.26946066106736788</c:v>
                </c:pt>
                <c:pt idx="133">
                  <c:v>-0.25744106010788681</c:v>
                </c:pt>
                <c:pt idx="134">
                  <c:v>-0.26436413310183071</c:v>
                </c:pt>
                <c:pt idx="135">
                  <c:v>-0.24414198869310788</c:v>
                </c:pt>
                <c:pt idx="136">
                  <c:v>-0.23669341140930222</c:v>
                </c:pt>
                <c:pt idx="137">
                  <c:v>-0.21972717405092312</c:v>
                </c:pt>
                <c:pt idx="138">
                  <c:v>-0.22968246681237692</c:v>
                </c:pt>
                <c:pt idx="139">
                  <c:v>-0.23313629016642967</c:v>
                </c:pt>
                <c:pt idx="140">
                  <c:v>-0.24837623521262686</c:v>
                </c:pt>
                <c:pt idx="141">
                  <c:v>-0.21696166018761431</c:v>
                </c:pt>
                <c:pt idx="142">
                  <c:v>-0.205650370265825</c:v>
                </c:pt>
                <c:pt idx="143">
                  <c:v>-0.18559336038267804</c:v>
                </c:pt>
                <c:pt idx="144">
                  <c:v>-0.18908688228608661</c:v>
                </c:pt>
                <c:pt idx="145">
                  <c:v>-0.19221410403637795</c:v>
                </c:pt>
                <c:pt idx="146">
                  <c:v>-0.17375728702040638</c:v>
                </c:pt>
                <c:pt idx="147">
                  <c:v>-0.17071003672036933</c:v>
                </c:pt>
                <c:pt idx="148">
                  <c:v>-0.18145153017276683</c:v>
                </c:pt>
                <c:pt idx="149">
                  <c:v>-0.18410293786242982</c:v>
                </c:pt>
                <c:pt idx="150">
                  <c:v>-0.19118173632878721</c:v>
                </c:pt>
                <c:pt idx="151">
                  <c:v>-0.16896563760296579</c:v>
                </c:pt>
                <c:pt idx="152">
                  <c:v>-0.17350670197092966</c:v>
                </c:pt>
                <c:pt idx="153">
                  <c:v>-0.15429697837536349</c:v>
                </c:pt>
                <c:pt idx="154">
                  <c:v>-0.14740353904744741</c:v>
                </c:pt>
                <c:pt idx="155">
                  <c:v>-0.14905378406898917</c:v>
                </c:pt>
                <c:pt idx="156">
                  <c:v>-0.15534727228935319</c:v>
                </c:pt>
                <c:pt idx="157">
                  <c:v>-0.15457437325640688</c:v>
                </c:pt>
                <c:pt idx="158">
                  <c:v>-0.16987415061979827</c:v>
                </c:pt>
                <c:pt idx="159">
                  <c:v>-0.18983153879136805</c:v>
                </c:pt>
                <c:pt idx="160">
                  <c:v>-0.18829325367287197</c:v>
                </c:pt>
                <c:pt idx="161">
                  <c:v>-0.18690494760141141</c:v>
                </c:pt>
                <c:pt idx="162">
                  <c:v>-0.17534481932812396</c:v>
                </c:pt>
                <c:pt idx="163">
                  <c:v>-0.2055159895554699</c:v>
                </c:pt>
                <c:pt idx="164">
                  <c:v>-0.21324154623390379</c:v>
                </c:pt>
                <c:pt idx="165">
                  <c:v>-0.22289289208620267</c:v>
                </c:pt>
                <c:pt idx="166">
                  <c:v>-0.22832251302828865</c:v>
                </c:pt>
                <c:pt idx="167">
                  <c:v>-0.22682534778825103</c:v>
                </c:pt>
                <c:pt idx="168">
                  <c:v>-0.23759516561067995</c:v>
                </c:pt>
                <c:pt idx="169">
                  <c:v>-0.24033104326175414</c:v>
                </c:pt>
                <c:pt idx="170">
                  <c:v>-0.22605837496108161</c:v>
                </c:pt>
                <c:pt idx="171">
                  <c:v>-0.221856168545981</c:v>
                </c:pt>
                <c:pt idx="172">
                  <c:v>-0.20503868041667284</c:v>
                </c:pt>
                <c:pt idx="173">
                  <c:v>-0.19355866845462899</c:v>
                </c:pt>
                <c:pt idx="174">
                  <c:v>-0.23315853110240414</c:v>
                </c:pt>
                <c:pt idx="175">
                  <c:v>-0.22553701971547058</c:v>
                </c:pt>
                <c:pt idx="176">
                  <c:v>-0.23467796465014124</c:v>
                </c:pt>
                <c:pt idx="177">
                  <c:v>-0.23990314736124718</c:v>
                </c:pt>
                <c:pt idx="178">
                  <c:v>-0.2326503198318306</c:v>
                </c:pt>
                <c:pt idx="179">
                  <c:v>-0.2381941416119</c:v>
                </c:pt>
                <c:pt idx="180">
                  <c:v>-0.25246119243439025</c:v>
                </c:pt>
                <c:pt idx="181">
                  <c:v>-0.26145857740072198</c:v>
                </c:pt>
                <c:pt idx="182">
                  <c:v>-0.27688012211077551</c:v>
                </c:pt>
                <c:pt idx="183">
                  <c:v>-0.2806597035465962</c:v>
                </c:pt>
                <c:pt idx="184">
                  <c:v>-0.27790946274202777</c:v>
                </c:pt>
                <c:pt idx="185">
                  <c:v>-0.26716388417336168</c:v>
                </c:pt>
                <c:pt idx="186">
                  <c:v>-0.29089810005791872</c:v>
                </c:pt>
                <c:pt idx="187">
                  <c:v>-0.3020338000917786</c:v>
                </c:pt>
                <c:pt idx="188">
                  <c:v>-0.2953789143488742</c:v>
                </c:pt>
                <c:pt idx="189">
                  <c:v>-0.27217063897399363</c:v>
                </c:pt>
                <c:pt idx="190">
                  <c:v>-0.27525601526777721</c:v>
                </c:pt>
                <c:pt idx="191">
                  <c:v>-0.28110787862154651</c:v>
                </c:pt>
                <c:pt idx="192">
                  <c:v>-0.30948725172507641</c:v>
                </c:pt>
                <c:pt idx="193">
                  <c:v>-0.31604006548687913</c:v>
                </c:pt>
                <c:pt idx="194">
                  <c:v>-0.32454275963256174</c:v>
                </c:pt>
                <c:pt idx="195">
                  <c:v>-0.32508662798548471</c:v>
                </c:pt>
                <c:pt idx="196">
                  <c:v>-0.30712488672209393</c:v>
                </c:pt>
                <c:pt idx="197">
                  <c:v>-0.33089757115617036</c:v>
                </c:pt>
                <c:pt idx="198">
                  <c:v>-0.30751994191796372</c:v>
                </c:pt>
                <c:pt idx="199">
                  <c:v>-0.30212610173113685</c:v>
                </c:pt>
                <c:pt idx="200">
                  <c:v>-0.30506449104387756</c:v>
                </c:pt>
                <c:pt idx="201">
                  <c:v>-0.3139277133642937</c:v>
                </c:pt>
                <c:pt idx="202">
                  <c:v>-0.29638234741518521</c:v>
                </c:pt>
                <c:pt idx="203">
                  <c:v>-0.29115418455069775</c:v>
                </c:pt>
                <c:pt idx="204">
                  <c:v>-0.27721686016446767</c:v>
                </c:pt>
                <c:pt idx="205">
                  <c:v>-0.2918768667442484</c:v>
                </c:pt>
                <c:pt idx="206">
                  <c:v>-0.30056574563598104</c:v>
                </c:pt>
                <c:pt idx="207">
                  <c:v>-0.28133656228993476</c:v>
                </c:pt>
                <c:pt idx="208">
                  <c:v>-0.28781815773354402</c:v>
                </c:pt>
                <c:pt idx="209">
                  <c:v>-0.29433820544913514</c:v>
                </c:pt>
                <c:pt idx="210">
                  <c:v>-0.31770947617199641</c:v>
                </c:pt>
                <c:pt idx="211">
                  <c:v>-0.32749321005489174</c:v>
                </c:pt>
                <c:pt idx="212">
                  <c:v>-0.31995990127784513</c:v>
                </c:pt>
                <c:pt idx="213">
                  <c:v>-0.31788172843727336</c:v>
                </c:pt>
                <c:pt idx="214">
                  <c:v>-0.31795921115209036</c:v>
                </c:pt>
                <c:pt idx="215">
                  <c:v>-0.33785141715282307</c:v>
                </c:pt>
                <c:pt idx="216">
                  <c:v>-0.29095723316849287</c:v>
                </c:pt>
                <c:pt idx="217">
                  <c:v>-0.27726230368422611</c:v>
                </c:pt>
                <c:pt idx="218">
                  <c:v>-0.28725242664731698</c:v>
                </c:pt>
                <c:pt idx="219">
                  <c:v>-0.27614957550233099</c:v>
                </c:pt>
                <c:pt idx="220">
                  <c:v>-0.28566813820727388</c:v>
                </c:pt>
                <c:pt idx="221">
                  <c:v>-0.28709059473404763</c:v>
                </c:pt>
                <c:pt idx="222">
                  <c:v>-0.28711405530315892</c:v>
                </c:pt>
                <c:pt idx="223">
                  <c:v>-0.29780556762217691</c:v>
                </c:pt>
                <c:pt idx="224">
                  <c:v>-0.28724115568031094</c:v>
                </c:pt>
                <c:pt idx="225">
                  <c:v>-0.27721471353012361</c:v>
                </c:pt>
                <c:pt idx="226">
                  <c:v>-0.28018244342228327</c:v>
                </c:pt>
                <c:pt idx="227">
                  <c:v>-0.29245262142887618</c:v>
                </c:pt>
                <c:pt idx="228">
                  <c:v>-0.29699312090263752</c:v>
                </c:pt>
                <c:pt idx="229">
                  <c:v>-0.2651585574956582</c:v>
                </c:pt>
                <c:pt idx="230">
                  <c:v>-0.26632493998728857</c:v>
                </c:pt>
                <c:pt idx="231">
                  <c:v>-0.26824217254170901</c:v>
                </c:pt>
                <c:pt idx="232">
                  <c:v>-0.28367366264523497</c:v>
                </c:pt>
                <c:pt idx="233">
                  <c:v>-0.29665736322956304</c:v>
                </c:pt>
                <c:pt idx="234">
                  <c:v>-0.30164626475443856</c:v>
                </c:pt>
                <c:pt idx="235">
                  <c:v>-0.29521416166340719</c:v>
                </c:pt>
                <c:pt idx="236">
                  <c:v>-0.29746391447968101</c:v>
                </c:pt>
                <c:pt idx="237">
                  <c:v>-0.29235682575700928</c:v>
                </c:pt>
                <c:pt idx="238">
                  <c:v>-0.28913280894861682</c:v>
                </c:pt>
                <c:pt idx="239">
                  <c:v>-0.29542034668330175</c:v>
                </c:pt>
                <c:pt idx="240">
                  <c:v>-0.3146815333956372</c:v>
                </c:pt>
                <c:pt idx="241">
                  <c:v>-0.32548119176341006</c:v>
                </c:pt>
                <c:pt idx="242">
                  <c:v>-0.33314064045196679</c:v>
                </c:pt>
                <c:pt idx="243">
                  <c:v>-0.33768029658560661</c:v>
                </c:pt>
                <c:pt idx="244">
                  <c:v>-0.32845518996243972</c:v>
                </c:pt>
                <c:pt idx="245">
                  <c:v>-0.34573913329586525</c:v>
                </c:pt>
                <c:pt idx="246">
                  <c:v>-0.34387993279937823</c:v>
                </c:pt>
                <c:pt idx="247">
                  <c:v>-0.35474264425428492</c:v>
                </c:pt>
                <c:pt idx="248">
                  <c:v>-0.36211082596250443</c:v>
                </c:pt>
                <c:pt idx="249">
                  <c:v>-0.34441487242289559</c:v>
                </c:pt>
                <c:pt idx="250">
                  <c:v>-0.34594977536011751</c:v>
                </c:pt>
                <c:pt idx="251">
                  <c:v>-0.35569363318665703</c:v>
                </c:pt>
                <c:pt idx="252">
                  <c:v>-0.35153752448463316</c:v>
                </c:pt>
                <c:pt idx="253">
                  <c:v>-0.36145987223789999</c:v>
                </c:pt>
                <c:pt idx="254">
                  <c:v>-0.34599951533132278</c:v>
                </c:pt>
                <c:pt idx="255">
                  <c:v>-0.34033843617367943</c:v>
                </c:pt>
                <c:pt idx="256">
                  <c:v>-0.33560421236223448</c:v>
                </c:pt>
                <c:pt idx="257">
                  <c:v>-0.32257266482064428</c:v>
                </c:pt>
                <c:pt idx="258">
                  <c:v>-0.31769840008075911</c:v>
                </c:pt>
                <c:pt idx="259">
                  <c:v>-0.31460236363683336</c:v>
                </c:pt>
                <c:pt idx="260">
                  <c:v>-0.30979366727282065</c:v>
                </c:pt>
                <c:pt idx="261">
                  <c:v>-0.31876922415245024</c:v>
                </c:pt>
                <c:pt idx="262">
                  <c:v>-0.32415157639906333</c:v>
                </c:pt>
                <c:pt idx="263">
                  <c:v>-0.30559929644591355</c:v>
                </c:pt>
                <c:pt idx="264">
                  <c:v>-0.28988166123923409</c:v>
                </c:pt>
                <c:pt idx="265">
                  <c:v>-0.29130441721813438</c:v>
                </c:pt>
                <c:pt idx="266">
                  <c:v>-0.29327490987489024</c:v>
                </c:pt>
                <c:pt idx="267">
                  <c:v>-0.27681830120594098</c:v>
                </c:pt>
                <c:pt idx="268">
                  <c:v>-0.26516100276370491</c:v>
                </c:pt>
                <c:pt idx="269">
                  <c:v>-0.28048872893160037</c:v>
                </c:pt>
                <c:pt idx="270">
                  <c:v>-0.26921976333510045</c:v>
                </c:pt>
                <c:pt idx="271">
                  <c:v>-0.25601471870583492</c:v>
                </c:pt>
                <c:pt idx="272">
                  <c:v>-0.23478112158821829</c:v>
                </c:pt>
                <c:pt idx="273">
                  <c:v>-0.24348491988873111</c:v>
                </c:pt>
                <c:pt idx="274">
                  <c:v>-0.24900996566582678</c:v>
                </c:pt>
                <c:pt idx="275">
                  <c:v>-0.23413379238922971</c:v>
                </c:pt>
                <c:pt idx="276">
                  <c:v>-0.24202304234916083</c:v>
                </c:pt>
                <c:pt idx="277">
                  <c:v>-0.24528790777403398</c:v>
                </c:pt>
                <c:pt idx="278">
                  <c:v>-0.25034067471700139</c:v>
                </c:pt>
                <c:pt idx="279">
                  <c:v>-0.24147150445711296</c:v>
                </c:pt>
                <c:pt idx="280">
                  <c:v>-0.233425163712219</c:v>
                </c:pt>
                <c:pt idx="281">
                  <c:v>-0.23096266430069967</c:v>
                </c:pt>
                <c:pt idx="282">
                  <c:v>-0.24771569647377156</c:v>
                </c:pt>
                <c:pt idx="283">
                  <c:v>-0.24972134488291231</c:v>
                </c:pt>
                <c:pt idx="284">
                  <c:v>-0.26925582453686958</c:v>
                </c:pt>
                <c:pt idx="285">
                  <c:v>-0.26872577735910097</c:v>
                </c:pt>
                <c:pt idx="286">
                  <c:v>-0.26159997300220383</c:v>
                </c:pt>
                <c:pt idx="287">
                  <c:v>-0.27372174333520305</c:v>
                </c:pt>
                <c:pt idx="288">
                  <c:v>-0.26715387385161149</c:v>
                </c:pt>
                <c:pt idx="289">
                  <c:v>-0.26957858245934407</c:v>
                </c:pt>
                <c:pt idx="290">
                  <c:v>-0.27482927889173525</c:v>
                </c:pt>
                <c:pt idx="291">
                  <c:v>-0.27430923903482995</c:v>
                </c:pt>
                <c:pt idx="292">
                  <c:v>-0.25948146014999274</c:v>
                </c:pt>
                <c:pt idx="293">
                  <c:v>-0.25901398882742388</c:v>
                </c:pt>
                <c:pt idx="294">
                  <c:v>-0.27065795823993788</c:v>
                </c:pt>
                <c:pt idx="295">
                  <c:v>-0.26969312503467679</c:v>
                </c:pt>
                <c:pt idx="296">
                  <c:v>-0.28446642372936215</c:v>
                </c:pt>
                <c:pt idx="297">
                  <c:v>-0.29410044573508121</c:v>
                </c:pt>
                <c:pt idx="298">
                  <c:v>-0.29074003143854488</c:v>
                </c:pt>
                <c:pt idx="299">
                  <c:v>-0.27500901382273291</c:v>
                </c:pt>
                <c:pt idx="300">
                  <c:v>-0.27653012786706743</c:v>
                </c:pt>
                <c:pt idx="301">
                  <c:v>-0.25835215707010983</c:v>
                </c:pt>
                <c:pt idx="302">
                  <c:v>-0.26310539149931333</c:v>
                </c:pt>
                <c:pt idx="303">
                  <c:v>-0.25986430182759923</c:v>
                </c:pt>
                <c:pt idx="304">
                  <c:v>-0.24391196244616076</c:v>
                </c:pt>
                <c:pt idx="305">
                  <c:v>-0.25507971395143458</c:v>
                </c:pt>
                <c:pt idx="306">
                  <c:v>-0.24837279765135112</c:v>
                </c:pt>
                <c:pt idx="307">
                  <c:v>-0.24635980834565585</c:v>
                </c:pt>
                <c:pt idx="308">
                  <c:v>-0.25032108847459666</c:v>
                </c:pt>
                <c:pt idx="309">
                  <c:v>-0.25370809662978744</c:v>
                </c:pt>
                <c:pt idx="310">
                  <c:v>-0.2392560060359582</c:v>
                </c:pt>
                <c:pt idx="311">
                  <c:v>-0.23405951216622389</c:v>
                </c:pt>
                <c:pt idx="312">
                  <c:v>-0.22035161903293454</c:v>
                </c:pt>
                <c:pt idx="313">
                  <c:v>-0.22414712517460722</c:v>
                </c:pt>
                <c:pt idx="314">
                  <c:v>-0.22819828013485988</c:v>
                </c:pt>
                <c:pt idx="315">
                  <c:v>-0.23618616742456777</c:v>
                </c:pt>
                <c:pt idx="316">
                  <c:v>-0.22954752193530714</c:v>
                </c:pt>
                <c:pt idx="317">
                  <c:v>-0.23086432214905894</c:v>
                </c:pt>
                <c:pt idx="318">
                  <c:v>-0.23376763173187987</c:v>
                </c:pt>
                <c:pt idx="319">
                  <c:v>-0.2406980609905558</c:v>
                </c:pt>
                <c:pt idx="320">
                  <c:v>-0.22597324125807605</c:v>
                </c:pt>
                <c:pt idx="321">
                  <c:v>-0.22821700957862057</c:v>
                </c:pt>
                <c:pt idx="322">
                  <c:v>-0.22562056467626557</c:v>
                </c:pt>
                <c:pt idx="323">
                  <c:v>-0.22644681020071222</c:v>
                </c:pt>
                <c:pt idx="324">
                  <c:v>-0.2277226114808365</c:v>
                </c:pt>
                <c:pt idx="325">
                  <c:v>-0.23720358671480613</c:v>
                </c:pt>
                <c:pt idx="326">
                  <c:v>-0.23822016493832221</c:v>
                </c:pt>
                <c:pt idx="327">
                  <c:v>-0.24129598859105772</c:v>
                </c:pt>
                <c:pt idx="328">
                  <c:v>-0.25473660510604179</c:v>
                </c:pt>
                <c:pt idx="329">
                  <c:v>-0.25024509210809576</c:v>
                </c:pt>
                <c:pt idx="330">
                  <c:v>-0.23106988553070995</c:v>
                </c:pt>
                <c:pt idx="331">
                  <c:v>-0.22459538072788476</c:v>
                </c:pt>
                <c:pt idx="332">
                  <c:v>-0.22796917606951417</c:v>
                </c:pt>
                <c:pt idx="333">
                  <c:v>-0.23467480435261678</c:v>
                </c:pt>
                <c:pt idx="334">
                  <c:v>-0.23864632232508731</c:v>
                </c:pt>
                <c:pt idx="335">
                  <c:v>-0.24139550590814907</c:v>
                </c:pt>
                <c:pt idx="336">
                  <c:v>-0.22271341586801985</c:v>
                </c:pt>
                <c:pt idx="337">
                  <c:v>-0.2215156244584906</c:v>
                </c:pt>
                <c:pt idx="338">
                  <c:v>-0.22593259561066492</c:v>
                </c:pt>
                <c:pt idx="339">
                  <c:v>-0.21960035703023195</c:v>
                </c:pt>
                <c:pt idx="340">
                  <c:v>-0.21723187922087639</c:v>
                </c:pt>
                <c:pt idx="341">
                  <c:v>-0.22153606040653417</c:v>
                </c:pt>
                <c:pt idx="342">
                  <c:v>-0.21850490095235353</c:v>
                </c:pt>
                <c:pt idx="343">
                  <c:v>-0.21881143644463308</c:v>
                </c:pt>
                <c:pt idx="344">
                  <c:v>-0.2057583859124088</c:v>
                </c:pt>
                <c:pt idx="345">
                  <c:v>-0.19420682507994547</c:v>
                </c:pt>
                <c:pt idx="346">
                  <c:v>-0.19406945212172577</c:v>
                </c:pt>
                <c:pt idx="347">
                  <c:v>-0.19040801759906978</c:v>
                </c:pt>
                <c:pt idx="348">
                  <c:v>-0.20106366222804806</c:v>
                </c:pt>
                <c:pt idx="349">
                  <c:v>-0.20533801150727871</c:v>
                </c:pt>
                <c:pt idx="350">
                  <c:v>-0.18669629903534135</c:v>
                </c:pt>
                <c:pt idx="351">
                  <c:v>-0.16968028123925349</c:v>
                </c:pt>
                <c:pt idx="352">
                  <c:v>-0.16652574678151966</c:v>
                </c:pt>
                <c:pt idx="353">
                  <c:v>-0.17290654071036704</c:v>
                </c:pt>
                <c:pt idx="354">
                  <c:v>-0.16269959940334844</c:v>
                </c:pt>
                <c:pt idx="355">
                  <c:v>-0.15245940017749415</c:v>
                </c:pt>
                <c:pt idx="356">
                  <c:v>-0.15274557447109183</c:v>
                </c:pt>
                <c:pt idx="357">
                  <c:v>-0.15006120658693589</c:v>
                </c:pt>
                <c:pt idx="358">
                  <c:v>-0.15768946787759985</c:v>
                </c:pt>
                <c:pt idx="359">
                  <c:v>-0.14861828846817693</c:v>
                </c:pt>
                <c:pt idx="360">
                  <c:v>-0.1420269110378376</c:v>
                </c:pt>
                <c:pt idx="361">
                  <c:v>-0.12873296604704032</c:v>
                </c:pt>
                <c:pt idx="362">
                  <c:v>-0.12100946424856396</c:v>
                </c:pt>
                <c:pt idx="363">
                  <c:v>-0.11813819195114639</c:v>
                </c:pt>
                <c:pt idx="364">
                  <c:v>-0.10929980396943539</c:v>
                </c:pt>
                <c:pt idx="365">
                  <c:v>-0.11294268555503506</c:v>
                </c:pt>
                <c:pt idx="366">
                  <c:v>-0.11084808358682408</c:v>
                </c:pt>
                <c:pt idx="367">
                  <c:v>-0.12420623982518086</c:v>
                </c:pt>
                <c:pt idx="368">
                  <c:v>-0.11398940795907542</c:v>
                </c:pt>
                <c:pt idx="369">
                  <c:v>-0.1237504679598761</c:v>
                </c:pt>
                <c:pt idx="370">
                  <c:v>-0.13792748608622252</c:v>
                </c:pt>
                <c:pt idx="371">
                  <c:v>-0.12369555791542675</c:v>
                </c:pt>
                <c:pt idx="372">
                  <c:v>-0.12002005205278199</c:v>
                </c:pt>
                <c:pt idx="373">
                  <c:v>-0.12015546697784496</c:v>
                </c:pt>
                <c:pt idx="374">
                  <c:v>-0.10833583292804005</c:v>
                </c:pt>
                <c:pt idx="375">
                  <c:v>-0.1002987885666502</c:v>
                </c:pt>
                <c:pt idx="376">
                  <c:v>-0.1014083683636321</c:v>
                </c:pt>
                <c:pt idx="377">
                  <c:v>-0.10795872294418563</c:v>
                </c:pt>
                <c:pt idx="378">
                  <c:v>-0.11096937506559157</c:v>
                </c:pt>
                <c:pt idx="379">
                  <c:v>-0.11608038285546352</c:v>
                </c:pt>
                <c:pt idx="380">
                  <c:v>-0.1112733416169146</c:v>
                </c:pt>
                <c:pt idx="381">
                  <c:v>-0.10145517046667862</c:v>
                </c:pt>
                <c:pt idx="382">
                  <c:v>-8.8476930950676436E-2</c:v>
                </c:pt>
                <c:pt idx="383">
                  <c:v>-8.6568828912563567E-2</c:v>
                </c:pt>
                <c:pt idx="384">
                  <c:v>-7.9367055288082633E-2</c:v>
                </c:pt>
                <c:pt idx="385">
                  <c:v>-7.1275092243326621E-2</c:v>
                </c:pt>
                <c:pt idx="386">
                  <c:v>-7.1766433801520257E-2</c:v>
                </c:pt>
                <c:pt idx="387">
                  <c:v>-9.5882576638831374E-2</c:v>
                </c:pt>
                <c:pt idx="388">
                  <c:v>-9.9066257709574779E-2</c:v>
                </c:pt>
                <c:pt idx="389">
                  <c:v>-9.1995186617614966E-2</c:v>
                </c:pt>
                <c:pt idx="390">
                  <c:v>-8.8194197401113339E-2</c:v>
                </c:pt>
                <c:pt idx="391">
                  <c:v>-9.0556129912655492E-2</c:v>
                </c:pt>
                <c:pt idx="392">
                  <c:v>-9.873190681584898E-2</c:v>
                </c:pt>
                <c:pt idx="393">
                  <c:v>-8.2733751077203599E-2</c:v>
                </c:pt>
                <c:pt idx="394">
                  <c:v>-8.2324540152771353E-2</c:v>
                </c:pt>
                <c:pt idx="395">
                  <c:v>-8.7969124527010334E-2</c:v>
                </c:pt>
                <c:pt idx="396">
                  <c:v>-0.10665582620263447</c:v>
                </c:pt>
                <c:pt idx="397">
                  <c:v>-0.107022921045133</c:v>
                </c:pt>
                <c:pt idx="398">
                  <c:v>-0.11206229357542075</c:v>
                </c:pt>
                <c:pt idx="399">
                  <c:v>-0.10841305965812131</c:v>
                </c:pt>
                <c:pt idx="400">
                  <c:v>-0.11447119296597452</c:v>
                </c:pt>
                <c:pt idx="401">
                  <c:v>-0.12527729642012952</c:v>
                </c:pt>
                <c:pt idx="402">
                  <c:v>-0.12370112137764699</c:v>
                </c:pt>
                <c:pt idx="403">
                  <c:v>-0.12819641949411964</c:v>
                </c:pt>
                <c:pt idx="404">
                  <c:v>-0.12091117756786063</c:v>
                </c:pt>
                <c:pt idx="405">
                  <c:v>-0.13322205405565923</c:v>
                </c:pt>
                <c:pt idx="406">
                  <c:v>-0.14160047838791212</c:v>
                </c:pt>
                <c:pt idx="407">
                  <c:v>-0.15015306736874523</c:v>
                </c:pt>
                <c:pt idx="408">
                  <c:v>-0.15249474962348042</c:v>
                </c:pt>
                <c:pt idx="409">
                  <c:v>-0.13761029844616557</c:v>
                </c:pt>
                <c:pt idx="410">
                  <c:v>-0.13775712647114491</c:v>
                </c:pt>
                <c:pt idx="411">
                  <c:v>-0.12454919435224421</c:v>
                </c:pt>
                <c:pt idx="412">
                  <c:v>-0.1410203671431659</c:v>
                </c:pt>
                <c:pt idx="413">
                  <c:v>-0.1322429078026196</c:v>
                </c:pt>
                <c:pt idx="414">
                  <c:v>-0.1268915919092648</c:v>
                </c:pt>
                <c:pt idx="415">
                  <c:v>-0.1061340617451898</c:v>
                </c:pt>
                <c:pt idx="416">
                  <c:v>-0.10152324967542714</c:v>
                </c:pt>
                <c:pt idx="417">
                  <c:v>-0.10097006847959067</c:v>
                </c:pt>
                <c:pt idx="418">
                  <c:v>-0.10478039854728249</c:v>
                </c:pt>
                <c:pt idx="419">
                  <c:v>-9.9671029150656953E-2</c:v>
                </c:pt>
                <c:pt idx="420">
                  <c:v>-0.11079156042932603</c:v>
                </c:pt>
                <c:pt idx="421">
                  <c:v>-0.11683834238278179</c:v>
                </c:pt>
                <c:pt idx="422">
                  <c:v>-0.11551996961342059</c:v>
                </c:pt>
                <c:pt idx="423">
                  <c:v>-9.9427621222065166E-2</c:v>
                </c:pt>
                <c:pt idx="424">
                  <c:v>-0.10857970890403379</c:v>
                </c:pt>
                <c:pt idx="425">
                  <c:v>-0.10404248357962265</c:v>
                </c:pt>
                <c:pt idx="426">
                  <c:v>-9.5869699924589491E-2</c:v>
                </c:pt>
                <c:pt idx="427">
                  <c:v>-0.10856058570755311</c:v>
                </c:pt>
                <c:pt idx="428">
                  <c:v>-0.11073471126640022</c:v>
                </c:pt>
                <c:pt idx="429">
                  <c:v>-0.11183181155742683</c:v>
                </c:pt>
                <c:pt idx="430">
                  <c:v>-0.1252977177274831</c:v>
                </c:pt>
                <c:pt idx="431">
                  <c:v>-0.14084888155899355</c:v>
                </c:pt>
                <c:pt idx="432">
                  <c:v>-0.14601842373705887</c:v>
                </c:pt>
                <c:pt idx="433">
                  <c:v>-0.14137768273219631</c:v>
                </c:pt>
                <c:pt idx="434">
                  <c:v>-0.15594218054307352</c:v>
                </c:pt>
                <c:pt idx="435">
                  <c:v>-0.15631237202792203</c:v>
                </c:pt>
                <c:pt idx="436">
                  <c:v>-0.15098719767774138</c:v>
                </c:pt>
                <c:pt idx="437">
                  <c:v>-0.14791011965433132</c:v>
                </c:pt>
                <c:pt idx="438">
                  <c:v>-0.14142910520059016</c:v>
                </c:pt>
                <c:pt idx="439">
                  <c:v>-0.15594242334209485</c:v>
                </c:pt>
                <c:pt idx="440">
                  <c:v>-0.1420311073687891</c:v>
                </c:pt>
                <c:pt idx="441">
                  <c:v>-0.14130574265526397</c:v>
                </c:pt>
                <c:pt idx="442">
                  <c:v>-0.12904635692876754</c:v>
                </c:pt>
                <c:pt idx="443">
                  <c:v>-0.12549706472669897</c:v>
                </c:pt>
                <c:pt idx="444">
                  <c:v>-0.12152104942523922</c:v>
                </c:pt>
                <c:pt idx="445">
                  <c:v>-0.11528735596551654</c:v>
                </c:pt>
                <c:pt idx="446">
                  <c:v>-0.11984535388290662</c:v>
                </c:pt>
                <c:pt idx="447">
                  <c:v>-0.13026178909670771</c:v>
                </c:pt>
                <c:pt idx="448">
                  <c:v>-0.12140634225581337</c:v>
                </c:pt>
                <c:pt idx="449">
                  <c:v>-0.12310489318842288</c:v>
                </c:pt>
                <c:pt idx="450">
                  <c:v>-0.13775800900466639</c:v>
                </c:pt>
                <c:pt idx="451">
                  <c:v>-0.14928666452300898</c:v>
                </c:pt>
                <c:pt idx="452">
                  <c:v>-0.16291186267395019</c:v>
                </c:pt>
                <c:pt idx="453">
                  <c:v>-0.16131460276439158</c:v>
                </c:pt>
                <c:pt idx="454">
                  <c:v>-0.15366278987771753</c:v>
                </c:pt>
                <c:pt idx="455">
                  <c:v>-0.16801553329564234</c:v>
                </c:pt>
                <c:pt idx="456">
                  <c:v>-0.18491285601658025</c:v>
                </c:pt>
                <c:pt idx="457">
                  <c:v>-0.18269869489969826</c:v>
                </c:pt>
                <c:pt idx="458">
                  <c:v>-0.17596923721121838</c:v>
                </c:pt>
                <c:pt idx="459">
                  <c:v>-0.17144377854574799</c:v>
                </c:pt>
                <c:pt idx="460">
                  <c:v>-0.15689011429989463</c:v>
                </c:pt>
                <c:pt idx="461">
                  <c:v>-0.13865651679216262</c:v>
                </c:pt>
                <c:pt idx="462">
                  <c:v>-0.13062040452439405</c:v>
                </c:pt>
                <c:pt idx="463">
                  <c:v>-0.12585291224554163</c:v>
                </c:pt>
                <c:pt idx="464">
                  <c:v>-0.11963323110836765</c:v>
                </c:pt>
                <c:pt idx="465">
                  <c:v>-0.11886950969655774</c:v>
                </c:pt>
                <c:pt idx="466">
                  <c:v>-0.12875617108609516</c:v>
                </c:pt>
                <c:pt idx="467">
                  <c:v>-0.10956841507299864</c:v>
                </c:pt>
                <c:pt idx="468">
                  <c:v>-0.10909338060638163</c:v>
                </c:pt>
                <c:pt idx="469">
                  <c:v>-8.9248619898762205E-2</c:v>
                </c:pt>
                <c:pt idx="470">
                  <c:v>-8.6760098161116406E-2</c:v>
                </c:pt>
                <c:pt idx="471">
                  <c:v>-8.6507298002515221E-2</c:v>
                </c:pt>
                <c:pt idx="472">
                  <c:v>-8.7004538576632928E-2</c:v>
                </c:pt>
                <c:pt idx="473">
                  <c:v>-7.8117272332902554E-2</c:v>
                </c:pt>
                <c:pt idx="474">
                  <c:v>-8.0828923643120554E-2</c:v>
                </c:pt>
                <c:pt idx="475">
                  <c:v>-7.8964149863329225E-2</c:v>
                </c:pt>
                <c:pt idx="476">
                  <c:v>-8.0496747301079585E-2</c:v>
                </c:pt>
                <c:pt idx="477">
                  <c:v>-8.0238026301923449E-2</c:v>
                </c:pt>
                <c:pt idx="478">
                  <c:v>-7.3780777234641493E-2</c:v>
                </c:pt>
                <c:pt idx="479">
                  <c:v>-7.6950666684418523E-2</c:v>
                </c:pt>
                <c:pt idx="480">
                  <c:v>-7.921371815780287E-2</c:v>
                </c:pt>
                <c:pt idx="481">
                  <c:v>-7.727546539177621E-2</c:v>
                </c:pt>
                <c:pt idx="482">
                  <c:v>-8.6766559161292167E-2</c:v>
                </c:pt>
                <c:pt idx="483">
                  <c:v>-8.0279373974969204E-2</c:v>
                </c:pt>
                <c:pt idx="484">
                  <c:v>-8.4088665099282922E-2</c:v>
                </c:pt>
                <c:pt idx="485">
                  <c:v>-7.3526766718371994E-2</c:v>
                </c:pt>
                <c:pt idx="486">
                  <c:v>-6.8243461831793306E-2</c:v>
                </c:pt>
                <c:pt idx="487">
                  <c:v>-7.081626938552521E-2</c:v>
                </c:pt>
                <c:pt idx="488">
                  <c:v>-6.7107229704332805E-2</c:v>
                </c:pt>
                <c:pt idx="489">
                  <c:v>-5.7115503449277072E-2</c:v>
                </c:pt>
                <c:pt idx="490">
                  <c:v>-5.2559941797273413E-2</c:v>
                </c:pt>
                <c:pt idx="491">
                  <c:v>-5.0682917124537985E-2</c:v>
                </c:pt>
                <c:pt idx="492">
                  <c:v>-4.6070605975424228E-2</c:v>
                </c:pt>
                <c:pt idx="493">
                  <c:v>-3.9095675748247016E-2</c:v>
                </c:pt>
                <c:pt idx="494">
                  <c:v>-5.5217683540507934E-2</c:v>
                </c:pt>
                <c:pt idx="495">
                  <c:v>-4.1942663414856196E-2</c:v>
                </c:pt>
                <c:pt idx="496">
                  <c:v>-4.1269229865502299E-2</c:v>
                </c:pt>
                <c:pt idx="497">
                  <c:v>-3.7068508525614385E-2</c:v>
                </c:pt>
                <c:pt idx="498">
                  <c:v>-3.4623193192099611E-2</c:v>
                </c:pt>
                <c:pt idx="499">
                  <c:v>-3.7438144118920769E-2</c:v>
                </c:pt>
                <c:pt idx="500">
                  <c:v>-4.2293738068741371E-2</c:v>
                </c:pt>
                <c:pt idx="501">
                  <c:v>-5.4418216383784745E-2</c:v>
                </c:pt>
                <c:pt idx="502">
                  <c:v>-6.4294363939144672E-2</c:v>
                </c:pt>
                <c:pt idx="503">
                  <c:v>-6.9921976025237198E-2</c:v>
                </c:pt>
                <c:pt idx="504">
                  <c:v>-6.9091374213479773E-2</c:v>
                </c:pt>
                <c:pt idx="505">
                  <c:v>-5.147745918950164E-2</c:v>
                </c:pt>
                <c:pt idx="506">
                  <c:v>-5.342027057535681E-2</c:v>
                </c:pt>
                <c:pt idx="507">
                  <c:v>-4.7716498710837718E-2</c:v>
                </c:pt>
                <c:pt idx="508">
                  <c:v>-4.9510150564556432E-2</c:v>
                </c:pt>
                <c:pt idx="509">
                  <c:v>-5.1956291596615967E-2</c:v>
                </c:pt>
                <c:pt idx="510">
                  <c:v>-5.2422942222118074E-2</c:v>
                </c:pt>
                <c:pt idx="511">
                  <c:v>-5.8266169842154936E-2</c:v>
                </c:pt>
                <c:pt idx="512">
                  <c:v>-4.4229586487904538E-2</c:v>
                </c:pt>
                <c:pt idx="513">
                  <c:v>-3.1500765949524889E-2</c:v>
                </c:pt>
                <c:pt idx="514">
                  <c:v>-3.1441437508502146E-2</c:v>
                </c:pt>
                <c:pt idx="515">
                  <c:v>-2.7853683668047413E-2</c:v>
                </c:pt>
                <c:pt idx="516">
                  <c:v>-2.429773195259588E-2</c:v>
                </c:pt>
                <c:pt idx="517">
                  <c:v>-2.9933933849759509E-2</c:v>
                </c:pt>
                <c:pt idx="518">
                  <c:v>-3.1308964725588084E-2</c:v>
                </c:pt>
                <c:pt idx="519">
                  <c:v>-2.0803315693990521E-2</c:v>
                </c:pt>
                <c:pt idx="520">
                  <c:v>-2.6099384352345045E-2</c:v>
                </c:pt>
                <c:pt idx="521">
                  <c:v>-4.7853648330332232E-2</c:v>
                </c:pt>
                <c:pt idx="522">
                  <c:v>-3.5683276453449264E-2</c:v>
                </c:pt>
                <c:pt idx="523">
                  <c:v>-2.2727263323667479E-2</c:v>
                </c:pt>
                <c:pt idx="524">
                  <c:v>-2.5288617492851273E-2</c:v>
                </c:pt>
                <c:pt idx="525">
                  <c:v>-2.2656647001549568E-2</c:v>
                </c:pt>
                <c:pt idx="526">
                  <c:v>-1.0132317800752189E-2</c:v>
                </c:pt>
                <c:pt idx="527">
                  <c:v>-5.6825874225635564E-3</c:v>
                </c:pt>
                <c:pt idx="528">
                  <c:v>0</c:v>
                </c:pt>
                <c:pt idx="529">
                  <c:v>-7.0774078788921058E-3</c:v>
                </c:pt>
                <c:pt idx="530">
                  <c:v>-2.3954549275989834E-2</c:v>
                </c:pt>
                <c:pt idx="531">
                  <c:v>-1.34451019638826E-2</c:v>
                </c:pt>
                <c:pt idx="532">
                  <c:v>-8.8751457938311962E-3</c:v>
                </c:pt>
                <c:pt idx="533">
                  <c:v>-1.5275932076911136E-2</c:v>
                </c:pt>
                <c:pt idx="534">
                  <c:v>-2.3122813205663006E-2</c:v>
                </c:pt>
                <c:pt idx="535">
                  <c:v>-2.2237062928078255E-2</c:v>
                </c:pt>
                <c:pt idx="536">
                  <c:v>0</c:v>
                </c:pt>
                <c:pt idx="537">
                  <c:v>-2.5411393162427798E-3</c:v>
                </c:pt>
                <c:pt idx="538">
                  <c:v>-2.2490090700429954E-3</c:v>
                </c:pt>
                <c:pt idx="539">
                  <c:v>-2.6589504908125505E-4</c:v>
                </c:pt>
                <c:pt idx="540">
                  <c:v>-3.2649918448127702E-3</c:v>
                </c:pt>
                <c:pt idx="541">
                  <c:v>0</c:v>
                </c:pt>
                <c:pt idx="542">
                  <c:v>0</c:v>
                </c:pt>
                <c:pt idx="543">
                  <c:v>-6.6035298625743977E-3</c:v>
                </c:pt>
                <c:pt idx="544">
                  <c:v>-2.424328594758951E-2</c:v>
                </c:pt>
                <c:pt idx="545">
                  <c:v>-1.9922247432348938E-2</c:v>
                </c:pt>
                <c:pt idx="546">
                  <c:v>-3.9395609804062648E-3</c:v>
                </c:pt>
                <c:pt idx="547">
                  <c:v>-1.1766195823633252E-2</c:v>
                </c:pt>
                <c:pt idx="548">
                  <c:v>-1.6367305078502703E-2</c:v>
                </c:pt>
                <c:pt idx="549">
                  <c:v>-5.4671284483909233E-4</c:v>
                </c:pt>
                <c:pt idx="550">
                  <c:v>-7.0668885113507329E-3</c:v>
                </c:pt>
                <c:pt idx="551">
                  <c:v>-7.4400233279242611E-3</c:v>
                </c:pt>
                <c:pt idx="552">
                  <c:v>-1.5680013915152058E-2</c:v>
                </c:pt>
                <c:pt idx="553">
                  <c:v>-5.4304714006090382E-3</c:v>
                </c:pt>
                <c:pt idx="554">
                  <c:v>-2.1324701718894445E-3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-1.6086541776216823E-4</c:v>
                </c:pt>
                <c:pt idx="559">
                  <c:v>-1.1883166840670478E-3</c:v>
                </c:pt>
                <c:pt idx="560">
                  <c:v>0</c:v>
                </c:pt>
                <c:pt idx="561">
                  <c:v>-3.2994365435770057E-3</c:v>
                </c:pt>
                <c:pt idx="562">
                  <c:v>0</c:v>
                </c:pt>
                <c:pt idx="563">
                  <c:v>-9.8858064178429794E-3</c:v>
                </c:pt>
                <c:pt idx="564">
                  <c:v>-5.6383664380811327E-3</c:v>
                </c:pt>
                <c:pt idx="565">
                  <c:v>-1.7506270494342613E-2</c:v>
                </c:pt>
                <c:pt idx="566">
                  <c:v>-8.9778276383867262E-3</c:v>
                </c:pt>
                <c:pt idx="567">
                  <c:v>-5.5506004125077668E-3</c:v>
                </c:pt>
                <c:pt idx="568">
                  <c:v>-1.5025744784962214E-3</c:v>
                </c:pt>
                <c:pt idx="569">
                  <c:v>-8.9975897670019345E-3</c:v>
                </c:pt>
                <c:pt idx="570">
                  <c:v>0</c:v>
                </c:pt>
                <c:pt idx="571">
                  <c:v>-1.556900707682185E-2</c:v>
                </c:pt>
                <c:pt idx="572">
                  <c:v>-3.3954176898659538E-2</c:v>
                </c:pt>
                <c:pt idx="573">
                  <c:v>-3.7350866042606068E-2</c:v>
                </c:pt>
                <c:pt idx="574">
                  <c:v>-4.6193103121373924E-2</c:v>
                </c:pt>
                <c:pt idx="575">
                  <c:v>-5.7003758560014939E-2</c:v>
                </c:pt>
                <c:pt idx="576">
                  <c:v>-7.4205482088194108E-2</c:v>
                </c:pt>
                <c:pt idx="577">
                  <c:v>-6.6352358492865582E-2</c:v>
                </c:pt>
                <c:pt idx="578">
                  <c:v>-5.1957977915387143E-2</c:v>
                </c:pt>
                <c:pt idx="579">
                  <c:v>-4.6127005660468567E-2</c:v>
                </c:pt>
                <c:pt idx="580">
                  <c:v>-4.6522766703440688E-2</c:v>
                </c:pt>
                <c:pt idx="581">
                  <c:v>-3.0105886453808961E-2</c:v>
                </c:pt>
                <c:pt idx="582">
                  <c:v>-1.9625886002965665E-2</c:v>
                </c:pt>
                <c:pt idx="583">
                  <c:v>-4.1377913769102603E-2</c:v>
                </c:pt>
                <c:pt idx="584">
                  <c:v>-4.4858548270153453E-2</c:v>
                </c:pt>
                <c:pt idx="585">
                  <c:v>-3.2340126879880748E-2</c:v>
                </c:pt>
                <c:pt idx="586">
                  <c:v>-1.2935502410369226E-2</c:v>
                </c:pt>
                <c:pt idx="587">
                  <c:v>-9.4014996831137676E-4</c:v>
                </c:pt>
                <c:pt idx="588">
                  <c:v>-4.9259294588632763E-3</c:v>
                </c:pt>
                <c:pt idx="589">
                  <c:v>-5.2310291704239509E-3</c:v>
                </c:pt>
                <c:pt idx="590">
                  <c:v>-3.6766346361656321E-3</c:v>
                </c:pt>
                <c:pt idx="591">
                  <c:v>-1.306505070240882E-3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-3.3321959819383462E-3</c:v>
                </c:pt>
                <c:pt idx="596">
                  <c:v>-1.5689236219330605E-3</c:v>
                </c:pt>
                <c:pt idx="597">
                  <c:v>0</c:v>
                </c:pt>
                <c:pt idx="598">
                  <c:v>0</c:v>
                </c:pt>
                <c:pt idx="599">
                  <c:v>-4.6911680085918173E-3</c:v>
                </c:pt>
                <c:pt idx="600">
                  <c:v>-1.0897515205666952E-2</c:v>
                </c:pt>
                <c:pt idx="601">
                  <c:v>0</c:v>
                </c:pt>
                <c:pt idx="602">
                  <c:v>0</c:v>
                </c:pt>
                <c:pt idx="603">
                  <c:v>-5.4289292631742869E-3</c:v>
                </c:pt>
                <c:pt idx="604">
                  <c:v>-1.6933980795077574E-2</c:v>
                </c:pt>
                <c:pt idx="605">
                  <c:v>-1.5593090041465252E-2</c:v>
                </c:pt>
                <c:pt idx="606">
                  <c:v>-9.6403493786696437E-3</c:v>
                </c:pt>
                <c:pt idx="607">
                  <c:v>-9.6536111936795788E-3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-1.8419588333761228E-3</c:v>
                </c:pt>
                <c:pt idx="616">
                  <c:v>0</c:v>
                </c:pt>
                <c:pt idx="617">
                  <c:v>0</c:v>
                </c:pt>
                <c:pt idx="618">
                  <c:v>-1.0173003021154314E-2</c:v>
                </c:pt>
                <c:pt idx="619">
                  <c:v>-1.1716477692643612E-2</c:v>
                </c:pt>
                <c:pt idx="620">
                  <c:v>-2.1124465759906341E-2</c:v>
                </c:pt>
                <c:pt idx="621">
                  <c:v>-8.6575096629027959E-3</c:v>
                </c:pt>
                <c:pt idx="622">
                  <c:v>-5.9094471991327779E-4</c:v>
                </c:pt>
                <c:pt idx="623">
                  <c:v>-1.6431556558942351E-3</c:v>
                </c:pt>
                <c:pt idx="624">
                  <c:v>-7.9286902246340496E-3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-2.6379716838063394E-2</c:v>
                </c:pt>
                <c:pt idx="633">
                  <c:v>-1.7832939225721045E-2</c:v>
                </c:pt>
                <c:pt idx="634">
                  <c:v>-1.441153766565928E-2</c:v>
                </c:pt>
                <c:pt idx="635">
                  <c:v>-1.3445262839506755E-2</c:v>
                </c:pt>
                <c:pt idx="636">
                  <c:v>-3.957701992924445E-2</c:v>
                </c:pt>
                <c:pt idx="637">
                  <c:v>-4.7157053371000512E-2</c:v>
                </c:pt>
                <c:pt idx="638">
                  <c:v>-5.8322615247779819E-2</c:v>
                </c:pt>
                <c:pt idx="639">
                  <c:v>-4.3948474091912493E-2</c:v>
                </c:pt>
                <c:pt idx="640">
                  <c:v>-4.5166903294116989E-2</c:v>
                </c:pt>
                <c:pt idx="641">
                  <c:v>-8.4367115533880321E-2</c:v>
                </c:pt>
                <c:pt idx="642">
                  <c:v>-9.1576574651791143E-2</c:v>
                </c:pt>
                <c:pt idx="643">
                  <c:v>-8.3143325342507346E-2</c:v>
                </c:pt>
                <c:pt idx="644">
                  <c:v>-7.9258185693698247E-2</c:v>
                </c:pt>
                <c:pt idx="645">
                  <c:v>-9.2444334302330899E-2</c:v>
                </c:pt>
                <c:pt idx="646">
                  <c:v>-6.9810092882615082E-2</c:v>
                </c:pt>
                <c:pt idx="647">
                  <c:v>-9.1812117034743679E-2</c:v>
                </c:pt>
                <c:pt idx="648">
                  <c:v>-0.11657558479185448</c:v>
                </c:pt>
                <c:pt idx="649">
                  <c:v>-0.14738144141876564</c:v>
                </c:pt>
                <c:pt idx="650">
                  <c:v>-0.13862231234349232</c:v>
                </c:pt>
                <c:pt idx="651">
                  <c:v>-0.14573366226504159</c:v>
                </c:pt>
                <c:pt idx="652">
                  <c:v>-0.12264065471299779</c:v>
                </c:pt>
                <c:pt idx="653">
                  <c:v>-0.11630735628995048</c:v>
                </c:pt>
                <c:pt idx="654">
                  <c:v>-0.11382273453715697</c:v>
                </c:pt>
                <c:pt idx="655">
                  <c:v>-9.3892143991883836E-2</c:v>
                </c:pt>
                <c:pt idx="656">
                  <c:v>-9.3985399120537605E-2</c:v>
                </c:pt>
                <c:pt idx="657">
                  <c:v>-7.2625584041124513E-2</c:v>
                </c:pt>
                <c:pt idx="658">
                  <c:v>-6.9509615186797546E-2</c:v>
                </c:pt>
                <c:pt idx="659">
                  <c:v>-5.8764264675960853E-2</c:v>
                </c:pt>
                <c:pt idx="660">
                  <c:v>-6.1268729309361336E-2</c:v>
                </c:pt>
                <c:pt idx="661">
                  <c:v>-5.894725153439484E-2</c:v>
                </c:pt>
                <c:pt idx="662">
                  <c:v>-7.6106375723770547E-2</c:v>
                </c:pt>
                <c:pt idx="663">
                  <c:v>-6.2313800950471565E-2</c:v>
                </c:pt>
                <c:pt idx="664">
                  <c:v>-6.9839847993469872E-2</c:v>
                </c:pt>
                <c:pt idx="665">
                  <c:v>-6.985236040661702E-2</c:v>
                </c:pt>
                <c:pt idx="666">
                  <c:v>-7.8959118978399911E-2</c:v>
                </c:pt>
                <c:pt idx="667">
                  <c:v>-7.93989249218503E-2</c:v>
                </c:pt>
                <c:pt idx="668">
                  <c:v>-6.8495837104230906E-2</c:v>
                </c:pt>
                <c:pt idx="669">
                  <c:v>-9.6315356041099309E-2</c:v>
                </c:pt>
                <c:pt idx="670">
                  <c:v>-9.6538953350330026E-2</c:v>
                </c:pt>
                <c:pt idx="671">
                  <c:v>-9.0357355595217514E-2</c:v>
                </c:pt>
                <c:pt idx="672">
                  <c:v>-0.11478515587604299</c:v>
                </c:pt>
                <c:pt idx="673">
                  <c:v>-0.10292875730654527</c:v>
                </c:pt>
                <c:pt idx="674">
                  <c:v>-9.4260048136407204E-2</c:v>
                </c:pt>
                <c:pt idx="675">
                  <c:v>-7.6141004059248729E-2</c:v>
                </c:pt>
                <c:pt idx="676">
                  <c:v>-6.8440758761280196E-2</c:v>
                </c:pt>
                <c:pt idx="677">
                  <c:v>-6.2820113073871586E-2</c:v>
                </c:pt>
                <c:pt idx="678">
                  <c:v>-6.9390545377480572E-2</c:v>
                </c:pt>
                <c:pt idx="679">
                  <c:v>-6.7203313373060181E-2</c:v>
                </c:pt>
                <c:pt idx="680">
                  <c:v>-6.9217439803507586E-2</c:v>
                </c:pt>
                <c:pt idx="681">
                  <c:v>-4.3866667430782047E-2</c:v>
                </c:pt>
                <c:pt idx="682">
                  <c:v>-4.8091561610153377E-2</c:v>
                </c:pt>
                <c:pt idx="683">
                  <c:v>-4.3253446455490119E-2</c:v>
                </c:pt>
                <c:pt idx="684">
                  <c:v>-3.6675025718048704E-2</c:v>
                </c:pt>
                <c:pt idx="685">
                  <c:v>-3.536202766485852E-2</c:v>
                </c:pt>
                <c:pt idx="686">
                  <c:v>-2.8243577158837407E-2</c:v>
                </c:pt>
                <c:pt idx="687">
                  <c:v>-3.2325243184629149E-2</c:v>
                </c:pt>
                <c:pt idx="688">
                  <c:v>-3.0288360548784921E-2</c:v>
                </c:pt>
                <c:pt idx="689">
                  <c:v>-4.4848296524840237E-2</c:v>
                </c:pt>
                <c:pt idx="690">
                  <c:v>-4.661344715362703E-2</c:v>
                </c:pt>
                <c:pt idx="691">
                  <c:v>-4.8023859596583729E-2</c:v>
                </c:pt>
                <c:pt idx="692">
                  <c:v>-3.7680961990868234E-2</c:v>
                </c:pt>
                <c:pt idx="693">
                  <c:v>-4.8093809600526338E-2</c:v>
                </c:pt>
                <c:pt idx="694">
                  <c:v>-3.5170068001848742E-2</c:v>
                </c:pt>
                <c:pt idx="695">
                  <c:v>-3.0977063455819742E-2</c:v>
                </c:pt>
                <c:pt idx="696">
                  <c:v>-3.1432120514553241E-2</c:v>
                </c:pt>
                <c:pt idx="697">
                  <c:v>-3.282611253356682E-2</c:v>
                </c:pt>
                <c:pt idx="698">
                  <c:v>-2.3725259449439928E-2</c:v>
                </c:pt>
                <c:pt idx="699">
                  <c:v>-3.1394176559055964E-2</c:v>
                </c:pt>
                <c:pt idx="700">
                  <c:v>-2.7741238621829201E-2</c:v>
                </c:pt>
                <c:pt idx="701">
                  <c:v>-1.9754224611614912E-2</c:v>
                </c:pt>
                <c:pt idx="702">
                  <c:v>-1.7658720340226197E-2</c:v>
                </c:pt>
                <c:pt idx="703">
                  <c:v>-1.5911684785614E-2</c:v>
                </c:pt>
                <c:pt idx="704">
                  <c:v>-1.5278451464691978E-2</c:v>
                </c:pt>
                <c:pt idx="705">
                  <c:v>-2.7119840590766109E-2</c:v>
                </c:pt>
                <c:pt idx="706">
                  <c:v>-1.0396890635713474E-2</c:v>
                </c:pt>
                <c:pt idx="707">
                  <c:v>-2.4996790885063458E-3</c:v>
                </c:pt>
                <c:pt idx="708">
                  <c:v>-6.3183007684948223E-3</c:v>
                </c:pt>
                <c:pt idx="709">
                  <c:v>-1.8786376707963237E-3</c:v>
                </c:pt>
                <c:pt idx="710">
                  <c:v>-6.3298000755250827E-3</c:v>
                </c:pt>
                <c:pt idx="711">
                  <c:v>-3.6861964058740981E-2</c:v>
                </c:pt>
                <c:pt idx="712">
                  <c:v>-3.0737671269623124E-2</c:v>
                </c:pt>
                <c:pt idx="713">
                  <c:v>-3.5131456501521052E-2</c:v>
                </c:pt>
                <c:pt idx="714">
                  <c:v>-2.0286075114010038E-2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-6.9478105774885002E-3</c:v>
                </c:pt>
                <c:pt idx="720">
                  <c:v>-9.2334094827645208E-3</c:v>
                </c:pt>
                <c:pt idx="721">
                  <c:v>-1.6708555202148423E-2</c:v>
                </c:pt>
                <c:pt idx="722">
                  <c:v>-2.9634072338921902E-2</c:v>
                </c:pt>
                <c:pt idx="723">
                  <c:v>-1.8493798870127809E-2</c:v>
                </c:pt>
                <c:pt idx="724">
                  <c:v>-9.2533873418736423E-3</c:v>
                </c:pt>
                <c:pt idx="725">
                  <c:v>-1.184839306606178E-2</c:v>
                </c:pt>
                <c:pt idx="726">
                  <c:v>-1.2076402608967918E-2</c:v>
                </c:pt>
                <c:pt idx="727">
                  <c:v>-7.1981586327556357E-3</c:v>
                </c:pt>
                <c:pt idx="728">
                  <c:v>-9.6492118913857894E-3</c:v>
                </c:pt>
                <c:pt idx="729">
                  <c:v>-4.102362739650367E-3</c:v>
                </c:pt>
                <c:pt idx="730">
                  <c:v>-1.0822310873057517E-2</c:v>
                </c:pt>
                <c:pt idx="731">
                  <c:v>-5.934822301485454E-4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-3.0027015616901354E-3</c:v>
                </c:pt>
                <c:pt idx="738">
                  <c:v>-5.4055709603243463E-3</c:v>
                </c:pt>
                <c:pt idx="739">
                  <c:v>0</c:v>
                </c:pt>
                <c:pt idx="740">
                  <c:v>-6.1791428236558366E-3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-3.9410342484583638E-2</c:v>
                </c:pt>
                <c:pt idx="745">
                  <c:v>-4.3741143950790762E-2</c:v>
                </c:pt>
                <c:pt idx="746">
                  <c:v>-3.7226981297082684E-2</c:v>
                </c:pt>
                <c:pt idx="747">
                  <c:v>-2.6739430285200316E-2</c:v>
                </c:pt>
                <c:pt idx="748">
                  <c:v>-9.0258998656961298E-3</c:v>
                </c:pt>
                <c:pt idx="749">
                  <c:v>-1.2599833722400144E-2</c:v>
                </c:pt>
                <c:pt idx="750">
                  <c:v>-3.0387094981785712E-2</c:v>
                </c:pt>
                <c:pt idx="751">
                  <c:v>-4.4098348041095248E-2</c:v>
                </c:pt>
                <c:pt idx="752">
                  <c:v>-5.4761651511606946E-2</c:v>
                </c:pt>
                <c:pt idx="753">
                  <c:v>-6.1328467631256656E-2</c:v>
                </c:pt>
                <c:pt idx="754">
                  <c:v>-3.8902455613724185E-2</c:v>
                </c:pt>
                <c:pt idx="755">
                  <c:v>-2.4068212546453638E-2</c:v>
                </c:pt>
                <c:pt idx="756">
                  <c:v>-4.3742828541949552E-2</c:v>
                </c:pt>
                <c:pt idx="757">
                  <c:v>-4.4659273651953657E-2</c:v>
                </c:pt>
                <c:pt idx="758">
                  <c:v>-5.6649839697719084E-2</c:v>
                </c:pt>
                <c:pt idx="759">
                  <c:v>-6.0016431899231892E-2</c:v>
                </c:pt>
                <c:pt idx="760">
                  <c:v>-6.1538156968331537E-2</c:v>
                </c:pt>
                <c:pt idx="761">
                  <c:v>-3.1458105753405574E-2</c:v>
                </c:pt>
                <c:pt idx="762">
                  <c:v>-3.9699978154240201E-2</c:v>
                </c:pt>
                <c:pt idx="763">
                  <c:v>-2.6469241782247521E-2</c:v>
                </c:pt>
                <c:pt idx="764">
                  <c:v>-1.9776014492427052E-2</c:v>
                </c:pt>
                <c:pt idx="765">
                  <c:v>-1.0588401738214848E-2</c:v>
                </c:pt>
                <c:pt idx="766">
                  <c:v>-9.6938910403595591E-3</c:v>
                </c:pt>
                <c:pt idx="767">
                  <c:v>-1.569070336536782E-2</c:v>
                </c:pt>
                <c:pt idx="768">
                  <c:v>-4.8813692985434143E-2</c:v>
                </c:pt>
                <c:pt idx="769">
                  <c:v>-3.0180190363662707E-2</c:v>
                </c:pt>
                <c:pt idx="770">
                  <c:v>-3.6235139757649915E-2</c:v>
                </c:pt>
                <c:pt idx="771">
                  <c:v>-3.3612257532399603E-2</c:v>
                </c:pt>
                <c:pt idx="772">
                  <c:v>-3.5663360950387135E-2</c:v>
                </c:pt>
                <c:pt idx="773">
                  <c:v>-5.4175993009860091E-2</c:v>
                </c:pt>
                <c:pt idx="774">
                  <c:v>-4.2039760609020926E-2</c:v>
                </c:pt>
                <c:pt idx="775">
                  <c:v>-4.3852072083588878E-2</c:v>
                </c:pt>
                <c:pt idx="776">
                  <c:v>-4.0453888719830244E-2</c:v>
                </c:pt>
                <c:pt idx="777">
                  <c:v>-5.5205528505025026E-2</c:v>
                </c:pt>
                <c:pt idx="778">
                  <c:v>-5.0970385738568158E-2</c:v>
                </c:pt>
                <c:pt idx="779">
                  <c:v>-5.781539200536856E-2</c:v>
                </c:pt>
                <c:pt idx="780">
                  <c:v>-5.7469830005966727E-2</c:v>
                </c:pt>
                <c:pt idx="781">
                  <c:v>-3.9643130573943086E-2</c:v>
                </c:pt>
                <c:pt idx="782">
                  <c:v>-3.5897105672610174E-2</c:v>
                </c:pt>
                <c:pt idx="783">
                  <c:v>-3.6592653115565144E-2</c:v>
                </c:pt>
                <c:pt idx="784">
                  <c:v>-3.3897376060302298E-2</c:v>
                </c:pt>
                <c:pt idx="785">
                  <c:v>-3.9294312091437522E-2</c:v>
                </c:pt>
                <c:pt idx="786">
                  <c:v>-6.1422822427309565E-2</c:v>
                </c:pt>
                <c:pt idx="787">
                  <c:v>-7.2125706254932975E-2</c:v>
                </c:pt>
                <c:pt idx="788">
                  <c:v>-8.9352324961951224E-2</c:v>
                </c:pt>
                <c:pt idx="789">
                  <c:v>-8.905708774821941E-2</c:v>
                </c:pt>
                <c:pt idx="790">
                  <c:v>-0.11291505597949181</c:v>
                </c:pt>
                <c:pt idx="791">
                  <c:v>-9.721944692217277E-2</c:v>
                </c:pt>
                <c:pt idx="792">
                  <c:v>-0.1209674115473387</c:v>
                </c:pt>
                <c:pt idx="793">
                  <c:v>-0.12633538125955091</c:v>
                </c:pt>
                <c:pt idx="794">
                  <c:v>-0.11197918270439555</c:v>
                </c:pt>
                <c:pt idx="795">
                  <c:v>-0.13437882310584015</c:v>
                </c:pt>
                <c:pt idx="796">
                  <c:v>-0.13006891423927969</c:v>
                </c:pt>
                <c:pt idx="797">
                  <c:v>-0.17284144513806421</c:v>
                </c:pt>
                <c:pt idx="798">
                  <c:v>-0.17430178582827327</c:v>
                </c:pt>
                <c:pt idx="799">
                  <c:v>-0.15931997231339379</c:v>
                </c:pt>
                <c:pt idx="800">
                  <c:v>-0.17604816105511312</c:v>
                </c:pt>
                <c:pt idx="801">
                  <c:v>-0.15440820574352265</c:v>
                </c:pt>
                <c:pt idx="802">
                  <c:v>-0.15349098877494793</c:v>
                </c:pt>
                <c:pt idx="803">
                  <c:v>-0.16801434843934537</c:v>
                </c:pt>
                <c:pt idx="804">
                  <c:v>-0.15517268251565808</c:v>
                </c:pt>
                <c:pt idx="805">
                  <c:v>-0.15483208059213049</c:v>
                </c:pt>
                <c:pt idx="806">
                  <c:v>-0.15007310860262191</c:v>
                </c:pt>
                <c:pt idx="807">
                  <c:v>-0.12566941408414445</c:v>
                </c:pt>
                <c:pt idx="808">
                  <c:v>-0.12020142971651337</c:v>
                </c:pt>
                <c:pt idx="809">
                  <c:v>-0.1409764532873411</c:v>
                </c:pt>
                <c:pt idx="810">
                  <c:v>-0.14444133558420669</c:v>
                </c:pt>
                <c:pt idx="811">
                  <c:v>-0.16696718206946126</c:v>
                </c:pt>
                <c:pt idx="812">
                  <c:v>-0.16618314608663598</c:v>
                </c:pt>
                <c:pt idx="813">
                  <c:v>-0.15703473169161819</c:v>
                </c:pt>
                <c:pt idx="814">
                  <c:v>-0.14856214368755216</c:v>
                </c:pt>
                <c:pt idx="815">
                  <c:v>-0.19992967818029816</c:v>
                </c:pt>
                <c:pt idx="816">
                  <c:v>-0.25099347518661541</c:v>
                </c:pt>
                <c:pt idx="817">
                  <c:v>-0.25321361366589257</c:v>
                </c:pt>
                <c:pt idx="818">
                  <c:v>-0.27098545478979263</c:v>
                </c:pt>
                <c:pt idx="819">
                  <c:v>-0.17606483005514484</c:v>
                </c:pt>
                <c:pt idx="820">
                  <c:v>-0.21424585016808151</c:v>
                </c:pt>
                <c:pt idx="821">
                  <c:v>-0.19691147332127434</c:v>
                </c:pt>
                <c:pt idx="822">
                  <c:v>-0.19199642864577593</c:v>
                </c:pt>
                <c:pt idx="823">
                  <c:v>-0.19327888804162019</c:v>
                </c:pt>
                <c:pt idx="824">
                  <c:v>-0.21993283073113834</c:v>
                </c:pt>
                <c:pt idx="825">
                  <c:v>-0.22109189038464794</c:v>
                </c:pt>
                <c:pt idx="826">
                  <c:v>-0.24296806259366244</c:v>
                </c:pt>
                <c:pt idx="827">
                  <c:v>-0.22066420407483001</c:v>
                </c:pt>
                <c:pt idx="828">
                  <c:v>-0.19982546482392793</c:v>
                </c:pt>
                <c:pt idx="829">
                  <c:v>-0.1765847953987475</c:v>
                </c:pt>
                <c:pt idx="830">
                  <c:v>-0.16077750535167123</c:v>
                </c:pt>
                <c:pt idx="831">
                  <c:v>-0.1627135048688888</c:v>
                </c:pt>
                <c:pt idx="832">
                  <c:v>-0.15738605773163628</c:v>
                </c:pt>
                <c:pt idx="833">
                  <c:v>-0.15959328428816866</c:v>
                </c:pt>
                <c:pt idx="834">
                  <c:v>-0.14575653672264477</c:v>
                </c:pt>
                <c:pt idx="835">
                  <c:v>-0.13332062597276673</c:v>
                </c:pt>
                <c:pt idx="836">
                  <c:v>-0.14204423837157276</c:v>
                </c:pt>
                <c:pt idx="837">
                  <c:v>-0.14910924202216569</c:v>
                </c:pt>
                <c:pt idx="838">
                  <c:v>-0.14699962281342172</c:v>
                </c:pt>
                <c:pt idx="839">
                  <c:v>-0.13573371140355217</c:v>
                </c:pt>
                <c:pt idx="840">
                  <c:v>-0.13112504740418873</c:v>
                </c:pt>
                <c:pt idx="841">
                  <c:v>-9.2209297869802587E-2</c:v>
                </c:pt>
                <c:pt idx="842">
                  <c:v>-7.4843358035553087E-2</c:v>
                </c:pt>
                <c:pt idx="843">
                  <c:v>-6.747698292679849E-2</c:v>
                </c:pt>
                <c:pt idx="844">
                  <c:v>-6.9152364856293613E-2</c:v>
                </c:pt>
                <c:pt idx="845">
                  <c:v>-6.2391379129708602E-2</c:v>
                </c:pt>
                <c:pt idx="846">
                  <c:v>-6.2595322117322771E-2</c:v>
                </c:pt>
                <c:pt idx="847">
                  <c:v>-6.5522310067131717E-2</c:v>
                </c:pt>
                <c:pt idx="848">
                  <c:v>-8.0133138081420752E-2</c:v>
                </c:pt>
                <c:pt idx="849">
                  <c:v>-7.4741958883394077E-2</c:v>
                </c:pt>
                <c:pt idx="850">
                  <c:v>-8.5598829151091405E-2</c:v>
                </c:pt>
                <c:pt idx="851">
                  <c:v>-5.8525281733767587E-2</c:v>
                </c:pt>
                <c:pt idx="852">
                  <c:v>-6.4949960556290653E-2</c:v>
                </c:pt>
                <c:pt idx="853">
                  <c:v>-6.1432188256179576E-2</c:v>
                </c:pt>
                <c:pt idx="854">
                  <c:v>-6.6908895018795711E-2</c:v>
                </c:pt>
                <c:pt idx="855">
                  <c:v>-6.2212549065216338E-2</c:v>
                </c:pt>
                <c:pt idx="856">
                  <c:v>-5.4259121129554999E-2</c:v>
                </c:pt>
                <c:pt idx="857">
                  <c:v>-5.4702044111021531E-2</c:v>
                </c:pt>
                <c:pt idx="858">
                  <c:v>-6.9597831432812174E-2</c:v>
                </c:pt>
                <c:pt idx="859">
                  <c:v>-5.5176994636574328E-2</c:v>
                </c:pt>
                <c:pt idx="860">
                  <c:v>-4.9153682270792198E-2</c:v>
                </c:pt>
                <c:pt idx="861">
                  <c:v>-3.8352503105992031E-2</c:v>
                </c:pt>
                <c:pt idx="862">
                  <c:v>-3.9645127708852534E-2</c:v>
                </c:pt>
                <c:pt idx="863">
                  <c:v>-3.7882947727697958E-2</c:v>
                </c:pt>
                <c:pt idx="864">
                  <c:v>-4.63057429912207E-2</c:v>
                </c:pt>
                <c:pt idx="865">
                  <c:v>-3.257821537912875E-2</c:v>
                </c:pt>
                <c:pt idx="866">
                  <c:v>-4.312147780597575E-2</c:v>
                </c:pt>
                <c:pt idx="867">
                  <c:v>-3.9140826900775028E-2</c:v>
                </c:pt>
                <c:pt idx="868">
                  <c:v>-4.2517898818738797E-2</c:v>
                </c:pt>
                <c:pt idx="869">
                  <c:v>-3.0164949760646209E-2</c:v>
                </c:pt>
                <c:pt idx="870">
                  <c:v>-1.7289873106588582E-2</c:v>
                </c:pt>
                <c:pt idx="871">
                  <c:v>-1.5826073467827495E-2</c:v>
                </c:pt>
                <c:pt idx="872">
                  <c:v>-9.1938013825653142E-3</c:v>
                </c:pt>
                <c:pt idx="873">
                  <c:v>-4.4497823509861423E-3</c:v>
                </c:pt>
                <c:pt idx="874">
                  <c:v>0</c:v>
                </c:pt>
                <c:pt idx="875">
                  <c:v>-8.8324241357327082E-3</c:v>
                </c:pt>
                <c:pt idx="876">
                  <c:v>0</c:v>
                </c:pt>
                <c:pt idx="877">
                  <c:v>0</c:v>
                </c:pt>
                <c:pt idx="878">
                  <c:v>-1.4892285309803577E-2</c:v>
                </c:pt>
                <c:pt idx="879">
                  <c:v>-1.5451267679934211E-2</c:v>
                </c:pt>
                <c:pt idx="880">
                  <c:v>-6.8481026185825966E-3</c:v>
                </c:pt>
                <c:pt idx="881">
                  <c:v>0</c:v>
                </c:pt>
                <c:pt idx="882">
                  <c:v>0</c:v>
                </c:pt>
                <c:pt idx="883">
                  <c:v>-4.4479185354118211E-4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-1.2623164163751976E-3</c:v>
                </c:pt>
                <c:pt idx="889">
                  <c:v>-5.8365724926643381E-3</c:v>
                </c:pt>
                <c:pt idx="890">
                  <c:v>0</c:v>
                </c:pt>
                <c:pt idx="891">
                  <c:v>-3.5633534477794715E-3</c:v>
                </c:pt>
                <c:pt idx="892">
                  <c:v>0</c:v>
                </c:pt>
                <c:pt idx="893">
                  <c:v>0</c:v>
                </c:pt>
                <c:pt idx="894">
                  <c:v>-5.37084930519105E-3</c:v>
                </c:pt>
                <c:pt idx="895">
                  <c:v>-3.3185029723247217E-3</c:v>
                </c:pt>
                <c:pt idx="896">
                  <c:v>-7.4330120451565618E-3</c:v>
                </c:pt>
                <c:pt idx="897">
                  <c:v>-3.0109042853216361E-2</c:v>
                </c:pt>
                <c:pt idx="898">
                  <c:v>-1.1208797078709032E-2</c:v>
                </c:pt>
                <c:pt idx="899">
                  <c:v>-1.8060785912536792E-2</c:v>
                </c:pt>
                <c:pt idx="900">
                  <c:v>-6.8156643030680142E-3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-4.4930461662625598E-3</c:v>
                </c:pt>
                <c:pt idx="906">
                  <c:v>-2.6052104695829525E-3</c:v>
                </c:pt>
                <c:pt idx="907">
                  <c:v>-6.2417387632471844E-3</c:v>
                </c:pt>
                <c:pt idx="908">
                  <c:v>-3.6824143552974808E-3</c:v>
                </c:pt>
                <c:pt idx="909">
                  <c:v>-1.9191154024617685E-2</c:v>
                </c:pt>
                <c:pt idx="910">
                  <c:v>-2.9250320399778929E-2</c:v>
                </c:pt>
                <c:pt idx="911">
                  <c:v>-3.3070836707615792E-2</c:v>
                </c:pt>
                <c:pt idx="912">
                  <c:v>-1.2625652022444478E-2</c:v>
                </c:pt>
                <c:pt idx="913">
                  <c:v>-1.2686261660419196E-2</c:v>
                </c:pt>
                <c:pt idx="914">
                  <c:v>-7.5005594322007374E-3</c:v>
                </c:pt>
                <c:pt idx="915">
                  <c:v>-7.8914693477983855E-3</c:v>
                </c:pt>
                <c:pt idx="916">
                  <c:v>-4.0709323145498022E-3</c:v>
                </c:pt>
                <c:pt idx="917">
                  <c:v>-1.563844112481716E-2</c:v>
                </c:pt>
                <c:pt idx="918">
                  <c:v>-2.5563535420884076E-2</c:v>
                </c:pt>
                <c:pt idx="919">
                  <c:v>-1.3705353320275893E-2</c:v>
                </c:pt>
                <c:pt idx="920">
                  <c:v>-2.0712245026237586E-3</c:v>
                </c:pt>
                <c:pt idx="921">
                  <c:v>-8.010682525803059E-4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-4.5733079924413778E-3</c:v>
                </c:pt>
                <c:pt idx="934">
                  <c:v>-4.7529123874092694E-3</c:v>
                </c:pt>
                <c:pt idx="935">
                  <c:v>-1.5149744272393684E-2</c:v>
                </c:pt>
                <c:pt idx="936">
                  <c:v>-8.9652407107934096E-3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-1.6751193798978381E-3</c:v>
                </c:pt>
                <c:pt idx="941">
                  <c:v>0</c:v>
                </c:pt>
                <c:pt idx="942">
                  <c:v>0</c:v>
                </c:pt>
                <c:pt idx="943">
                  <c:v>-1.1536086902621312E-2</c:v>
                </c:pt>
                <c:pt idx="944">
                  <c:v>0</c:v>
                </c:pt>
                <c:pt idx="945">
                  <c:v>-4.4917121087663103E-3</c:v>
                </c:pt>
                <c:pt idx="946">
                  <c:v>-4.4215761005107601E-2</c:v>
                </c:pt>
                <c:pt idx="947">
                  <c:v>-1.8692038401961764E-2</c:v>
                </c:pt>
                <c:pt idx="948">
                  <c:v>-2.9216178066108767E-2</c:v>
                </c:pt>
                <c:pt idx="949">
                  <c:v>-2.1524988918028232E-2</c:v>
                </c:pt>
                <c:pt idx="950">
                  <c:v>-2.6419989280528355E-2</c:v>
                </c:pt>
                <c:pt idx="951">
                  <c:v>-2.1429778567465085E-2</c:v>
                </c:pt>
                <c:pt idx="952">
                  <c:v>-6.4857103284803319E-3</c:v>
                </c:pt>
                <c:pt idx="953">
                  <c:v>-1.1603539230849447E-2</c:v>
                </c:pt>
                <c:pt idx="954">
                  <c:v>-2.0329531382879962E-2</c:v>
                </c:pt>
                <c:pt idx="955">
                  <c:v>-8.6648948013057225E-3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-1.663768535286958E-2</c:v>
                </c:pt>
                <c:pt idx="961">
                  <c:v>-7.5680018967518858E-3</c:v>
                </c:pt>
                <c:pt idx="962">
                  <c:v>0</c:v>
                </c:pt>
                <c:pt idx="963">
                  <c:v>-2.5008540618950637E-2</c:v>
                </c:pt>
                <c:pt idx="964">
                  <c:v>-1.4263628474701529E-2</c:v>
                </c:pt>
                <c:pt idx="965">
                  <c:v>-3.4482323053962927E-2</c:v>
                </c:pt>
                <c:pt idx="966">
                  <c:v>-3.8807447485121216E-2</c:v>
                </c:pt>
                <c:pt idx="967">
                  <c:v>-1.3821501565391525E-2</c:v>
                </c:pt>
                <c:pt idx="968">
                  <c:v>-1.8532417354160224E-2</c:v>
                </c:pt>
                <c:pt idx="969">
                  <c:v>-2.0872563348029338E-2</c:v>
                </c:pt>
                <c:pt idx="970">
                  <c:v>-4.8485575714414142E-2</c:v>
                </c:pt>
                <c:pt idx="971">
                  <c:v>-4.3487181249647899E-2</c:v>
                </c:pt>
                <c:pt idx="972">
                  <c:v>-5.1970265541147365E-2</c:v>
                </c:pt>
                <c:pt idx="973">
                  <c:v>-6.7337384115208954E-2</c:v>
                </c:pt>
                <c:pt idx="974">
                  <c:v>-6.1127023230918343E-2</c:v>
                </c:pt>
                <c:pt idx="975">
                  <c:v>-8.5321101535156707E-2</c:v>
                </c:pt>
                <c:pt idx="976">
                  <c:v>-7.9618490962558019E-2</c:v>
                </c:pt>
                <c:pt idx="977">
                  <c:v>-5.182058533746825E-2</c:v>
                </c:pt>
                <c:pt idx="978">
                  <c:v>-4.6651053343056192E-2</c:v>
                </c:pt>
                <c:pt idx="979">
                  <c:v>-3.2676763416440213E-2</c:v>
                </c:pt>
                <c:pt idx="980">
                  <c:v>-2.645089313466864E-2</c:v>
                </c:pt>
                <c:pt idx="981">
                  <c:v>-3.0402048298109441E-2</c:v>
                </c:pt>
                <c:pt idx="982">
                  <c:v>-2.5467139559958496E-2</c:v>
                </c:pt>
                <c:pt idx="983">
                  <c:v>-2.0365437702236977E-2</c:v>
                </c:pt>
                <c:pt idx="984">
                  <c:v>-1.9442807214944069E-2</c:v>
                </c:pt>
                <c:pt idx="985">
                  <c:v>-1.7722238238543131E-2</c:v>
                </c:pt>
                <c:pt idx="986">
                  <c:v>-1.6054353605036931E-2</c:v>
                </c:pt>
                <c:pt idx="987">
                  <c:v>-1.3145711941354721E-2</c:v>
                </c:pt>
                <c:pt idx="988">
                  <c:v>-6.4911602390658185E-3</c:v>
                </c:pt>
                <c:pt idx="989">
                  <c:v>-1.5862061665300686E-2</c:v>
                </c:pt>
                <c:pt idx="990">
                  <c:v>-2.9488914406636146E-2</c:v>
                </c:pt>
                <c:pt idx="991">
                  <c:v>-3.2457020706394335E-2</c:v>
                </c:pt>
                <c:pt idx="992">
                  <c:v>-2.8992847544583089E-2</c:v>
                </c:pt>
                <c:pt idx="993">
                  <c:v>-4.8698675725191376E-2</c:v>
                </c:pt>
                <c:pt idx="994">
                  <c:v>-3.0186031087117926E-2</c:v>
                </c:pt>
                <c:pt idx="995">
                  <c:v>-1.7297892857368824E-2</c:v>
                </c:pt>
                <c:pt idx="996">
                  <c:v>-9.1213950079047645E-3</c:v>
                </c:pt>
                <c:pt idx="997">
                  <c:v>-4.4488260670751956E-3</c:v>
                </c:pt>
                <c:pt idx="998">
                  <c:v>0</c:v>
                </c:pt>
                <c:pt idx="999">
                  <c:v>-2.4209155576256913E-3</c:v>
                </c:pt>
                <c:pt idx="1000">
                  <c:v>-6.8554689007959135E-3</c:v>
                </c:pt>
                <c:pt idx="1001">
                  <c:v>-1.0281454556195779E-2</c:v>
                </c:pt>
                <c:pt idx="1002">
                  <c:v>-1.7180552308809549E-2</c:v>
                </c:pt>
                <c:pt idx="1003">
                  <c:v>-9.775069856578722E-3</c:v>
                </c:pt>
                <c:pt idx="1004">
                  <c:v>-8.7432792384034563E-4</c:v>
                </c:pt>
                <c:pt idx="1005">
                  <c:v>0</c:v>
                </c:pt>
                <c:pt idx="1006">
                  <c:v>-4.4194054088084744E-3</c:v>
                </c:pt>
                <c:pt idx="1007">
                  <c:v>-8.0887839584048438E-3</c:v>
                </c:pt>
                <c:pt idx="1008">
                  <c:v>0</c:v>
                </c:pt>
                <c:pt idx="1009">
                  <c:v>0</c:v>
                </c:pt>
                <c:pt idx="1010">
                  <c:v>-2.4814670629633717E-3</c:v>
                </c:pt>
                <c:pt idx="1011">
                  <c:v>-1.2770647255381129E-2</c:v>
                </c:pt>
                <c:pt idx="1012">
                  <c:v>-1.1425694666743147E-2</c:v>
                </c:pt>
                <c:pt idx="1013">
                  <c:v>-7.7662193539711488E-3</c:v>
                </c:pt>
                <c:pt idx="1014">
                  <c:v>-3.2951627746078294E-2</c:v>
                </c:pt>
                <c:pt idx="1015">
                  <c:v>-2.0647393714418372E-2</c:v>
                </c:pt>
                <c:pt idx="1016">
                  <c:v>-9.4869764994528483E-3</c:v>
                </c:pt>
                <c:pt idx="1017">
                  <c:v>-2.6175404833524984E-3</c:v>
                </c:pt>
                <c:pt idx="1018">
                  <c:v>-3.1195566301663868E-3</c:v>
                </c:pt>
                <c:pt idx="1019">
                  <c:v>0</c:v>
                </c:pt>
                <c:pt idx="1020">
                  <c:v>0</c:v>
                </c:pt>
                <c:pt idx="1021">
                  <c:v>-1.441767132820293E-2</c:v>
                </c:pt>
                <c:pt idx="1022">
                  <c:v>-2.0831342221197313E-2</c:v>
                </c:pt>
                <c:pt idx="1023">
                  <c:v>-1.5299216233154334E-2</c:v>
                </c:pt>
                <c:pt idx="1024">
                  <c:v>-3.0059006834351587E-2</c:v>
                </c:pt>
                <c:pt idx="1025">
                  <c:v>-4.9868569251096284E-2</c:v>
                </c:pt>
                <c:pt idx="1026">
                  <c:v>-6.4195144259419967E-2</c:v>
                </c:pt>
                <c:pt idx="1027">
                  <c:v>-4.0567091482842654E-2</c:v>
                </c:pt>
                <c:pt idx="1028">
                  <c:v>-3.3645007577541963E-2</c:v>
                </c:pt>
                <c:pt idx="1029">
                  <c:v>-3.5459047492362061E-2</c:v>
                </c:pt>
                <c:pt idx="1030">
                  <c:v>-2.9656069155822973E-2</c:v>
                </c:pt>
                <c:pt idx="1031">
                  <c:v>-4.7921097981256655E-2</c:v>
                </c:pt>
                <c:pt idx="1032">
                  <c:v>-5.0255007926371498E-2</c:v>
                </c:pt>
                <c:pt idx="1033">
                  <c:v>-5.2678571293368059E-2</c:v>
                </c:pt>
                <c:pt idx="1034">
                  <c:v>-4.4838389746983398E-2</c:v>
                </c:pt>
                <c:pt idx="1035">
                  <c:v>-4.8037269115103975E-2</c:v>
                </c:pt>
                <c:pt idx="1036">
                  <c:v>-3.5850570980969887E-2</c:v>
                </c:pt>
                <c:pt idx="1037">
                  <c:v>-4.8574863847163474E-2</c:v>
                </c:pt>
                <c:pt idx="1038">
                  <c:v>-3.5959641833009259E-2</c:v>
                </c:pt>
                <c:pt idx="1039">
                  <c:v>-2.2332571027547599E-2</c:v>
                </c:pt>
                <c:pt idx="1040">
                  <c:v>-3.5591848662955949E-2</c:v>
                </c:pt>
                <c:pt idx="1041">
                  <c:v>-4.6773719769466204E-2</c:v>
                </c:pt>
                <c:pt idx="1042">
                  <c:v>-4.5145625558772773E-2</c:v>
                </c:pt>
                <c:pt idx="1043">
                  <c:v>-6.329354715116331E-2</c:v>
                </c:pt>
                <c:pt idx="1044">
                  <c:v>-4.7952287011757799E-2</c:v>
                </c:pt>
                <c:pt idx="1045">
                  <c:v>-5.1975926365535829E-2</c:v>
                </c:pt>
                <c:pt idx="1046">
                  <c:v>-7.3490909069346744E-2</c:v>
                </c:pt>
                <c:pt idx="1047">
                  <c:v>-5.8980809672299905E-2</c:v>
                </c:pt>
                <c:pt idx="1048">
                  <c:v>-5.7040474884182513E-2</c:v>
                </c:pt>
                <c:pt idx="1049">
                  <c:v>-5.0000349686074919E-2</c:v>
                </c:pt>
                <c:pt idx="1050">
                  <c:v>-7.1185166226665042E-2</c:v>
                </c:pt>
                <c:pt idx="1051">
                  <c:v>-7.4657065349425955E-2</c:v>
                </c:pt>
                <c:pt idx="1052">
                  <c:v>-6.2040799146190651E-2</c:v>
                </c:pt>
                <c:pt idx="1053">
                  <c:v>-5.2056384499293951E-2</c:v>
                </c:pt>
                <c:pt idx="1054">
                  <c:v>-6.5719662867056217E-2</c:v>
                </c:pt>
                <c:pt idx="1055">
                  <c:v>-7.5090493553064741E-2</c:v>
                </c:pt>
                <c:pt idx="1056">
                  <c:v>-9.5936286678131366E-2</c:v>
                </c:pt>
                <c:pt idx="1057">
                  <c:v>-8.7100981210764372E-2</c:v>
                </c:pt>
                <c:pt idx="1058">
                  <c:v>-9.423572023874649E-2</c:v>
                </c:pt>
                <c:pt idx="1059">
                  <c:v>-9.0173471891724755E-2</c:v>
                </c:pt>
                <c:pt idx="1060">
                  <c:v>-0.11695703296992821</c:v>
                </c:pt>
                <c:pt idx="1061">
                  <c:v>-0.13263802318797557</c:v>
                </c:pt>
                <c:pt idx="1062">
                  <c:v>-0.14634710566436826</c:v>
                </c:pt>
                <c:pt idx="1063">
                  <c:v>-0.1118183475363842</c:v>
                </c:pt>
                <c:pt idx="1064">
                  <c:v>-9.6855195503213309E-2</c:v>
                </c:pt>
                <c:pt idx="1065">
                  <c:v>-0.10187764097208651</c:v>
                </c:pt>
                <c:pt idx="1066">
                  <c:v>-9.6555805385554416E-2</c:v>
                </c:pt>
                <c:pt idx="1067">
                  <c:v>-9.7433428463156502E-2</c:v>
                </c:pt>
                <c:pt idx="1068">
                  <c:v>-7.0744935498260886E-2</c:v>
                </c:pt>
                <c:pt idx="1069">
                  <c:v>-6.3214935722899157E-2</c:v>
                </c:pt>
                <c:pt idx="1070">
                  <c:v>-6.0565420137892012E-2</c:v>
                </c:pt>
                <c:pt idx="1071">
                  <c:v>-5.0965539336970234E-2</c:v>
                </c:pt>
                <c:pt idx="1072">
                  <c:v>-2.3159252667817709E-2</c:v>
                </c:pt>
                <c:pt idx="1073">
                  <c:v>-6.6314704823887682E-3</c:v>
                </c:pt>
                <c:pt idx="1074">
                  <c:v>-8.9630315119291204E-3</c:v>
                </c:pt>
                <c:pt idx="1075">
                  <c:v>0</c:v>
                </c:pt>
                <c:pt idx="1076">
                  <c:v>-5.994820806200063E-3</c:v>
                </c:pt>
                <c:pt idx="1077">
                  <c:v>-1.3058327466717423E-2</c:v>
                </c:pt>
                <c:pt idx="1078">
                  <c:v>0</c:v>
                </c:pt>
                <c:pt idx="1079">
                  <c:v>-1.3111011326612743E-2</c:v>
                </c:pt>
                <c:pt idx="1080">
                  <c:v>0</c:v>
                </c:pt>
                <c:pt idx="1081">
                  <c:v>0</c:v>
                </c:pt>
                <c:pt idx="1082">
                  <c:v>-9.8540935476517655E-3</c:v>
                </c:pt>
                <c:pt idx="1083">
                  <c:v>-1.3268775463008864E-2</c:v>
                </c:pt>
                <c:pt idx="1084">
                  <c:v>-5.7978555616263749E-3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-2.884631255520298E-3</c:v>
                </c:pt>
                <c:pt idx="1090">
                  <c:v>0</c:v>
                </c:pt>
                <c:pt idx="1091">
                  <c:v>0</c:v>
                </c:pt>
                <c:pt idx="1092">
                  <c:v>-1.1416877476125076E-2</c:v>
                </c:pt>
                <c:pt idx="1093">
                  <c:v>0</c:v>
                </c:pt>
                <c:pt idx="1094">
                  <c:v>0</c:v>
                </c:pt>
                <c:pt idx="1095">
                  <c:v>-2.2690377070016088E-2</c:v>
                </c:pt>
                <c:pt idx="1096">
                  <c:v>-3.6093150435017041E-2</c:v>
                </c:pt>
                <c:pt idx="1097">
                  <c:v>-4.1661050527048604E-2</c:v>
                </c:pt>
                <c:pt idx="1098">
                  <c:v>-2.375894864480077E-2</c:v>
                </c:pt>
                <c:pt idx="1099">
                  <c:v>-1.6236616497838918E-2</c:v>
                </c:pt>
                <c:pt idx="1100">
                  <c:v>-1.7762156802990092E-2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-1.0301234464332065E-2</c:v>
                </c:pt>
                <c:pt idx="1108">
                  <c:v>-1.6779467628671663E-2</c:v>
                </c:pt>
                <c:pt idx="1109">
                  <c:v>-6.8645894929899809E-2</c:v>
                </c:pt>
                <c:pt idx="1110">
                  <c:v>-4.8977888382391033E-2</c:v>
                </c:pt>
                <c:pt idx="1111">
                  <c:v>-5.8923267395239898E-2</c:v>
                </c:pt>
                <c:pt idx="1112">
                  <c:v>-8.2017320680046413E-2</c:v>
                </c:pt>
                <c:pt idx="1113">
                  <c:v>-4.9452251770434552E-2</c:v>
                </c:pt>
                <c:pt idx="1114">
                  <c:v>-4.8906591723900439E-2</c:v>
                </c:pt>
                <c:pt idx="1115">
                  <c:v>-1.2066332979852157E-2</c:v>
                </c:pt>
                <c:pt idx="1116">
                  <c:v>-3.1405109511834062E-2</c:v>
                </c:pt>
                <c:pt idx="1117">
                  <c:v>-3.5208844364008729E-2</c:v>
                </c:pt>
                <c:pt idx="1118">
                  <c:v>-4.53409912975411E-3</c:v>
                </c:pt>
                <c:pt idx="1119">
                  <c:v>0</c:v>
                </c:pt>
                <c:pt idx="1120">
                  <c:v>-4.5694957333253461E-2</c:v>
                </c:pt>
                <c:pt idx="1121">
                  <c:v>-5.0611819397632707E-2</c:v>
                </c:pt>
                <c:pt idx="1122">
                  <c:v>-3.3541607482262203E-2</c:v>
                </c:pt>
                <c:pt idx="1123">
                  <c:v>-4.2760279058638662E-2</c:v>
                </c:pt>
                <c:pt idx="1124">
                  <c:v>-2.0511074354593983E-2</c:v>
                </c:pt>
                <c:pt idx="1125">
                  <c:v>-6.1477386372823517E-3</c:v>
                </c:pt>
                <c:pt idx="1126">
                  <c:v>-2.7509236599156828E-2</c:v>
                </c:pt>
                <c:pt idx="1127">
                  <c:v>-4.0470905246672517E-2</c:v>
                </c:pt>
                <c:pt idx="1128">
                  <c:v>-2.1153095445475945E-2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C-4506-A2C8-ACDB8F249624}"/>
            </c:ext>
          </c:extLst>
        </c:ser>
        <c:ser>
          <c:idx val="1"/>
          <c:order val="1"/>
          <c:tx>
            <c:v>S&amp;P 500</c:v>
          </c:tx>
          <c:spPr>
            <a:ln w="20000">
              <a:solidFill>
                <a:srgbClr val="8C9BAB"/>
              </a:solidFill>
              <a:prstDash val="solid"/>
            </a:ln>
          </c:spPr>
          <c:marker>
            <c:symbol val="none"/>
          </c:marker>
          <c:cat>
            <c:numRef>
              <c:f>'Tech Portfolio'!$A$2:$A$1130</c:f>
              <c:numCache>
                <c:formatCode>yyyy\-mm\-dd</c:formatCode>
                <c:ptCount val="112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44579</c:v>
                </c:pt>
                <c:pt idx="11">
                  <c:v>44580</c:v>
                </c:pt>
                <c:pt idx="12">
                  <c:v>44581</c:v>
                </c:pt>
                <c:pt idx="13">
                  <c:v>44582</c:v>
                </c:pt>
                <c:pt idx="14">
                  <c:v>44585</c:v>
                </c:pt>
                <c:pt idx="15">
                  <c:v>44586</c:v>
                </c:pt>
                <c:pt idx="16">
                  <c:v>44587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44614</c:v>
                </c:pt>
                <c:pt idx="35">
                  <c:v>44615</c:v>
                </c:pt>
                <c:pt idx="36">
                  <c:v>44616</c:v>
                </c:pt>
                <c:pt idx="37">
                  <c:v>44617</c:v>
                </c:pt>
                <c:pt idx="38">
                  <c:v>44620</c:v>
                </c:pt>
                <c:pt idx="39">
                  <c:v>44621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44672</c:v>
                </c:pt>
                <c:pt idx="76">
                  <c:v>44673</c:v>
                </c:pt>
                <c:pt idx="77">
                  <c:v>44676</c:v>
                </c:pt>
                <c:pt idx="78">
                  <c:v>44677</c:v>
                </c:pt>
                <c:pt idx="79">
                  <c:v>44678</c:v>
                </c:pt>
                <c:pt idx="80">
                  <c:v>44679</c:v>
                </c:pt>
                <c:pt idx="81">
                  <c:v>44680</c:v>
                </c:pt>
                <c:pt idx="82">
                  <c:v>44683</c:v>
                </c:pt>
                <c:pt idx="83">
                  <c:v>44684</c:v>
                </c:pt>
                <c:pt idx="84">
                  <c:v>44685</c:v>
                </c:pt>
                <c:pt idx="85">
                  <c:v>44686</c:v>
                </c:pt>
                <c:pt idx="86">
                  <c:v>44687</c:v>
                </c:pt>
                <c:pt idx="87">
                  <c:v>44690</c:v>
                </c:pt>
                <c:pt idx="88">
                  <c:v>44691</c:v>
                </c:pt>
                <c:pt idx="89">
                  <c:v>44692</c:v>
                </c:pt>
                <c:pt idx="90">
                  <c:v>44693</c:v>
                </c:pt>
                <c:pt idx="91">
                  <c:v>44694</c:v>
                </c:pt>
                <c:pt idx="92">
                  <c:v>44697</c:v>
                </c:pt>
                <c:pt idx="93">
                  <c:v>44698</c:v>
                </c:pt>
                <c:pt idx="94">
                  <c:v>44699</c:v>
                </c:pt>
                <c:pt idx="95">
                  <c:v>44700</c:v>
                </c:pt>
                <c:pt idx="96">
                  <c:v>44701</c:v>
                </c:pt>
                <c:pt idx="97">
                  <c:v>44704</c:v>
                </c:pt>
                <c:pt idx="98">
                  <c:v>44705</c:v>
                </c:pt>
                <c:pt idx="99">
                  <c:v>44706</c:v>
                </c:pt>
                <c:pt idx="100">
                  <c:v>44707</c:v>
                </c:pt>
                <c:pt idx="101">
                  <c:v>44708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44728</c:v>
                </c:pt>
                <c:pt idx="115">
                  <c:v>44729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44782</c:v>
                </c:pt>
                <c:pt idx="151">
                  <c:v>44783</c:v>
                </c:pt>
                <c:pt idx="152">
                  <c:v>44784</c:v>
                </c:pt>
                <c:pt idx="153">
                  <c:v>44785</c:v>
                </c:pt>
                <c:pt idx="154">
                  <c:v>44788</c:v>
                </c:pt>
                <c:pt idx="155">
                  <c:v>44789</c:v>
                </c:pt>
                <c:pt idx="156">
                  <c:v>44790</c:v>
                </c:pt>
                <c:pt idx="157">
                  <c:v>44791</c:v>
                </c:pt>
                <c:pt idx="158">
                  <c:v>44792</c:v>
                </c:pt>
                <c:pt idx="159">
                  <c:v>44795</c:v>
                </c:pt>
                <c:pt idx="160">
                  <c:v>44796</c:v>
                </c:pt>
                <c:pt idx="161">
                  <c:v>44797</c:v>
                </c:pt>
                <c:pt idx="162">
                  <c:v>44798</c:v>
                </c:pt>
                <c:pt idx="163">
                  <c:v>44799</c:v>
                </c:pt>
                <c:pt idx="164">
                  <c:v>44802</c:v>
                </c:pt>
                <c:pt idx="165">
                  <c:v>44803</c:v>
                </c:pt>
                <c:pt idx="166">
                  <c:v>44804</c:v>
                </c:pt>
                <c:pt idx="167">
                  <c:v>44805</c:v>
                </c:pt>
                <c:pt idx="168">
                  <c:v>44806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44816</c:v>
                </c:pt>
                <c:pt idx="174">
                  <c:v>44817</c:v>
                </c:pt>
                <c:pt idx="175">
                  <c:v>44818</c:v>
                </c:pt>
                <c:pt idx="176">
                  <c:v>44819</c:v>
                </c:pt>
                <c:pt idx="177">
                  <c:v>44820</c:v>
                </c:pt>
                <c:pt idx="178">
                  <c:v>44823</c:v>
                </c:pt>
                <c:pt idx="179">
                  <c:v>44824</c:v>
                </c:pt>
                <c:pt idx="180">
                  <c:v>44825</c:v>
                </c:pt>
                <c:pt idx="181">
                  <c:v>44826</c:v>
                </c:pt>
                <c:pt idx="182">
                  <c:v>44827</c:v>
                </c:pt>
                <c:pt idx="183">
                  <c:v>44830</c:v>
                </c:pt>
                <c:pt idx="184">
                  <c:v>44831</c:v>
                </c:pt>
                <c:pt idx="185">
                  <c:v>44832</c:v>
                </c:pt>
                <c:pt idx="186">
                  <c:v>44833</c:v>
                </c:pt>
                <c:pt idx="187">
                  <c:v>44834</c:v>
                </c:pt>
                <c:pt idx="188">
                  <c:v>44837</c:v>
                </c:pt>
                <c:pt idx="189">
                  <c:v>44838</c:v>
                </c:pt>
                <c:pt idx="190">
                  <c:v>44839</c:v>
                </c:pt>
                <c:pt idx="191">
                  <c:v>44840</c:v>
                </c:pt>
                <c:pt idx="192">
                  <c:v>44841</c:v>
                </c:pt>
                <c:pt idx="193">
                  <c:v>44844</c:v>
                </c:pt>
                <c:pt idx="194">
                  <c:v>44845</c:v>
                </c:pt>
                <c:pt idx="195">
                  <c:v>44846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44867</c:v>
                </c:pt>
                <c:pt idx="211">
                  <c:v>44868</c:v>
                </c:pt>
                <c:pt idx="212">
                  <c:v>44869</c:v>
                </c:pt>
                <c:pt idx="213">
                  <c:v>44872</c:v>
                </c:pt>
                <c:pt idx="214">
                  <c:v>44873</c:v>
                </c:pt>
                <c:pt idx="215">
                  <c:v>44874</c:v>
                </c:pt>
                <c:pt idx="216">
                  <c:v>44875</c:v>
                </c:pt>
                <c:pt idx="217">
                  <c:v>44876</c:v>
                </c:pt>
                <c:pt idx="218">
                  <c:v>44879</c:v>
                </c:pt>
                <c:pt idx="219">
                  <c:v>44880</c:v>
                </c:pt>
                <c:pt idx="220">
                  <c:v>44881</c:v>
                </c:pt>
                <c:pt idx="221">
                  <c:v>44882</c:v>
                </c:pt>
                <c:pt idx="222">
                  <c:v>44883</c:v>
                </c:pt>
                <c:pt idx="223">
                  <c:v>44886</c:v>
                </c:pt>
                <c:pt idx="224">
                  <c:v>44887</c:v>
                </c:pt>
                <c:pt idx="225">
                  <c:v>44888</c:v>
                </c:pt>
                <c:pt idx="226">
                  <c:v>44890</c:v>
                </c:pt>
                <c:pt idx="227">
                  <c:v>44893</c:v>
                </c:pt>
                <c:pt idx="228">
                  <c:v>44894</c:v>
                </c:pt>
                <c:pt idx="229">
                  <c:v>44895</c:v>
                </c:pt>
                <c:pt idx="230">
                  <c:v>44896</c:v>
                </c:pt>
                <c:pt idx="231">
                  <c:v>44897</c:v>
                </c:pt>
                <c:pt idx="232">
                  <c:v>44900</c:v>
                </c:pt>
                <c:pt idx="233">
                  <c:v>44901</c:v>
                </c:pt>
                <c:pt idx="234">
                  <c:v>44902</c:v>
                </c:pt>
                <c:pt idx="235">
                  <c:v>44903</c:v>
                </c:pt>
                <c:pt idx="236">
                  <c:v>44904</c:v>
                </c:pt>
                <c:pt idx="237">
                  <c:v>44907</c:v>
                </c:pt>
                <c:pt idx="238">
                  <c:v>44908</c:v>
                </c:pt>
                <c:pt idx="239">
                  <c:v>44909</c:v>
                </c:pt>
                <c:pt idx="240">
                  <c:v>44910</c:v>
                </c:pt>
                <c:pt idx="241">
                  <c:v>44911</c:v>
                </c:pt>
                <c:pt idx="242">
                  <c:v>44914</c:v>
                </c:pt>
                <c:pt idx="243">
                  <c:v>44915</c:v>
                </c:pt>
                <c:pt idx="244">
                  <c:v>44916</c:v>
                </c:pt>
                <c:pt idx="245">
                  <c:v>44917</c:v>
                </c:pt>
                <c:pt idx="246">
                  <c:v>44918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44925</c:v>
                </c:pt>
                <c:pt idx="251">
                  <c:v>44929</c:v>
                </c:pt>
                <c:pt idx="252">
                  <c:v>44930</c:v>
                </c:pt>
                <c:pt idx="253">
                  <c:v>44931</c:v>
                </c:pt>
                <c:pt idx="254">
                  <c:v>44932</c:v>
                </c:pt>
                <c:pt idx="255">
                  <c:v>44935</c:v>
                </c:pt>
                <c:pt idx="256">
                  <c:v>44936</c:v>
                </c:pt>
                <c:pt idx="257">
                  <c:v>44937</c:v>
                </c:pt>
                <c:pt idx="258">
                  <c:v>44938</c:v>
                </c:pt>
                <c:pt idx="259">
                  <c:v>44939</c:v>
                </c:pt>
                <c:pt idx="260">
                  <c:v>44943</c:v>
                </c:pt>
                <c:pt idx="261">
                  <c:v>44944</c:v>
                </c:pt>
                <c:pt idx="262">
                  <c:v>44945</c:v>
                </c:pt>
                <c:pt idx="263">
                  <c:v>44946</c:v>
                </c:pt>
                <c:pt idx="264">
                  <c:v>44949</c:v>
                </c:pt>
                <c:pt idx="265">
                  <c:v>44950</c:v>
                </c:pt>
                <c:pt idx="266">
                  <c:v>44951</c:v>
                </c:pt>
                <c:pt idx="267">
                  <c:v>44952</c:v>
                </c:pt>
                <c:pt idx="268">
                  <c:v>44953</c:v>
                </c:pt>
                <c:pt idx="269">
                  <c:v>44956</c:v>
                </c:pt>
                <c:pt idx="270">
                  <c:v>44957</c:v>
                </c:pt>
                <c:pt idx="271">
                  <c:v>44958</c:v>
                </c:pt>
                <c:pt idx="272">
                  <c:v>44959</c:v>
                </c:pt>
                <c:pt idx="273">
                  <c:v>44960</c:v>
                </c:pt>
                <c:pt idx="274">
                  <c:v>44963</c:v>
                </c:pt>
                <c:pt idx="275">
                  <c:v>44964</c:v>
                </c:pt>
                <c:pt idx="276">
                  <c:v>44965</c:v>
                </c:pt>
                <c:pt idx="277">
                  <c:v>44966</c:v>
                </c:pt>
                <c:pt idx="278">
                  <c:v>44967</c:v>
                </c:pt>
                <c:pt idx="279">
                  <c:v>44970</c:v>
                </c:pt>
                <c:pt idx="280">
                  <c:v>44971</c:v>
                </c:pt>
                <c:pt idx="281">
                  <c:v>44972</c:v>
                </c:pt>
                <c:pt idx="282">
                  <c:v>44973</c:v>
                </c:pt>
                <c:pt idx="283">
                  <c:v>44974</c:v>
                </c:pt>
                <c:pt idx="284">
                  <c:v>44978</c:v>
                </c:pt>
                <c:pt idx="285">
                  <c:v>44979</c:v>
                </c:pt>
                <c:pt idx="286">
                  <c:v>44980</c:v>
                </c:pt>
                <c:pt idx="287">
                  <c:v>44981</c:v>
                </c:pt>
                <c:pt idx="288">
                  <c:v>44984</c:v>
                </c:pt>
                <c:pt idx="289">
                  <c:v>44985</c:v>
                </c:pt>
                <c:pt idx="290">
                  <c:v>44986</c:v>
                </c:pt>
                <c:pt idx="291">
                  <c:v>44987</c:v>
                </c:pt>
                <c:pt idx="292">
                  <c:v>44988</c:v>
                </c:pt>
                <c:pt idx="293">
                  <c:v>44991</c:v>
                </c:pt>
                <c:pt idx="294">
                  <c:v>44992</c:v>
                </c:pt>
                <c:pt idx="295">
                  <c:v>44993</c:v>
                </c:pt>
                <c:pt idx="296">
                  <c:v>44994</c:v>
                </c:pt>
                <c:pt idx="297">
                  <c:v>44995</c:v>
                </c:pt>
                <c:pt idx="298">
                  <c:v>44998</c:v>
                </c:pt>
                <c:pt idx="299">
                  <c:v>44999</c:v>
                </c:pt>
                <c:pt idx="300">
                  <c:v>45000</c:v>
                </c:pt>
                <c:pt idx="301">
                  <c:v>45001</c:v>
                </c:pt>
                <c:pt idx="302">
                  <c:v>45002</c:v>
                </c:pt>
                <c:pt idx="303">
                  <c:v>45005</c:v>
                </c:pt>
                <c:pt idx="304">
                  <c:v>45006</c:v>
                </c:pt>
                <c:pt idx="305">
                  <c:v>45007</c:v>
                </c:pt>
                <c:pt idx="306">
                  <c:v>45008</c:v>
                </c:pt>
                <c:pt idx="307">
                  <c:v>45009</c:v>
                </c:pt>
                <c:pt idx="308">
                  <c:v>45012</c:v>
                </c:pt>
                <c:pt idx="309">
                  <c:v>45013</c:v>
                </c:pt>
                <c:pt idx="310">
                  <c:v>45014</c:v>
                </c:pt>
                <c:pt idx="311">
                  <c:v>45015</c:v>
                </c:pt>
                <c:pt idx="312">
                  <c:v>45016</c:v>
                </c:pt>
                <c:pt idx="313">
                  <c:v>45019</c:v>
                </c:pt>
                <c:pt idx="314">
                  <c:v>45020</c:v>
                </c:pt>
                <c:pt idx="315">
                  <c:v>45021</c:v>
                </c:pt>
                <c:pt idx="316">
                  <c:v>45022</c:v>
                </c:pt>
                <c:pt idx="317">
                  <c:v>45026</c:v>
                </c:pt>
                <c:pt idx="318">
                  <c:v>45027</c:v>
                </c:pt>
                <c:pt idx="319">
                  <c:v>45028</c:v>
                </c:pt>
                <c:pt idx="320">
                  <c:v>45029</c:v>
                </c:pt>
                <c:pt idx="321">
                  <c:v>45030</c:v>
                </c:pt>
                <c:pt idx="322">
                  <c:v>45033</c:v>
                </c:pt>
                <c:pt idx="323">
                  <c:v>45034</c:v>
                </c:pt>
                <c:pt idx="324">
                  <c:v>45035</c:v>
                </c:pt>
                <c:pt idx="325">
                  <c:v>45036</c:v>
                </c:pt>
                <c:pt idx="326">
                  <c:v>45037</c:v>
                </c:pt>
                <c:pt idx="327">
                  <c:v>45040</c:v>
                </c:pt>
                <c:pt idx="328">
                  <c:v>45041</c:v>
                </c:pt>
                <c:pt idx="329">
                  <c:v>45042</c:v>
                </c:pt>
                <c:pt idx="330">
                  <c:v>45043</c:v>
                </c:pt>
                <c:pt idx="331">
                  <c:v>45044</c:v>
                </c:pt>
                <c:pt idx="332">
                  <c:v>45047</c:v>
                </c:pt>
                <c:pt idx="333">
                  <c:v>45048</c:v>
                </c:pt>
                <c:pt idx="334">
                  <c:v>45049</c:v>
                </c:pt>
                <c:pt idx="335">
                  <c:v>45050</c:v>
                </c:pt>
                <c:pt idx="336">
                  <c:v>45051</c:v>
                </c:pt>
                <c:pt idx="337">
                  <c:v>45054</c:v>
                </c:pt>
                <c:pt idx="338">
                  <c:v>45055</c:v>
                </c:pt>
                <c:pt idx="339">
                  <c:v>45056</c:v>
                </c:pt>
                <c:pt idx="340">
                  <c:v>45057</c:v>
                </c:pt>
                <c:pt idx="341">
                  <c:v>45058</c:v>
                </c:pt>
                <c:pt idx="342">
                  <c:v>45061</c:v>
                </c:pt>
                <c:pt idx="343">
                  <c:v>45062</c:v>
                </c:pt>
                <c:pt idx="344">
                  <c:v>45063</c:v>
                </c:pt>
                <c:pt idx="345">
                  <c:v>45064</c:v>
                </c:pt>
                <c:pt idx="346">
                  <c:v>45065</c:v>
                </c:pt>
                <c:pt idx="347">
                  <c:v>45068</c:v>
                </c:pt>
                <c:pt idx="348">
                  <c:v>45069</c:v>
                </c:pt>
                <c:pt idx="349">
                  <c:v>45070</c:v>
                </c:pt>
                <c:pt idx="350">
                  <c:v>45071</c:v>
                </c:pt>
                <c:pt idx="351">
                  <c:v>45072</c:v>
                </c:pt>
                <c:pt idx="352">
                  <c:v>45076</c:v>
                </c:pt>
                <c:pt idx="353">
                  <c:v>45077</c:v>
                </c:pt>
                <c:pt idx="354">
                  <c:v>45078</c:v>
                </c:pt>
                <c:pt idx="355">
                  <c:v>45079</c:v>
                </c:pt>
                <c:pt idx="356">
                  <c:v>45082</c:v>
                </c:pt>
                <c:pt idx="357">
                  <c:v>45083</c:v>
                </c:pt>
                <c:pt idx="358">
                  <c:v>45084</c:v>
                </c:pt>
                <c:pt idx="359">
                  <c:v>45085</c:v>
                </c:pt>
                <c:pt idx="360">
                  <c:v>45086</c:v>
                </c:pt>
                <c:pt idx="361">
                  <c:v>45089</c:v>
                </c:pt>
                <c:pt idx="362">
                  <c:v>45090</c:v>
                </c:pt>
                <c:pt idx="363">
                  <c:v>45091</c:v>
                </c:pt>
                <c:pt idx="364">
                  <c:v>45092</c:v>
                </c:pt>
                <c:pt idx="365">
                  <c:v>45093</c:v>
                </c:pt>
                <c:pt idx="366">
                  <c:v>45097</c:v>
                </c:pt>
                <c:pt idx="367">
                  <c:v>45098</c:v>
                </c:pt>
                <c:pt idx="368">
                  <c:v>45099</c:v>
                </c:pt>
                <c:pt idx="369">
                  <c:v>45100</c:v>
                </c:pt>
                <c:pt idx="370">
                  <c:v>45103</c:v>
                </c:pt>
                <c:pt idx="371">
                  <c:v>45104</c:v>
                </c:pt>
                <c:pt idx="372">
                  <c:v>45105</c:v>
                </c:pt>
                <c:pt idx="373">
                  <c:v>45106</c:v>
                </c:pt>
                <c:pt idx="374">
                  <c:v>45107</c:v>
                </c:pt>
                <c:pt idx="375">
                  <c:v>45110</c:v>
                </c:pt>
                <c:pt idx="376">
                  <c:v>45112</c:v>
                </c:pt>
                <c:pt idx="377">
                  <c:v>45113</c:v>
                </c:pt>
                <c:pt idx="378">
                  <c:v>45114</c:v>
                </c:pt>
                <c:pt idx="379">
                  <c:v>45117</c:v>
                </c:pt>
                <c:pt idx="380">
                  <c:v>45118</c:v>
                </c:pt>
                <c:pt idx="381">
                  <c:v>45119</c:v>
                </c:pt>
                <c:pt idx="382">
                  <c:v>45120</c:v>
                </c:pt>
                <c:pt idx="383">
                  <c:v>45121</c:v>
                </c:pt>
                <c:pt idx="384">
                  <c:v>45124</c:v>
                </c:pt>
                <c:pt idx="385">
                  <c:v>45125</c:v>
                </c:pt>
                <c:pt idx="386">
                  <c:v>45126</c:v>
                </c:pt>
                <c:pt idx="387">
                  <c:v>45127</c:v>
                </c:pt>
                <c:pt idx="388">
                  <c:v>45128</c:v>
                </c:pt>
                <c:pt idx="389">
                  <c:v>45131</c:v>
                </c:pt>
                <c:pt idx="390">
                  <c:v>45132</c:v>
                </c:pt>
                <c:pt idx="391">
                  <c:v>45133</c:v>
                </c:pt>
                <c:pt idx="392">
                  <c:v>45134</c:v>
                </c:pt>
                <c:pt idx="393">
                  <c:v>45135</c:v>
                </c:pt>
                <c:pt idx="394">
                  <c:v>45138</c:v>
                </c:pt>
                <c:pt idx="395">
                  <c:v>45139</c:v>
                </c:pt>
                <c:pt idx="396">
                  <c:v>45140</c:v>
                </c:pt>
                <c:pt idx="397">
                  <c:v>45141</c:v>
                </c:pt>
                <c:pt idx="398">
                  <c:v>45142</c:v>
                </c:pt>
                <c:pt idx="399">
                  <c:v>45145</c:v>
                </c:pt>
                <c:pt idx="400">
                  <c:v>45146</c:v>
                </c:pt>
                <c:pt idx="401">
                  <c:v>45147</c:v>
                </c:pt>
                <c:pt idx="402">
                  <c:v>45148</c:v>
                </c:pt>
                <c:pt idx="403">
                  <c:v>45149</c:v>
                </c:pt>
                <c:pt idx="404">
                  <c:v>45152</c:v>
                </c:pt>
                <c:pt idx="405">
                  <c:v>45153</c:v>
                </c:pt>
                <c:pt idx="406">
                  <c:v>45154</c:v>
                </c:pt>
                <c:pt idx="407">
                  <c:v>45155</c:v>
                </c:pt>
                <c:pt idx="408">
                  <c:v>45156</c:v>
                </c:pt>
                <c:pt idx="409">
                  <c:v>45159</c:v>
                </c:pt>
                <c:pt idx="410">
                  <c:v>45160</c:v>
                </c:pt>
                <c:pt idx="411">
                  <c:v>45161</c:v>
                </c:pt>
                <c:pt idx="412">
                  <c:v>45162</c:v>
                </c:pt>
                <c:pt idx="413">
                  <c:v>45163</c:v>
                </c:pt>
                <c:pt idx="414">
                  <c:v>45166</c:v>
                </c:pt>
                <c:pt idx="415">
                  <c:v>45167</c:v>
                </c:pt>
                <c:pt idx="416">
                  <c:v>45168</c:v>
                </c:pt>
                <c:pt idx="417">
                  <c:v>45169</c:v>
                </c:pt>
                <c:pt idx="418">
                  <c:v>45170</c:v>
                </c:pt>
                <c:pt idx="419">
                  <c:v>45174</c:v>
                </c:pt>
                <c:pt idx="420">
                  <c:v>45175</c:v>
                </c:pt>
                <c:pt idx="421">
                  <c:v>45176</c:v>
                </c:pt>
                <c:pt idx="422">
                  <c:v>45177</c:v>
                </c:pt>
                <c:pt idx="423">
                  <c:v>45180</c:v>
                </c:pt>
                <c:pt idx="424">
                  <c:v>45181</c:v>
                </c:pt>
                <c:pt idx="425">
                  <c:v>45182</c:v>
                </c:pt>
                <c:pt idx="426">
                  <c:v>45183</c:v>
                </c:pt>
                <c:pt idx="427">
                  <c:v>45184</c:v>
                </c:pt>
                <c:pt idx="428">
                  <c:v>45187</c:v>
                </c:pt>
                <c:pt idx="429">
                  <c:v>45188</c:v>
                </c:pt>
                <c:pt idx="430">
                  <c:v>45189</c:v>
                </c:pt>
                <c:pt idx="431">
                  <c:v>45190</c:v>
                </c:pt>
                <c:pt idx="432">
                  <c:v>45191</c:v>
                </c:pt>
                <c:pt idx="433">
                  <c:v>45194</c:v>
                </c:pt>
                <c:pt idx="434">
                  <c:v>45195</c:v>
                </c:pt>
                <c:pt idx="435">
                  <c:v>45196</c:v>
                </c:pt>
                <c:pt idx="436">
                  <c:v>45197</c:v>
                </c:pt>
                <c:pt idx="437">
                  <c:v>45198</c:v>
                </c:pt>
                <c:pt idx="438">
                  <c:v>45201</c:v>
                </c:pt>
                <c:pt idx="439">
                  <c:v>45202</c:v>
                </c:pt>
                <c:pt idx="440">
                  <c:v>45203</c:v>
                </c:pt>
                <c:pt idx="441">
                  <c:v>45204</c:v>
                </c:pt>
                <c:pt idx="442">
                  <c:v>45205</c:v>
                </c:pt>
                <c:pt idx="443">
                  <c:v>45208</c:v>
                </c:pt>
                <c:pt idx="444">
                  <c:v>45209</c:v>
                </c:pt>
                <c:pt idx="445">
                  <c:v>45210</c:v>
                </c:pt>
                <c:pt idx="446">
                  <c:v>45211</c:v>
                </c:pt>
                <c:pt idx="447">
                  <c:v>45212</c:v>
                </c:pt>
                <c:pt idx="448">
                  <c:v>45215</c:v>
                </c:pt>
                <c:pt idx="449">
                  <c:v>45216</c:v>
                </c:pt>
                <c:pt idx="450">
                  <c:v>45217</c:v>
                </c:pt>
                <c:pt idx="451">
                  <c:v>45218</c:v>
                </c:pt>
                <c:pt idx="452">
                  <c:v>45219</c:v>
                </c:pt>
                <c:pt idx="453">
                  <c:v>45222</c:v>
                </c:pt>
                <c:pt idx="454">
                  <c:v>45223</c:v>
                </c:pt>
                <c:pt idx="455">
                  <c:v>45224</c:v>
                </c:pt>
                <c:pt idx="456">
                  <c:v>45225</c:v>
                </c:pt>
                <c:pt idx="457">
                  <c:v>45226</c:v>
                </c:pt>
                <c:pt idx="458">
                  <c:v>45229</c:v>
                </c:pt>
                <c:pt idx="459">
                  <c:v>45230</c:v>
                </c:pt>
                <c:pt idx="460">
                  <c:v>45231</c:v>
                </c:pt>
                <c:pt idx="461">
                  <c:v>45232</c:v>
                </c:pt>
                <c:pt idx="462">
                  <c:v>45233</c:v>
                </c:pt>
                <c:pt idx="463">
                  <c:v>45236</c:v>
                </c:pt>
                <c:pt idx="464">
                  <c:v>45237</c:v>
                </c:pt>
                <c:pt idx="465">
                  <c:v>45238</c:v>
                </c:pt>
                <c:pt idx="466">
                  <c:v>45239</c:v>
                </c:pt>
                <c:pt idx="467">
                  <c:v>45240</c:v>
                </c:pt>
                <c:pt idx="468">
                  <c:v>45243</c:v>
                </c:pt>
                <c:pt idx="469">
                  <c:v>45244</c:v>
                </c:pt>
                <c:pt idx="470">
                  <c:v>45245</c:v>
                </c:pt>
                <c:pt idx="471">
                  <c:v>45246</c:v>
                </c:pt>
                <c:pt idx="472">
                  <c:v>45247</c:v>
                </c:pt>
                <c:pt idx="473">
                  <c:v>45250</c:v>
                </c:pt>
                <c:pt idx="474">
                  <c:v>45251</c:v>
                </c:pt>
                <c:pt idx="475">
                  <c:v>45252</c:v>
                </c:pt>
                <c:pt idx="476">
                  <c:v>45254</c:v>
                </c:pt>
                <c:pt idx="477">
                  <c:v>45257</c:v>
                </c:pt>
                <c:pt idx="478">
                  <c:v>45258</c:v>
                </c:pt>
                <c:pt idx="479">
                  <c:v>45259</c:v>
                </c:pt>
                <c:pt idx="480">
                  <c:v>45260</c:v>
                </c:pt>
                <c:pt idx="481">
                  <c:v>45261</c:v>
                </c:pt>
                <c:pt idx="482">
                  <c:v>45264</c:v>
                </c:pt>
                <c:pt idx="483">
                  <c:v>45265</c:v>
                </c:pt>
                <c:pt idx="484">
                  <c:v>45266</c:v>
                </c:pt>
                <c:pt idx="485">
                  <c:v>45267</c:v>
                </c:pt>
                <c:pt idx="486">
                  <c:v>45268</c:v>
                </c:pt>
                <c:pt idx="487">
                  <c:v>45271</c:v>
                </c:pt>
                <c:pt idx="488">
                  <c:v>45272</c:v>
                </c:pt>
                <c:pt idx="489">
                  <c:v>45273</c:v>
                </c:pt>
                <c:pt idx="490">
                  <c:v>45274</c:v>
                </c:pt>
                <c:pt idx="491">
                  <c:v>45275</c:v>
                </c:pt>
                <c:pt idx="492">
                  <c:v>45278</c:v>
                </c:pt>
                <c:pt idx="493">
                  <c:v>45279</c:v>
                </c:pt>
                <c:pt idx="494">
                  <c:v>45280</c:v>
                </c:pt>
                <c:pt idx="495">
                  <c:v>45281</c:v>
                </c:pt>
                <c:pt idx="496">
                  <c:v>45282</c:v>
                </c:pt>
                <c:pt idx="497">
                  <c:v>45286</c:v>
                </c:pt>
                <c:pt idx="498">
                  <c:v>45287</c:v>
                </c:pt>
                <c:pt idx="499">
                  <c:v>45288</c:v>
                </c:pt>
                <c:pt idx="500">
                  <c:v>45289</c:v>
                </c:pt>
                <c:pt idx="501">
                  <c:v>45293</c:v>
                </c:pt>
                <c:pt idx="502">
                  <c:v>45294</c:v>
                </c:pt>
                <c:pt idx="503">
                  <c:v>45295</c:v>
                </c:pt>
                <c:pt idx="504">
                  <c:v>45296</c:v>
                </c:pt>
                <c:pt idx="505">
                  <c:v>45299</c:v>
                </c:pt>
                <c:pt idx="506">
                  <c:v>45300</c:v>
                </c:pt>
                <c:pt idx="507">
                  <c:v>45301</c:v>
                </c:pt>
                <c:pt idx="508">
                  <c:v>45302</c:v>
                </c:pt>
                <c:pt idx="509">
                  <c:v>45303</c:v>
                </c:pt>
                <c:pt idx="510">
                  <c:v>45307</c:v>
                </c:pt>
                <c:pt idx="511">
                  <c:v>45308</c:v>
                </c:pt>
                <c:pt idx="512">
                  <c:v>45309</c:v>
                </c:pt>
                <c:pt idx="513">
                  <c:v>45310</c:v>
                </c:pt>
                <c:pt idx="514">
                  <c:v>45313</c:v>
                </c:pt>
                <c:pt idx="515">
                  <c:v>45314</c:v>
                </c:pt>
                <c:pt idx="516">
                  <c:v>45315</c:v>
                </c:pt>
                <c:pt idx="517">
                  <c:v>45316</c:v>
                </c:pt>
                <c:pt idx="518">
                  <c:v>45317</c:v>
                </c:pt>
                <c:pt idx="519">
                  <c:v>45320</c:v>
                </c:pt>
                <c:pt idx="520">
                  <c:v>45321</c:v>
                </c:pt>
                <c:pt idx="521">
                  <c:v>45322</c:v>
                </c:pt>
                <c:pt idx="522">
                  <c:v>45323</c:v>
                </c:pt>
                <c:pt idx="523">
                  <c:v>45324</c:v>
                </c:pt>
                <c:pt idx="524">
                  <c:v>45327</c:v>
                </c:pt>
                <c:pt idx="525">
                  <c:v>45328</c:v>
                </c:pt>
                <c:pt idx="526">
                  <c:v>45329</c:v>
                </c:pt>
                <c:pt idx="527">
                  <c:v>45330</c:v>
                </c:pt>
                <c:pt idx="528">
                  <c:v>45331</c:v>
                </c:pt>
                <c:pt idx="529">
                  <c:v>45334</c:v>
                </c:pt>
                <c:pt idx="530">
                  <c:v>45335</c:v>
                </c:pt>
                <c:pt idx="531">
                  <c:v>45336</c:v>
                </c:pt>
                <c:pt idx="532">
                  <c:v>45337</c:v>
                </c:pt>
                <c:pt idx="533">
                  <c:v>45338</c:v>
                </c:pt>
                <c:pt idx="534">
                  <c:v>45342</c:v>
                </c:pt>
                <c:pt idx="535">
                  <c:v>45343</c:v>
                </c:pt>
                <c:pt idx="536">
                  <c:v>45344</c:v>
                </c:pt>
                <c:pt idx="537">
                  <c:v>45345</c:v>
                </c:pt>
                <c:pt idx="538">
                  <c:v>45348</c:v>
                </c:pt>
                <c:pt idx="539">
                  <c:v>45349</c:v>
                </c:pt>
                <c:pt idx="540">
                  <c:v>45350</c:v>
                </c:pt>
                <c:pt idx="541">
                  <c:v>45351</c:v>
                </c:pt>
                <c:pt idx="542">
                  <c:v>45352</c:v>
                </c:pt>
                <c:pt idx="543">
                  <c:v>45355</c:v>
                </c:pt>
                <c:pt idx="544">
                  <c:v>45356</c:v>
                </c:pt>
                <c:pt idx="545">
                  <c:v>45357</c:v>
                </c:pt>
                <c:pt idx="546">
                  <c:v>45358</c:v>
                </c:pt>
                <c:pt idx="547">
                  <c:v>45359</c:v>
                </c:pt>
                <c:pt idx="548">
                  <c:v>45362</c:v>
                </c:pt>
                <c:pt idx="549">
                  <c:v>45363</c:v>
                </c:pt>
                <c:pt idx="550">
                  <c:v>45364</c:v>
                </c:pt>
                <c:pt idx="551">
                  <c:v>45365</c:v>
                </c:pt>
                <c:pt idx="552">
                  <c:v>45366</c:v>
                </c:pt>
                <c:pt idx="553">
                  <c:v>45369</c:v>
                </c:pt>
                <c:pt idx="554">
                  <c:v>45370</c:v>
                </c:pt>
                <c:pt idx="555">
                  <c:v>45371</c:v>
                </c:pt>
                <c:pt idx="556">
                  <c:v>45372</c:v>
                </c:pt>
                <c:pt idx="557">
                  <c:v>45373</c:v>
                </c:pt>
                <c:pt idx="558">
                  <c:v>45376</c:v>
                </c:pt>
                <c:pt idx="559">
                  <c:v>45377</c:v>
                </c:pt>
                <c:pt idx="560">
                  <c:v>45378</c:v>
                </c:pt>
                <c:pt idx="561">
                  <c:v>45379</c:v>
                </c:pt>
                <c:pt idx="562">
                  <c:v>45383</c:v>
                </c:pt>
                <c:pt idx="563">
                  <c:v>45384</c:v>
                </c:pt>
                <c:pt idx="564">
                  <c:v>45385</c:v>
                </c:pt>
                <c:pt idx="565">
                  <c:v>45386</c:v>
                </c:pt>
                <c:pt idx="566">
                  <c:v>45387</c:v>
                </c:pt>
                <c:pt idx="567">
                  <c:v>45390</c:v>
                </c:pt>
                <c:pt idx="568">
                  <c:v>45391</c:v>
                </c:pt>
                <c:pt idx="569">
                  <c:v>45392</c:v>
                </c:pt>
                <c:pt idx="570">
                  <c:v>45393</c:v>
                </c:pt>
                <c:pt idx="571">
                  <c:v>45394</c:v>
                </c:pt>
                <c:pt idx="572">
                  <c:v>45397</c:v>
                </c:pt>
                <c:pt idx="573">
                  <c:v>45398</c:v>
                </c:pt>
                <c:pt idx="574">
                  <c:v>45399</c:v>
                </c:pt>
                <c:pt idx="575">
                  <c:v>45400</c:v>
                </c:pt>
                <c:pt idx="576">
                  <c:v>45401</c:v>
                </c:pt>
                <c:pt idx="577">
                  <c:v>45404</c:v>
                </c:pt>
                <c:pt idx="578">
                  <c:v>45405</c:v>
                </c:pt>
                <c:pt idx="579">
                  <c:v>45406</c:v>
                </c:pt>
                <c:pt idx="580">
                  <c:v>45407</c:v>
                </c:pt>
                <c:pt idx="581">
                  <c:v>45408</c:v>
                </c:pt>
                <c:pt idx="582">
                  <c:v>45411</c:v>
                </c:pt>
                <c:pt idx="583">
                  <c:v>45412</c:v>
                </c:pt>
                <c:pt idx="584">
                  <c:v>45413</c:v>
                </c:pt>
                <c:pt idx="585">
                  <c:v>45414</c:v>
                </c:pt>
                <c:pt idx="586">
                  <c:v>45415</c:v>
                </c:pt>
                <c:pt idx="587">
                  <c:v>45418</c:v>
                </c:pt>
                <c:pt idx="588">
                  <c:v>45419</c:v>
                </c:pt>
                <c:pt idx="589">
                  <c:v>45420</c:v>
                </c:pt>
                <c:pt idx="590">
                  <c:v>45421</c:v>
                </c:pt>
                <c:pt idx="591">
                  <c:v>45422</c:v>
                </c:pt>
                <c:pt idx="592">
                  <c:v>45425</c:v>
                </c:pt>
                <c:pt idx="593">
                  <c:v>45426</c:v>
                </c:pt>
                <c:pt idx="594">
                  <c:v>45427</c:v>
                </c:pt>
                <c:pt idx="595">
                  <c:v>45428</c:v>
                </c:pt>
                <c:pt idx="596">
                  <c:v>45429</c:v>
                </c:pt>
                <c:pt idx="597">
                  <c:v>45432</c:v>
                </c:pt>
                <c:pt idx="598">
                  <c:v>45433</c:v>
                </c:pt>
                <c:pt idx="599">
                  <c:v>45434</c:v>
                </c:pt>
                <c:pt idx="600">
                  <c:v>45435</c:v>
                </c:pt>
                <c:pt idx="601">
                  <c:v>45436</c:v>
                </c:pt>
                <c:pt idx="602">
                  <c:v>45440</c:v>
                </c:pt>
                <c:pt idx="603">
                  <c:v>45441</c:v>
                </c:pt>
                <c:pt idx="604">
                  <c:v>45442</c:v>
                </c:pt>
                <c:pt idx="605">
                  <c:v>45443</c:v>
                </c:pt>
                <c:pt idx="606">
                  <c:v>45446</c:v>
                </c:pt>
                <c:pt idx="607">
                  <c:v>45447</c:v>
                </c:pt>
                <c:pt idx="608">
                  <c:v>45448</c:v>
                </c:pt>
                <c:pt idx="609">
                  <c:v>45449</c:v>
                </c:pt>
                <c:pt idx="610">
                  <c:v>45450</c:v>
                </c:pt>
                <c:pt idx="611">
                  <c:v>45453</c:v>
                </c:pt>
                <c:pt idx="612">
                  <c:v>45454</c:v>
                </c:pt>
                <c:pt idx="613">
                  <c:v>45455</c:v>
                </c:pt>
                <c:pt idx="614">
                  <c:v>45456</c:v>
                </c:pt>
                <c:pt idx="615">
                  <c:v>45457</c:v>
                </c:pt>
                <c:pt idx="616">
                  <c:v>45460</c:v>
                </c:pt>
                <c:pt idx="617">
                  <c:v>45461</c:v>
                </c:pt>
                <c:pt idx="618">
                  <c:v>45463</c:v>
                </c:pt>
                <c:pt idx="619">
                  <c:v>45464</c:v>
                </c:pt>
                <c:pt idx="620">
                  <c:v>45467</c:v>
                </c:pt>
                <c:pt idx="621">
                  <c:v>45468</c:v>
                </c:pt>
                <c:pt idx="622">
                  <c:v>45469</c:v>
                </c:pt>
                <c:pt idx="623">
                  <c:v>45470</c:v>
                </c:pt>
                <c:pt idx="624">
                  <c:v>45471</c:v>
                </c:pt>
                <c:pt idx="625">
                  <c:v>45474</c:v>
                </c:pt>
                <c:pt idx="626">
                  <c:v>45475</c:v>
                </c:pt>
                <c:pt idx="627">
                  <c:v>45476</c:v>
                </c:pt>
                <c:pt idx="628">
                  <c:v>45478</c:v>
                </c:pt>
                <c:pt idx="629">
                  <c:v>45481</c:v>
                </c:pt>
                <c:pt idx="630">
                  <c:v>45482</c:v>
                </c:pt>
                <c:pt idx="631">
                  <c:v>45483</c:v>
                </c:pt>
                <c:pt idx="632">
                  <c:v>45484</c:v>
                </c:pt>
                <c:pt idx="633">
                  <c:v>45485</c:v>
                </c:pt>
                <c:pt idx="634">
                  <c:v>45488</c:v>
                </c:pt>
                <c:pt idx="635">
                  <c:v>45489</c:v>
                </c:pt>
                <c:pt idx="636">
                  <c:v>45490</c:v>
                </c:pt>
                <c:pt idx="637">
                  <c:v>45491</c:v>
                </c:pt>
                <c:pt idx="638">
                  <c:v>45492</c:v>
                </c:pt>
                <c:pt idx="639">
                  <c:v>45495</c:v>
                </c:pt>
                <c:pt idx="640">
                  <c:v>45496</c:v>
                </c:pt>
                <c:pt idx="641">
                  <c:v>45497</c:v>
                </c:pt>
                <c:pt idx="642">
                  <c:v>45498</c:v>
                </c:pt>
                <c:pt idx="643">
                  <c:v>45499</c:v>
                </c:pt>
                <c:pt idx="644">
                  <c:v>45502</c:v>
                </c:pt>
                <c:pt idx="645">
                  <c:v>45503</c:v>
                </c:pt>
                <c:pt idx="646">
                  <c:v>45504</c:v>
                </c:pt>
                <c:pt idx="647">
                  <c:v>45505</c:v>
                </c:pt>
                <c:pt idx="648">
                  <c:v>45506</c:v>
                </c:pt>
                <c:pt idx="649">
                  <c:v>45509</c:v>
                </c:pt>
                <c:pt idx="650">
                  <c:v>45510</c:v>
                </c:pt>
                <c:pt idx="651">
                  <c:v>45511</c:v>
                </c:pt>
                <c:pt idx="652">
                  <c:v>45512</c:v>
                </c:pt>
                <c:pt idx="653">
                  <c:v>45513</c:v>
                </c:pt>
                <c:pt idx="654">
                  <c:v>45516</c:v>
                </c:pt>
                <c:pt idx="655">
                  <c:v>45517</c:v>
                </c:pt>
                <c:pt idx="656">
                  <c:v>45518</c:v>
                </c:pt>
                <c:pt idx="657">
                  <c:v>45519</c:v>
                </c:pt>
                <c:pt idx="658">
                  <c:v>45520</c:v>
                </c:pt>
                <c:pt idx="659">
                  <c:v>45523</c:v>
                </c:pt>
                <c:pt idx="660">
                  <c:v>45524</c:v>
                </c:pt>
                <c:pt idx="661">
                  <c:v>45525</c:v>
                </c:pt>
                <c:pt idx="662">
                  <c:v>45526</c:v>
                </c:pt>
                <c:pt idx="663">
                  <c:v>45527</c:v>
                </c:pt>
                <c:pt idx="664">
                  <c:v>45530</c:v>
                </c:pt>
                <c:pt idx="665">
                  <c:v>45531</c:v>
                </c:pt>
                <c:pt idx="666">
                  <c:v>45532</c:v>
                </c:pt>
                <c:pt idx="667">
                  <c:v>45533</c:v>
                </c:pt>
                <c:pt idx="668">
                  <c:v>45534</c:v>
                </c:pt>
                <c:pt idx="669">
                  <c:v>45538</c:v>
                </c:pt>
                <c:pt idx="670">
                  <c:v>45539</c:v>
                </c:pt>
                <c:pt idx="671">
                  <c:v>45540</c:v>
                </c:pt>
                <c:pt idx="672">
                  <c:v>45541</c:v>
                </c:pt>
                <c:pt idx="673">
                  <c:v>45544</c:v>
                </c:pt>
                <c:pt idx="674">
                  <c:v>45545</c:v>
                </c:pt>
                <c:pt idx="675">
                  <c:v>45546</c:v>
                </c:pt>
                <c:pt idx="676">
                  <c:v>45547</c:v>
                </c:pt>
                <c:pt idx="677">
                  <c:v>45548</c:v>
                </c:pt>
                <c:pt idx="678">
                  <c:v>45551</c:v>
                </c:pt>
                <c:pt idx="679">
                  <c:v>45552</c:v>
                </c:pt>
                <c:pt idx="680">
                  <c:v>45553</c:v>
                </c:pt>
                <c:pt idx="681">
                  <c:v>45554</c:v>
                </c:pt>
                <c:pt idx="682">
                  <c:v>45555</c:v>
                </c:pt>
                <c:pt idx="683">
                  <c:v>45558</c:v>
                </c:pt>
                <c:pt idx="684">
                  <c:v>45559</c:v>
                </c:pt>
                <c:pt idx="685">
                  <c:v>45560</c:v>
                </c:pt>
                <c:pt idx="686">
                  <c:v>45561</c:v>
                </c:pt>
                <c:pt idx="687">
                  <c:v>45562</c:v>
                </c:pt>
                <c:pt idx="688">
                  <c:v>45565</c:v>
                </c:pt>
                <c:pt idx="689">
                  <c:v>45566</c:v>
                </c:pt>
                <c:pt idx="690">
                  <c:v>45567</c:v>
                </c:pt>
                <c:pt idx="691">
                  <c:v>45568</c:v>
                </c:pt>
                <c:pt idx="692">
                  <c:v>45569</c:v>
                </c:pt>
                <c:pt idx="693">
                  <c:v>45572</c:v>
                </c:pt>
                <c:pt idx="694">
                  <c:v>45573</c:v>
                </c:pt>
                <c:pt idx="695">
                  <c:v>45574</c:v>
                </c:pt>
                <c:pt idx="696">
                  <c:v>45575</c:v>
                </c:pt>
                <c:pt idx="697">
                  <c:v>45576</c:v>
                </c:pt>
                <c:pt idx="698">
                  <c:v>45579</c:v>
                </c:pt>
                <c:pt idx="699">
                  <c:v>45580</c:v>
                </c:pt>
                <c:pt idx="700">
                  <c:v>45581</c:v>
                </c:pt>
                <c:pt idx="701">
                  <c:v>45582</c:v>
                </c:pt>
                <c:pt idx="702">
                  <c:v>45583</c:v>
                </c:pt>
                <c:pt idx="703">
                  <c:v>45586</c:v>
                </c:pt>
                <c:pt idx="704">
                  <c:v>45587</c:v>
                </c:pt>
                <c:pt idx="705">
                  <c:v>45588</c:v>
                </c:pt>
                <c:pt idx="706">
                  <c:v>45589</c:v>
                </c:pt>
                <c:pt idx="707">
                  <c:v>45590</c:v>
                </c:pt>
                <c:pt idx="708">
                  <c:v>45593</c:v>
                </c:pt>
                <c:pt idx="709">
                  <c:v>45594</c:v>
                </c:pt>
                <c:pt idx="710">
                  <c:v>45595</c:v>
                </c:pt>
                <c:pt idx="711">
                  <c:v>45596</c:v>
                </c:pt>
                <c:pt idx="712">
                  <c:v>45597</c:v>
                </c:pt>
                <c:pt idx="713">
                  <c:v>45600</c:v>
                </c:pt>
                <c:pt idx="714">
                  <c:v>45601</c:v>
                </c:pt>
                <c:pt idx="715">
                  <c:v>45602</c:v>
                </c:pt>
                <c:pt idx="716">
                  <c:v>45603</c:v>
                </c:pt>
                <c:pt idx="717">
                  <c:v>45604</c:v>
                </c:pt>
                <c:pt idx="718">
                  <c:v>45607</c:v>
                </c:pt>
                <c:pt idx="719">
                  <c:v>45608</c:v>
                </c:pt>
                <c:pt idx="720">
                  <c:v>45609</c:v>
                </c:pt>
                <c:pt idx="721">
                  <c:v>45610</c:v>
                </c:pt>
                <c:pt idx="722">
                  <c:v>45611</c:v>
                </c:pt>
                <c:pt idx="723">
                  <c:v>45614</c:v>
                </c:pt>
                <c:pt idx="724">
                  <c:v>45615</c:v>
                </c:pt>
                <c:pt idx="725">
                  <c:v>45616</c:v>
                </c:pt>
                <c:pt idx="726">
                  <c:v>45617</c:v>
                </c:pt>
                <c:pt idx="727">
                  <c:v>45618</c:v>
                </c:pt>
                <c:pt idx="728">
                  <c:v>45621</c:v>
                </c:pt>
                <c:pt idx="729">
                  <c:v>45622</c:v>
                </c:pt>
                <c:pt idx="730">
                  <c:v>45623</c:v>
                </c:pt>
                <c:pt idx="731">
                  <c:v>45625</c:v>
                </c:pt>
                <c:pt idx="732">
                  <c:v>45628</c:v>
                </c:pt>
                <c:pt idx="733">
                  <c:v>45629</c:v>
                </c:pt>
                <c:pt idx="734">
                  <c:v>45630</c:v>
                </c:pt>
                <c:pt idx="735">
                  <c:v>45631</c:v>
                </c:pt>
                <c:pt idx="736">
                  <c:v>45632</c:v>
                </c:pt>
                <c:pt idx="737">
                  <c:v>45635</c:v>
                </c:pt>
                <c:pt idx="738">
                  <c:v>45636</c:v>
                </c:pt>
                <c:pt idx="739">
                  <c:v>45637</c:v>
                </c:pt>
                <c:pt idx="740">
                  <c:v>45638</c:v>
                </c:pt>
                <c:pt idx="741">
                  <c:v>45639</c:v>
                </c:pt>
                <c:pt idx="742">
                  <c:v>45642</c:v>
                </c:pt>
                <c:pt idx="743">
                  <c:v>45643</c:v>
                </c:pt>
                <c:pt idx="744">
                  <c:v>45644</c:v>
                </c:pt>
                <c:pt idx="745">
                  <c:v>45645</c:v>
                </c:pt>
                <c:pt idx="746">
                  <c:v>45646</c:v>
                </c:pt>
                <c:pt idx="747">
                  <c:v>45649</c:v>
                </c:pt>
                <c:pt idx="748">
                  <c:v>45650</c:v>
                </c:pt>
                <c:pt idx="749">
                  <c:v>45652</c:v>
                </c:pt>
                <c:pt idx="750">
                  <c:v>45653</c:v>
                </c:pt>
                <c:pt idx="751">
                  <c:v>45656</c:v>
                </c:pt>
                <c:pt idx="752">
                  <c:v>45657</c:v>
                </c:pt>
                <c:pt idx="753">
                  <c:v>45659</c:v>
                </c:pt>
                <c:pt idx="754">
                  <c:v>45660</c:v>
                </c:pt>
                <c:pt idx="755">
                  <c:v>45663</c:v>
                </c:pt>
                <c:pt idx="756">
                  <c:v>45664</c:v>
                </c:pt>
                <c:pt idx="757">
                  <c:v>45665</c:v>
                </c:pt>
                <c:pt idx="758">
                  <c:v>45667</c:v>
                </c:pt>
                <c:pt idx="759">
                  <c:v>45670</c:v>
                </c:pt>
                <c:pt idx="760">
                  <c:v>45671</c:v>
                </c:pt>
                <c:pt idx="761">
                  <c:v>45672</c:v>
                </c:pt>
                <c:pt idx="762">
                  <c:v>45673</c:v>
                </c:pt>
                <c:pt idx="763">
                  <c:v>45674</c:v>
                </c:pt>
                <c:pt idx="764">
                  <c:v>45678</c:v>
                </c:pt>
                <c:pt idx="765">
                  <c:v>45679</c:v>
                </c:pt>
                <c:pt idx="766">
                  <c:v>45680</c:v>
                </c:pt>
                <c:pt idx="767">
                  <c:v>45681</c:v>
                </c:pt>
                <c:pt idx="768">
                  <c:v>45684</c:v>
                </c:pt>
                <c:pt idx="769">
                  <c:v>45685</c:v>
                </c:pt>
                <c:pt idx="770">
                  <c:v>45686</c:v>
                </c:pt>
                <c:pt idx="771">
                  <c:v>45687</c:v>
                </c:pt>
                <c:pt idx="772">
                  <c:v>45688</c:v>
                </c:pt>
                <c:pt idx="773">
                  <c:v>45691</c:v>
                </c:pt>
                <c:pt idx="774">
                  <c:v>45692</c:v>
                </c:pt>
                <c:pt idx="775">
                  <c:v>45693</c:v>
                </c:pt>
                <c:pt idx="776">
                  <c:v>45694</c:v>
                </c:pt>
                <c:pt idx="777">
                  <c:v>45695</c:v>
                </c:pt>
                <c:pt idx="778">
                  <c:v>45698</c:v>
                </c:pt>
                <c:pt idx="779">
                  <c:v>45699</c:v>
                </c:pt>
                <c:pt idx="780">
                  <c:v>45700</c:v>
                </c:pt>
                <c:pt idx="781">
                  <c:v>45701</c:v>
                </c:pt>
                <c:pt idx="782">
                  <c:v>45702</c:v>
                </c:pt>
                <c:pt idx="783">
                  <c:v>45706</c:v>
                </c:pt>
                <c:pt idx="784">
                  <c:v>45707</c:v>
                </c:pt>
                <c:pt idx="785">
                  <c:v>45708</c:v>
                </c:pt>
                <c:pt idx="786">
                  <c:v>45709</c:v>
                </c:pt>
                <c:pt idx="787">
                  <c:v>45712</c:v>
                </c:pt>
                <c:pt idx="788">
                  <c:v>45713</c:v>
                </c:pt>
                <c:pt idx="789">
                  <c:v>45714</c:v>
                </c:pt>
                <c:pt idx="790">
                  <c:v>45715</c:v>
                </c:pt>
                <c:pt idx="791">
                  <c:v>45716</c:v>
                </c:pt>
                <c:pt idx="792">
                  <c:v>45719</c:v>
                </c:pt>
                <c:pt idx="793">
                  <c:v>45720</c:v>
                </c:pt>
                <c:pt idx="794">
                  <c:v>45721</c:v>
                </c:pt>
                <c:pt idx="795">
                  <c:v>45722</c:v>
                </c:pt>
                <c:pt idx="796">
                  <c:v>45723</c:v>
                </c:pt>
                <c:pt idx="797">
                  <c:v>45726</c:v>
                </c:pt>
                <c:pt idx="798">
                  <c:v>45727</c:v>
                </c:pt>
                <c:pt idx="799">
                  <c:v>45728</c:v>
                </c:pt>
                <c:pt idx="800">
                  <c:v>45729</c:v>
                </c:pt>
                <c:pt idx="801">
                  <c:v>45730</c:v>
                </c:pt>
                <c:pt idx="802">
                  <c:v>45733</c:v>
                </c:pt>
                <c:pt idx="803">
                  <c:v>45734</c:v>
                </c:pt>
                <c:pt idx="804">
                  <c:v>45735</c:v>
                </c:pt>
                <c:pt idx="805">
                  <c:v>45736</c:v>
                </c:pt>
                <c:pt idx="806">
                  <c:v>45737</c:v>
                </c:pt>
                <c:pt idx="807">
                  <c:v>45740</c:v>
                </c:pt>
                <c:pt idx="808">
                  <c:v>45741</c:v>
                </c:pt>
                <c:pt idx="809">
                  <c:v>45742</c:v>
                </c:pt>
                <c:pt idx="810">
                  <c:v>45743</c:v>
                </c:pt>
                <c:pt idx="811">
                  <c:v>45744</c:v>
                </c:pt>
                <c:pt idx="812">
                  <c:v>45747</c:v>
                </c:pt>
                <c:pt idx="813">
                  <c:v>45748</c:v>
                </c:pt>
                <c:pt idx="814">
                  <c:v>45749</c:v>
                </c:pt>
                <c:pt idx="815">
                  <c:v>45750</c:v>
                </c:pt>
                <c:pt idx="816">
                  <c:v>45751</c:v>
                </c:pt>
                <c:pt idx="817">
                  <c:v>45754</c:v>
                </c:pt>
                <c:pt idx="818">
                  <c:v>45755</c:v>
                </c:pt>
                <c:pt idx="819">
                  <c:v>45756</c:v>
                </c:pt>
                <c:pt idx="820">
                  <c:v>45757</c:v>
                </c:pt>
                <c:pt idx="821">
                  <c:v>45758</c:v>
                </c:pt>
                <c:pt idx="822">
                  <c:v>45761</c:v>
                </c:pt>
                <c:pt idx="823">
                  <c:v>45762</c:v>
                </c:pt>
                <c:pt idx="824">
                  <c:v>45763</c:v>
                </c:pt>
                <c:pt idx="825">
                  <c:v>45764</c:v>
                </c:pt>
                <c:pt idx="826">
                  <c:v>45768</c:v>
                </c:pt>
                <c:pt idx="827">
                  <c:v>45769</c:v>
                </c:pt>
                <c:pt idx="828">
                  <c:v>45770</c:v>
                </c:pt>
                <c:pt idx="829">
                  <c:v>45771</c:v>
                </c:pt>
                <c:pt idx="830">
                  <c:v>45772</c:v>
                </c:pt>
                <c:pt idx="831">
                  <c:v>45775</c:v>
                </c:pt>
                <c:pt idx="832">
                  <c:v>45776</c:v>
                </c:pt>
                <c:pt idx="833">
                  <c:v>45777</c:v>
                </c:pt>
                <c:pt idx="834">
                  <c:v>45778</c:v>
                </c:pt>
                <c:pt idx="835">
                  <c:v>45779</c:v>
                </c:pt>
                <c:pt idx="836">
                  <c:v>45782</c:v>
                </c:pt>
                <c:pt idx="837">
                  <c:v>45783</c:v>
                </c:pt>
                <c:pt idx="838">
                  <c:v>45784</c:v>
                </c:pt>
                <c:pt idx="839">
                  <c:v>45785</c:v>
                </c:pt>
                <c:pt idx="840">
                  <c:v>45786</c:v>
                </c:pt>
                <c:pt idx="841">
                  <c:v>45789</c:v>
                </c:pt>
                <c:pt idx="842">
                  <c:v>45790</c:v>
                </c:pt>
                <c:pt idx="843">
                  <c:v>45791</c:v>
                </c:pt>
                <c:pt idx="844">
                  <c:v>45792</c:v>
                </c:pt>
                <c:pt idx="845">
                  <c:v>45793</c:v>
                </c:pt>
                <c:pt idx="846">
                  <c:v>45796</c:v>
                </c:pt>
                <c:pt idx="847">
                  <c:v>45797</c:v>
                </c:pt>
                <c:pt idx="848">
                  <c:v>45798</c:v>
                </c:pt>
                <c:pt idx="849">
                  <c:v>45799</c:v>
                </c:pt>
                <c:pt idx="850">
                  <c:v>45800</c:v>
                </c:pt>
                <c:pt idx="851">
                  <c:v>45804</c:v>
                </c:pt>
                <c:pt idx="852">
                  <c:v>45805</c:v>
                </c:pt>
                <c:pt idx="853">
                  <c:v>45806</c:v>
                </c:pt>
                <c:pt idx="854">
                  <c:v>45807</c:v>
                </c:pt>
                <c:pt idx="855">
                  <c:v>45810</c:v>
                </c:pt>
                <c:pt idx="856">
                  <c:v>45811</c:v>
                </c:pt>
                <c:pt idx="857">
                  <c:v>45812</c:v>
                </c:pt>
                <c:pt idx="858">
                  <c:v>45813</c:v>
                </c:pt>
                <c:pt idx="859">
                  <c:v>45814</c:v>
                </c:pt>
                <c:pt idx="860">
                  <c:v>45817</c:v>
                </c:pt>
                <c:pt idx="861">
                  <c:v>45818</c:v>
                </c:pt>
                <c:pt idx="862">
                  <c:v>45819</c:v>
                </c:pt>
                <c:pt idx="863">
                  <c:v>45820</c:v>
                </c:pt>
                <c:pt idx="864">
                  <c:v>45821</c:v>
                </c:pt>
                <c:pt idx="865">
                  <c:v>45824</c:v>
                </c:pt>
                <c:pt idx="866">
                  <c:v>45825</c:v>
                </c:pt>
                <c:pt idx="867">
                  <c:v>45826</c:v>
                </c:pt>
                <c:pt idx="868">
                  <c:v>45828</c:v>
                </c:pt>
                <c:pt idx="869">
                  <c:v>45831</c:v>
                </c:pt>
                <c:pt idx="870">
                  <c:v>45832</c:v>
                </c:pt>
                <c:pt idx="871">
                  <c:v>45833</c:v>
                </c:pt>
                <c:pt idx="872">
                  <c:v>45834</c:v>
                </c:pt>
                <c:pt idx="873">
                  <c:v>45835</c:v>
                </c:pt>
                <c:pt idx="874">
                  <c:v>45838</c:v>
                </c:pt>
                <c:pt idx="875">
                  <c:v>45839</c:v>
                </c:pt>
                <c:pt idx="876">
                  <c:v>45840</c:v>
                </c:pt>
                <c:pt idx="877">
                  <c:v>45841</c:v>
                </c:pt>
                <c:pt idx="878">
                  <c:v>45845</c:v>
                </c:pt>
                <c:pt idx="879">
                  <c:v>45846</c:v>
                </c:pt>
                <c:pt idx="880">
                  <c:v>45847</c:v>
                </c:pt>
                <c:pt idx="881">
                  <c:v>45848</c:v>
                </c:pt>
                <c:pt idx="882">
                  <c:v>45849</c:v>
                </c:pt>
                <c:pt idx="883">
                  <c:v>45852</c:v>
                </c:pt>
                <c:pt idx="884">
                  <c:v>45853</c:v>
                </c:pt>
                <c:pt idx="885">
                  <c:v>45854</c:v>
                </c:pt>
                <c:pt idx="886">
                  <c:v>45855</c:v>
                </c:pt>
                <c:pt idx="887">
                  <c:v>45856</c:v>
                </c:pt>
                <c:pt idx="888">
                  <c:v>45859</c:v>
                </c:pt>
                <c:pt idx="889">
                  <c:v>45860</c:v>
                </c:pt>
                <c:pt idx="890">
                  <c:v>45861</c:v>
                </c:pt>
                <c:pt idx="891">
                  <c:v>45862</c:v>
                </c:pt>
                <c:pt idx="892">
                  <c:v>45863</c:v>
                </c:pt>
                <c:pt idx="893">
                  <c:v>45866</c:v>
                </c:pt>
                <c:pt idx="894">
                  <c:v>45867</c:v>
                </c:pt>
                <c:pt idx="895">
                  <c:v>45868</c:v>
                </c:pt>
                <c:pt idx="896">
                  <c:v>45869</c:v>
                </c:pt>
                <c:pt idx="897">
                  <c:v>45870</c:v>
                </c:pt>
                <c:pt idx="898">
                  <c:v>45873</c:v>
                </c:pt>
                <c:pt idx="899">
                  <c:v>45874</c:v>
                </c:pt>
                <c:pt idx="900">
                  <c:v>45875</c:v>
                </c:pt>
                <c:pt idx="901">
                  <c:v>45876</c:v>
                </c:pt>
                <c:pt idx="902">
                  <c:v>45877</c:v>
                </c:pt>
                <c:pt idx="903">
                  <c:v>45880</c:v>
                </c:pt>
                <c:pt idx="904">
                  <c:v>45881</c:v>
                </c:pt>
                <c:pt idx="905">
                  <c:v>45882</c:v>
                </c:pt>
                <c:pt idx="906">
                  <c:v>45883</c:v>
                </c:pt>
                <c:pt idx="907">
                  <c:v>45884</c:v>
                </c:pt>
                <c:pt idx="908">
                  <c:v>45887</c:v>
                </c:pt>
                <c:pt idx="909">
                  <c:v>45888</c:v>
                </c:pt>
                <c:pt idx="910">
                  <c:v>45889</c:v>
                </c:pt>
                <c:pt idx="911">
                  <c:v>45890</c:v>
                </c:pt>
                <c:pt idx="912">
                  <c:v>45891</c:v>
                </c:pt>
                <c:pt idx="913">
                  <c:v>45894</c:v>
                </c:pt>
                <c:pt idx="914">
                  <c:v>45895</c:v>
                </c:pt>
                <c:pt idx="915">
                  <c:v>45896</c:v>
                </c:pt>
                <c:pt idx="916">
                  <c:v>45897</c:v>
                </c:pt>
                <c:pt idx="917">
                  <c:v>45898</c:v>
                </c:pt>
                <c:pt idx="918">
                  <c:v>45902</c:v>
                </c:pt>
                <c:pt idx="919">
                  <c:v>45903</c:v>
                </c:pt>
                <c:pt idx="920">
                  <c:v>45904</c:v>
                </c:pt>
                <c:pt idx="921">
                  <c:v>45905</c:v>
                </c:pt>
                <c:pt idx="922">
                  <c:v>45908</c:v>
                </c:pt>
                <c:pt idx="923">
                  <c:v>45909</c:v>
                </c:pt>
                <c:pt idx="924">
                  <c:v>45910</c:v>
                </c:pt>
                <c:pt idx="925">
                  <c:v>45911</c:v>
                </c:pt>
                <c:pt idx="926">
                  <c:v>45912</c:v>
                </c:pt>
                <c:pt idx="927">
                  <c:v>45915</c:v>
                </c:pt>
                <c:pt idx="928">
                  <c:v>45916</c:v>
                </c:pt>
                <c:pt idx="929">
                  <c:v>45917</c:v>
                </c:pt>
                <c:pt idx="930">
                  <c:v>45918</c:v>
                </c:pt>
                <c:pt idx="931">
                  <c:v>45919</c:v>
                </c:pt>
                <c:pt idx="932">
                  <c:v>45922</c:v>
                </c:pt>
                <c:pt idx="933">
                  <c:v>45923</c:v>
                </c:pt>
                <c:pt idx="934">
                  <c:v>45924</c:v>
                </c:pt>
                <c:pt idx="935">
                  <c:v>45925</c:v>
                </c:pt>
                <c:pt idx="936">
                  <c:v>45926</c:v>
                </c:pt>
                <c:pt idx="937">
                  <c:v>45929</c:v>
                </c:pt>
                <c:pt idx="938">
                  <c:v>45930</c:v>
                </c:pt>
                <c:pt idx="939">
                  <c:v>45931</c:v>
                </c:pt>
                <c:pt idx="940">
                  <c:v>45932</c:v>
                </c:pt>
                <c:pt idx="941">
                  <c:v>45933</c:v>
                </c:pt>
                <c:pt idx="942">
                  <c:v>45936</c:v>
                </c:pt>
                <c:pt idx="943">
                  <c:v>45937</c:v>
                </c:pt>
                <c:pt idx="944">
                  <c:v>45938</c:v>
                </c:pt>
                <c:pt idx="945">
                  <c:v>45939</c:v>
                </c:pt>
                <c:pt idx="946">
                  <c:v>45940</c:v>
                </c:pt>
                <c:pt idx="947">
                  <c:v>45943</c:v>
                </c:pt>
                <c:pt idx="948">
                  <c:v>45944</c:v>
                </c:pt>
                <c:pt idx="949">
                  <c:v>45945</c:v>
                </c:pt>
                <c:pt idx="950">
                  <c:v>45946</c:v>
                </c:pt>
                <c:pt idx="951">
                  <c:v>45947</c:v>
                </c:pt>
                <c:pt idx="952">
                  <c:v>45950</c:v>
                </c:pt>
                <c:pt idx="953">
                  <c:v>45951</c:v>
                </c:pt>
                <c:pt idx="954">
                  <c:v>45952</c:v>
                </c:pt>
                <c:pt idx="955">
                  <c:v>45953</c:v>
                </c:pt>
                <c:pt idx="956">
                  <c:v>45954</c:v>
                </c:pt>
                <c:pt idx="957">
                  <c:v>45957</c:v>
                </c:pt>
                <c:pt idx="958">
                  <c:v>45958</c:v>
                </c:pt>
                <c:pt idx="959">
                  <c:v>45959</c:v>
                </c:pt>
                <c:pt idx="960">
                  <c:v>45960</c:v>
                </c:pt>
                <c:pt idx="961">
                  <c:v>45961</c:v>
                </c:pt>
                <c:pt idx="962">
                  <c:v>45964</c:v>
                </c:pt>
                <c:pt idx="963">
                  <c:v>45965</c:v>
                </c:pt>
                <c:pt idx="964">
                  <c:v>45966</c:v>
                </c:pt>
                <c:pt idx="965">
                  <c:v>45967</c:v>
                </c:pt>
                <c:pt idx="966">
                  <c:v>45968</c:v>
                </c:pt>
                <c:pt idx="967">
                  <c:v>45971</c:v>
                </c:pt>
                <c:pt idx="968">
                  <c:v>45972</c:v>
                </c:pt>
                <c:pt idx="969">
                  <c:v>45973</c:v>
                </c:pt>
                <c:pt idx="970">
                  <c:v>45974</c:v>
                </c:pt>
                <c:pt idx="971">
                  <c:v>45975</c:v>
                </c:pt>
                <c:pt idx="972">
                  <c:v>45978</c:v>
                </c:pt>
                <c:pt idx="973">
                  <c:v>45979</c:v>
                </c:pt>
                <c:pt idx="974">
                  <c:v>45980</c:v>
                </c:pt>
                <c:pt idx="975">
                  <c:v>45981</c:v>
                </c:pt>
                <c:pt idx="976">
                  <c:v>45982</c:v>
                </c:pt>
                <c:pt idx="977">
                  <c:v>45985</c:v>
                </c:pt>
                <c:pt idx="978">
                  <c:v>45986</c:v>
                </c:pt>
                <c:pt idx="979">
                  <c:v>45987</c:v>
                </c:pt>
                <c:pt idx="980">
                  <c:v>45989</c:v>
                </c:pt>
                <c:pt idx="981">
                  <c:v>45992</c:v>
                </c:pt>
                <c:pt idx="982">
                  <c:v>45993</c:v>
                </c:pt>
                <c:pt idx="983">
                  <c:v>45994</c:v>
                </c:pt>
                <c:pt idx="984">
                  <c:v>45995</c:v>
                </c:pt>
                <c:pt idx="985">
                  <c:v>45996</c:v>
                </c:pt>
                <c:pt idx="986">
                  <c:v>45999</c:v>
                </c:pt>
                <c:pt idx="987">
                  <c:v>46000</c:v>
                </c:pt>
                <c:pt idx="988">
                  <c:v>46001</c:v>
                </c:pt>
                <c:pt idx="989">
                  <c:v>46002</c:v>
                </c:pt>
                <c:pt idx="990">
                  <c:v>46003</c:v>
                </c:pt>
                <c:pt idx="991">
                  <c:v>46006</c:v>
                </c:pt>
                <c:pt idx="992">
                  <c:v>46007</c:v>
                </c:pt>
                <c:pt idx="993">
                  <c:v>46008</c:v>
                </c:pt>
                <c:pt idx="994">
                  <c:v>46009</c:v>
                </c:pt>
                <c:pt idx="995">
                  <c:v>46010</c:v>
                </c:pt>
                <c:pt idx="996">
                  <c:v>46013</c:v>
                </c:pt>
                <c:pt idx="997">
                  <c:v>46014</c:v>
                </c:pt>
                <c:pt idx="998">
                  <c:v>46015</c:v>
                </c:pt>
                <c:pt idx="999">
                  <c:v>46017</c:v>
                </c:pt>
                <c:pt idx="1000">
                  <c:v>46020</c:v>
                </c:pt>
                <c:pt idx="1001">
                  <c:v>46021</c:v>
                </c:pt>
                <c:pt idx="1002">
                  <c:v>46022</c:v>
                </c:pt>
                <c:pt idx="1003">
                  <c:v>46024</c:v>
                </c:pt>
                <c:pt idx="1004">
                  <c:v>46027</c:v>
                </c:pt>
                <c:pt idx="1005">
                  <c:v>46028</c:v>
                </c:pt>
                <c:pt idx="1006">
                  <c:v>46029</c:v>
                </c:pt>
                <c:pt idx="1007">
                  <c:v>46030</c:v>
                </c:pt>
                <c:pt idx="1008">
                  <c:v>46031</c:v>
                </c:pt>
                <c:pt idx="1009">
                  <c:v>46034</c:v>
                </c:pt>
                <c:pt idx="1010">
                  <c:v>46035</c:v>
                </c:pt>
                <c:pt idx="1011">
                  <c:v>46036</c:v>
                </c:pt>
                <c:pt idx="1012">
                  <c:v>46037</c:v>
                </c:pt>
                <c:pt idx="1013">
                  <c:v>46038</c:v>
                </c:pt>
                <c:pt idx="1014">
                  <c:v>46042</c:v>
                </c:pt>
                <c:pt idx="1015">
                  <c:v>46043</c:v>
                </c:pt>
                <c:pt idx="1016">
                  <c:v>46044</c:v>
                </c:pt>
                <c:pt idx="1017">
                  <c:v>46045</c:v>
                </c:pt>
                <c:pt idx="1018">
                  <c:v>46048</c:v>
                </c:pt>
                <c:pt idx="1019">
                  <c:v>46049</c:v>
                </c:pt>
                <c:pt idx="1020">
                  <c:v>46050</c:v>
                </c:pt>
                <c:pt idx="1021">
                  <c:v>46051</c:v>
                </c:pt>
                <c:pt idx="1022">
                  <c:v>46052</c:v>
                </c:pt>
                <c:pt idx="1023">
                  <c:v>46055</c:v>
                </c:pt>
                <c:pt idx="1024">
                  <c:v>46056</c:v>
                </c:pt>
                <c:pt idx="1025">
                  <c:v>46057</c:v>
                </c:pt>
                <c:pt idx="1026">
                  <c:v>46058</c:v>
                </c:pt>
                <c:pt idx="1027">
                  <c:v>46059</c:v>
                </c:pt>
                <c:pt idx="1028">
                  <c:v>46062</c:v>
                </c:pt>
                <c:pt idx="1029">
                  <c:v>46063</c:v>
                </c:pt>
                <c:pt idx="1030">
                  <c:v>46064</c:v>
                </c:pt>
                <c:pt idx="1031">
                  <c:v>46065</c:v>
                </c:pt>
                <c:pt idx="1032">
                  <c:v>46066</c:v>
                </c:pt>
                <c:pt idx="1033">
                  <c:v>46070</c:v>
                </c:pt>
                <c:pt idx="1034">
                  <c:v>46071</c:v>
                </c:pt>
                <c:pt idx="1035">
                  <c:v>46072</c:v>
                </c:pt>
                <c:pt idx="1036">
                  <c:v>46073</c:v>
                </c:pt>
                <c:pt idx="1037">
                  <c:v>46076</c:v>
                </c:pt>
                <c:pt idx="1038">
                  <c:v>46077</c:v>
                </c:pt>
                <c:pt idx="1039">
                  <c:v>46078</c:v>
                </c:pt>
                <c:pt idx="1040">
                  <c:v>46079</c:v>
                </c:pt>
                <c:pt idx="1041">
                  <c:v>46080</c:v>
                </c:pt>
                <c:pt idx="1042">
                  <c:v>46083</c:v>
                </c:pt>
                <c:pt idx="1043">
                  <c:v>46084</c:v>
                </c:pt>
                <c:pt idx="1044">
                  <c:v>46085</c:v>
                </c:pt>
                <c:pt idx="1045">
                  <c:v>46086</c:v>
                </c:pt>
                <c:pt idx="1046">
                  <c:v>46087</c:v>
                </c:pt>
                <c:pt idx="1047">
                  <c:v>46090</c:v>
                </c:pt>
                <c:pt idx="1048">
                  <c:v>46091</c:v>
                </c:pt>
                <c:pt idx="1049">
                  <c:v>46092</c:v>
                </c:pt>
                <c:pt idx="1050">
                  <c:v>46093</c:v>
                </c:pt>
                <c:pt idx="1051">
                  <c:v>46094</c:v>
                </c:pt>
                <c:pt idx="1052">
                  <c:v>46097</c:v>
                </c:pt>
                <c:pt idx="1053">
                  <c:v>46098</c:v>
                </c:pt>
                <c:pt idx="1054">
                  <c:v>46099</c:v>
                </c:pt>
                <c:pt idx="1055">
                  <c:v>46100</c:v>
                </c:pt>
                <c:pt idx="1056">
                  <c:v>46101</c:v>
                </c:pt>
                <c:pt idx="1057">
                  <c:v>46104</c:v>
                </c:pt>
                <c:pt idx="1058">
                  <c:v>46105</c:v>
                </c:pt>
                <c:pt idx="1059">
                  <c:v>46106</c:v>
                </c:pt>
                <c:pt idx="1060">
                  <c:v>46107</c:v>
                </c:pt>
                <c:pt idx="1061">
                  <c:v>46108</c:v>
                </c:pt>
                <c:pt idx="1062">
                  <c:v>46111</c:v>
                </c:pt>
                <c:pt idx="1063">
                  <c:v>46112</c:v>
                </c:pt>
                <c:pt idx="1064">
                  <c:v>46113</c:v>
                </c:pt>
                <c:pt idx="1065">
                  <c:v>46114</c:v>
                </c:pt>
                <c:pt idx="1066">
                  <c:v>46118</c:v>
                </c:pt>
                <c:pt idx="1067">
                  <c:v>46119</c:v>
                </c:pt>
                <c:pt idx="1068">
                  <c:v>46120</c:v>
                </c:pt>
                <c:pt idx="1069">
                  <c:v>46121</c:v>
                </c:pt>
                <c:pt idx="1070">
                  <c:v>46122</c:v>
                </c:pt>
                <c:pt idx="1071">
                  <c:v>46125</c:v>
                </c:pt>
                <c:pt idx="1072">
                  <c:v>46126</c:v>
                </c:pt>
                <c:pt idx="1073">
                  <c:v>46127</c:v>
                </c:pt>
                <c:pt idx="1074">
                  <c:v>46128</c:v>
                </c:pt>
                <c:pt idx="1075">
                  <c:v>46129</c:v>
                </c:pt>
                <c:pt idx="1076">
                  <c:v>46132</c:v>
                </c:pt>
                <c:pt idx="1077">
                  <c:v>46133</c:v>
                </c:pt>
                <c:pt idx="1078">
                  <c:v>46134</c:v>
                </c:pt>
                <c:pt idx="1079">
                  <c:v>46135</c:v>
                </c:pt>
                <c:pt idx="1080">
                  <c:v>46136</c:v>
                </c:pt>
                <c:pt idx="1081">
                  <c:v>46139</c:v>
                </c:pt>
                <c:pt idx="1082">
                  <c:v>46140</c:v>
                </c:pt>
                <c:pt idx="1083">
                  <c:v>46141</c:v>
                </c:pt>
                <c:pt idx="1084">
                  <c:v>46142</c:v>
                </c:pt>
                <c:pt idx="1085">
                  <c:v>46143</c:v>
                </c:pt>
                <c:pt idx="1086">
                  <c:v>46146</c:v>
                </c:pt>
                <c:pt idx="1087">
                  <c:v>46147</c:v>
                </c:pt>
                <c:pt idx="1088">
                  <c:v>46148</c:v>
                </c:pt>
                <c:pt idx="1089">
                  <c:v>46149</c:v>
                </c:pt>
                <c:pt idx="1090">
                  <c:v>46150</c:v>
                </c:pt>
                <c:pt idx="1091">
                  <c:v>46153</c:v>
                </c:pt>
                <c:pt idx="1092">
                  <c:v>46154</c:v>
                </c:pt>
                <c:pt idx="1093">
                  <c:v>46155</c:v>
                </c:pt>
                <c:pt idx="1094">
                  <c:v>46156</c:v>
                </c:pt>
                <c:pt idx="1095">
                  <c:v>46157</c:v>
                </c:pt>
                <c:pt idx="1096">
                  <c:v>46160</c:v>
                </c:pt>
                <c:pt idx="1097">
                  <c:v>46161</c:v>
                </c:pt>
                <c:pt idx="1098">
                  <c:v>46162</c:v>
                </c:pt>
                <c:pt idx="1099">
                  <c:v>46163</c:v>
                </c:pt>
                <c:pt idx="1100">
                  <c:v>46164</c:v>
                </c:pt>
                <c:pt idx="1101">
                  <c:v>46168</c:v>
                </c:pt>
                <c:pt idx="1102">
                  <c:v>46169</c:v>
                </c:pt>
                <c:pt idx="1103">
                  <c:v>46170</c:v>
                </c:pt>
                <c:pt idx="1104">
                  <c:v>46171</c:v>
                </c:pt>
                <c:pt idx="1105">
                  <c:v>46174</c:v>
                </c:pt>
                <c:pt idx="1106">
                  <c:v>46175</c:v>
                </c:pt>
                <c:pt idx="1107">
                  <c:v>46176</c:v>
                </c:pt>
                <c:pt idx="1108">
                  <c:v>46177</c:v>
                </c:pt>
                <c:pt idx="1109">
                  <c:v>46178</c:v>
                </c:pt>
                <c:pt idx="1110">
                  <c:v>46181</c:v>
                </c:pt>
                <c:pt idx="1111">
                  <c:v>46182</c:v>
                </c:pt>
                <c:pt idx="1112">
                  <c:v>46183</c:v>
                </c:pt>
                <c:pt idx="1113">
                  <c:v>46184</c:v>
                </c:pt>
                <c:pt idx="1114">
                  <c:v>46185</c:v>
                </c:pt>
                <c:pt idx="1115">
                  <c:v>46188</c:v>
                </c:pt>
                <c:pt idx="1116">
                  <c:v>46189</c:v>
                </c:pt>
                <c:pt idx="1117">
                  <c:v>46190</c:v>
                </c:pt>
                <c:pt idx="1118">
                  <c:v>46191</c:v>
                </c:pt>
                <c:pt idx="1119">
                  <c:v>46195</c:v>
                </c:pt>
                <c:pt idx="1120">
                  <c:v>46196</c:v>
                </c:pt>
                <c:pt idx="1121">
                  <c:v>46197</c:v>
                </c:pt>
                <c:pt idx="1122">
                  <c:v>46198</c:v>
                </c:pt>
                <c:pt idx="1123">
                  <c:v>46199</c:v>
                </c:pt>
                <c:pt idx="1124">
                  <c:v>46202</c:v>
                </c:pt>
                <c:pt idx="1125">
                  <c:v>46203</c:v>
                </c:pt>
                <c:pt idx="1126">
                  <c:v>46204</c:v>
                </c:pt>
                <c:pt idx="1127">
                  <c:v>46205</c:v>
                </c:pt>
                <c:pt idx="1128">
                  <c:v>46209</c:v>
                </c:pt>
              </c:numCache>
            </c:numRef>
          </c:cat>
          <c:val>
            <c:numRef>
              <c:f>'S&amp;P 500'!$E$2:$E$1130</c:f>
              <c:numCache>
                <c:formatCode>0.0%;\(0.0%\);\-</c:formatCode>
                <c:ptCount val="1129"/>
                <c:pt idx="0">
                  <c:v>0</c:v>
                </c:pt>
                <c:pt idx="1">
                  <c:v>-3.3485479984463051E-4</c:v>
                </c:pt>
                <c:pt idx="2">
                  <c:v>-1.9530752461916046E-2</c:v>
                </c:pt>
                <c:pt idx="3">
                  <c:v>-2.0451874738776854E-2</c:v>
                </c:pt>
                <c:pt idx="4">
                  <c:v>-2.4324499014582446E-2</c:v>
                </c:pt>
                <c:pt idx="5">
                  <c:v>-2.5538585294143989E-2</c:v>
                </c:pt>
                <c:pt idx="6">
                  <c:v>-1.6662692585642014E-2</c:v>
                </c:pt>
                <c:pt idx="7">
                  <c:v>-1.4004358272367901E-2</c:v>
                </c:pt>
                <c:pt idx="8">
                  <c:v>-2.7589876467638441E-2</c:v>
                </c:pt>
                <c:pt idx="9">
                  <c:v>-2.7192151524921493E-2</c:v>
                </c:pt>
                <c:pt idx="10">
                  <c:v>-4.4420200136169097E-2</c:v>
                </c:pt>
                <c:pt idx="11">
                  <c:v>-5.4342548041344085E-2</c:v>
                </c:pt>
                <c:pt idx="12">
                  <c:v>-6.4809204732071302E-2</c:v>
                </c:pt>
                <c:pt idx="13">
                  <c:v>-8.3167490134277378E-2</c:v>
                </c:pt>
                <c:pt idx="14">
                  <c:v>-7.9274225984353297E-2</c:v>
                </c:pt>
                <c:pt idx="15">
                  <c:v>-9.0515149531816164E-2</c:v>
                </c:pt>
                <c:pt idx="16">
                  <c:v>-9.2796941931073906E-2</c:v>
                </c:pt>
                <c:pt idx="17">
                  <c:v>-9.7276677240981657E-2</c:v>
                </c:pt>
                <c:pt idx="18">
                  <c:v>-7.4856953451380992E-2</c:v>
                </c:pt>
                <c:pt idx="19">
                  <c:v>-5.8194328760063696E-2</c:v>
                </c:pt>
                <c:pt idx="20">
                  <c:v>-5.1830593887937648E-2</c:v>
                </c:pt>
                <c:pt idx="21">
                  <c:v>-4.2619914273913762E-2</c:v>
                </c:pt>
                <c:pt idx="22">
                  <c:v>-6.5123148080505233E-2</c:v>
                </c:pt>
                <c:pt idx="23">
                  <c:v>-6.0727126470558113E-2</c:v>
                </c:pt>
                <c:pt idx="24">
                  <c:v>-6.3741498612377323E-2</c:v>
                </c:pt>
                <c:pt idx="25">
                  <c:v>-5.6038140857907925E-2</c:v>
                </c:pt>
                <c:pt idx="26">
                  <c:v>-4.2222189331196702E-2</c:v>
                </c:pt>
                <c:pt idx="27">
                  <c:v>-5.9429394385358325E-2</c:v>
                </c:pt>
                <c:pt idx="28">
                  <c:v>-7.7976222321861521E-2</c:v>
                </c:pt>
                <c:pt idx="29">
                  <c:v>-8.0990662358003118E-2</c:v>
                </c:pt>
                <c:pt idx="30">
                  <c:v>-6.6169874854470345E-2</c:v>
                </c:pt>
                <c:pt idx="31">
                  <c:v>-6.5123148080505233E-2</c:v>
                </c:pt>
                <c:pt idx="32">
                  <c:v>-8.5093516282282011E-2</c:v>
                </c:pt>
                <c:pt idx="33">
                  <c:v>-9.1017567520226828E-2</c:v>
                </c:pt>
                <c:pt idx="34">
                  <c:v>-0.10077235223683345</c:v>
                </c:pt>
                <c:pt idx="35">
                  <c:v>-0.11672344442564708</c:v>
                </c:pt>
                <c:pt idx="36">
                  <c:v>-0.10343102602172227</c:v>
                </c:pt>
                <c:pt idx="37">
                  <c:v>-8.3648996671277343E-2</c:v>
                </c:pt>
                <c:pt idx="38">
                  <c:v>-8.5993591319087237E-2</c:v>
                </c:pt>
                <c:pt idx="39">
                  <c:v>-9.9914167997169789E-2</c:v>
                </c:pt>
                <c:pt idx="40">
                  <c:v>-8.3355896879931501E-2</c:v>
                </c:pt>
                <c:pt idx="41">
                  <c:v>-8.7919481678446987E-2</c:v>
                </c:pt>
                <c:pt idx="42">
                  <c:v>-9.5329807535890931E-2</c:v>
                </c:pt>
                <c:pt idx="43">
                  <c:v>-0.12199883330395844</c:v>
                </c:pt>
                <c:pt idx="44">
                  <c:v>-0.12865526060149535</c:v>
                </c:pt>
                <c:pt idx="45">
                  <c:v>-0.10529384255523999</c:v>
                </c:pt>
                <c:pt idx="46">
                  <c:v>-0.109334097913934</c:v>
                </c:pt>
                <c:pt idx="47">
                  <c:v>-0.12065887095000249</c:v>
                </c:pt>
                <c:pt idx="48">
                  <c:v>-0.12708547596500308</c:v>
                </c:pt>
                <c:pt idx="49">
                  <c:v>-0.10788978198589905</c:v>
                </c:pt>
                <c:pt idx="50">
                  <c:v>-8.8107820529776615E-2</c:v>
                </c:pt>
                <c:pt idx="51">
                  <c:v>-7.6699265899425217E-2</c:v>
                </c:pt>
                <c:pt idx="52">
                  <c:v>-6.6586542313237129E-2</c:v>
                </c:pt>
                <c:pt idx="53">
                  <c:v>-6.685954538504657E-2</c:v>
                </c:pt>
                <c:pt idx="54">
                  <c:v>-5.5940440927458757E-2</c:v>
                </c:pt>
                <c:pt idx="55">
                  <c:v>-6.8098277303770827E-2</c:v>
                </c:pt>
                <c:pt idx="56">
                  <c:v>-5.4050602453484919E-2</c:v>
                </c:pt>
                <c:pt idx="57">
                  <c:v>-4.943086905004701E-2</c:v>
                </c:pt>
                <c:pt idx="58">
                  <c:v>-4.266954502384912E-2</c:v>
                </c:pt>
                <c:pt idx="59">
                  <c:v>-3.0826534622167556E-2</c:v>
                </c:pt>
                <c:pt idx="60">
                  <c:v>-3.6810876018721794E-2</c:v>
                </c:pt>
                <c:pt idx="61">
                  <c:v>-5.1635737181621177E-2</c:v>
                </c:pt>
                <c:pt idx="62">
                  <c:v>-4.8947936732268271E-2</c:v>
                </c:pt>
                <c:pt idx="63">
                  <c:v>-4.0800753789930866E-2</c:v>
                </c:pt>
                <c:pt idx="64">
                  <c:v>-5.2916631474776765E-2</c:v>
                </c:pt>
                <c:pt idx="65">
                  <c:v>-6.2386871084705642E-2</c:v>
                </c:pt>
                <c:pt idx="66">
                  <c:v>-5.7662376741251631E-2</c:v>
                </c:pt>
                <c:pt idx="67">
                  <c:v>-6.0181867164486702E-2</c:v>
                </c:pt>
                <c:pt idx="68">
                  <c:v>-7.6245596034755336E-2</c:v>
                </c:pt>
                <c:pt idx="69">
                  <c:v>-7.9668488316610553E-2</c:v>
                </c:pt>
                <c:pt idx="70">
                  <c:v>-6.9127215765170669E-2</c:v>
                </c:pt>
                <c:pt idx="71">
                  <c:v>-8.0718406123743369E-2</c:v>
                </c:pt>
                <c:pt idx="72">
                  <c:v>-8.0340302640303118E-2</c:v>
                </c:pt>
                <c:pt idx="73">
                  <c:v>-6.5494665814638142E-2</c:v>
                </c:pt>
                <c:pt idx="74">
                  <c:v>-6.618759527270901E-2</c:v>
                </c:pt>
                <c:pt idx="75">
                  <c:v>-8.0151420634389292E-2</c:v>
                </c:pt>
                <c:pt idx="76">
                  <c:v>-0.10539127090839717</c:v>
                </c:pt>
                <c:pt idx="77">
                  <c:v>-0.10020461990993001</c:v>
                </c:pt>
                <c:pt idx="78">
                  <c:v>-0.12626354729369282</c:v>
                </c:pt>
                <c:pt idx="79">
                  <c:v>-0.12380679122468741</c:v>
                </c:pt>
                <c:pt idx="80">
                  <c:v>-0.10167459989196703</c:v>
                </c:pt>
                <c:pt idx="81">
                  <c:v>-0.1348728189967231</c:v>
                </c:pt>
                <c:pt idx="82">
                  <c:v>-0.12966512075820025</c:v>
                </c:pt>
                <c:pt idx="83">
                  <c:v>-0.12567558245860566</c:v>
                </c:pt>
                <c:pt idx="84">
                  <c:v>-9.9049873268458488E-2</c:v>
                </c:pt>
                <c:pt idx="85">
                  <c:v>-0.13107223059736484</c:v>
                </c:pt>
                <c:pt idx="86">
                  <c:v>-0.13625867791286461</c:v>
                </c:pt>
                <c:pt idx="87">
                  <c:v>-0.16391346135305873</c:v>
                </c:pt>
                <c:pt idx="88">
                  <c:v>-0.16198139261032884</c:v>
                </c:pt>
                <c:pt idx="89">
                  <c:v>-0.17529438299404743</c:v>
                </c:pt>
                <c:pt idx="90">
                  <c:v>-0.17615535090094392</c:v>
                </c:pt>
                <c:pt idx="91">
                  <c:v>-0.15645886839717538</c:v>
                </c:pt>
                <c:pt idx="92">
                  <c:v>-0.15988176067903059</c:v>
                </c:pt>
                <c:pt idx="93">
                  <c:v>-0.1426000755528033</c:v>
                </c:pt>
                <c:pt idx="94">
                  <c:v>-0.17716331001661278</c:v>
                </c:pt>
                <c:pt idx="95">
                  <c:v>-0.18220276612334019</c:v>
                </c:pt>
                <c:pt idx="96">
                  <c:v>-0.18184570987995563</c:v>
                </c:pt>
                <c:pt idx="97">
                  <c:v>-0.16653825587088977</c:v>
                </c:pt>
                <c:pt idx="98">
                  <c:v>-0.17290049706791677</c:v>
                </c:pt>
                <c:pt idx="99">
                  <c:v>-0.16559316689809556</c:v>
                </c:pt>
                <c:pt idx="100">
                  <c:v>-0.14892069752997872</c:v>
                </c:pt>
                <c:pt idx="101">
                  <c:v>-0.12802730601030488</c:v>
                </c:pt>
                <c:pt idx="102">
                  <c:v>-0.13291990669690723</c:v>
                </c:pt>
                <c:pt idx="103">
                  <c:v>-0.13993332234350608</c:v>
                </c:pt>
                <c:pt idx="104">
                  <c:v>-0.12355469960428656</c:v>
                </c:pt>
                <c:pt idx="105">
                  <c:v>-0.13793845135222393</c:v>
                </c:pt>
                <c:pt idx="106">
                  <c:v>-0.13531365683439289</c:v>
                </c:pt>
                <c:pt idx="107">
                  <c:v>-0.12701934689463612</c:v>
                </c:pt>
                <c:pt idx="108">
                  <c:v>-0.13651056585029808</c:v>
                </c:pt>
                <c:pt idx="109">
                  <c:v>-0.15704690112658504</c:v>
                </c:pt>
                <c:pt idx="110">
                  <c:v>-0.18148878942521607</c:v>
                </c:pt>
                <c:pt idx="111">
                  <c:v>-0.21256619356997319</c:v>
                </c:pt>
                <c:pt idx="112">
                  <c:v>-0.21493903225605049</c:v>
                </c:pt>
                <c:pt idx="113">
                  <c:v>-0.20374685683232852</c:v>
                </c:pt>
                <c:pt idx="114">
                  <c:v>-0.23009976663363385</c:v>
                </c:pt>
                <c:pt idx="115">
                  <c:v>-0.22844008991381093</c:v>
                </c:pt>
                <c:pt idx="116">
                  <c:v>-0.2090172215307563</c:v>
                </c:pt>
                <c:pt idx="117">
                  <c:v>-0.21045114962740963</c:v>
                </c:pt>
                <c:pt idx="118">
                  <c:v>-0.20271160419891143</c:v>
                </c:pt>
                <c:pt idx="119">
                  <c:v>-0.17736264774823096</c:v>
                </c:pt>
                <c:pt idx="120">
                  <c:v>-0.18050493279412549</c:v>
                </c:pt>
                <c:pt idx="121">
                  <c:v>-0.19724950593301449</c:v>
                </c:pt>
                <c:pt idx="122">
                  <c:v>-0.19790319247252941</c:v>
                </c:pt>
                <c:pt idx="123">
                  <c:v>-0.20441975746518537</c:v>
                </c:pt>
                <c:pt idx="124">
                  <c:v>-0.19600527457414707</c:v>
                </c:pt>
                <c:pt idx="125">
                  <c:v>-0.19448702172862875</c:v>
                </c:pt>
                <c:pt idx="126">
                  <c:v>-0.19176642832138435</c:v>
                </c:pt>
                <c:pt idx="127">
                  <c:v>-0.17966127793953268</c:v>
                </c:pt>
                <c:pt idx="128">
                  <c:v>-0.18033601171910307</c:v>
                </c:pt>
                <c:pt idx="129">
                  <c:v>-0.18969958934797959</c:v>
                </c:pt>
                <c:pt idx="130">
                  <c:v>-0.19687004456311807</c:v>
                </c:pt>
                <c:pt idx="131">
                  <c:v>-0.20108763989285772</c:v>
                </c:pt>
                <c:pt idx="132">
                  <c:v>-0.2030278559543186</c:v>
                </c:pt>
                <c:pt idx="133">
                  <c:v>-0.18780167144959514</c:v>
                </c:pt>
                <c:pt idx="134">
                  <c:v>-0.19450793318003712</c:v>
                </c:pt>
                <c:pt idx="135">
                  <c:v>-0.17274413644260422</c:v>
                </c:pt>
                <c:pt idx="136">
                  <c:v>-0.16747200649178529</c:v>
                </c:pt>
                <c:pt idx="137">
                  <c:v>-0.15899411030329036</c:v>
                </c:pt>
                <c:pt idx="138">
                  <c:v>-0.16679713692356768</c:v>
                </c:pt>
                <c:pt idx="139">
                  <c:v>-0.16578469678259733</c:v>
                </c:pt>
                <c:pt idx="140">
                  <c:v>-0.17565429079898942</c:v>
                </c:pt>
                <c:pt idx="141">
                  <c:v>-0.15424917976868735</c:v>
                </c:pt>
                <c:pt idx="142">
                  <c:v>-0.14364130288662313</c:v>
                </c:pt>
                <c:pt idx="143">
                  <c:v>-0.13115669113487716</c:v>
                </c:pt>
                <c:pt idx="144">
                  <c:v>-0.13372954649579738</c:v>
                </c:pt>
                <c:pt idx="145">
                  <c:v>-0.13944475479693907</c:v>
                </c:pt>
                <c:pt idx="146">
                  <c:v>-0.1259688859329211</c:v>
                </c:pt>
                <c:pt idx="147">
                  <c:v>-0.12655915917498139</c:v>
                </c:pt>
                <c:pt idx="148">
                  <c:v>-0.12803558911768087</c:v>
                </c:pt>
                <c:pt idx="149">
                  <c:v>-0.12904796136432872</c:v>
                </c:pt>
                <c:pt idx="150">
                  <c:v>-0.13250643027131026</c:v>
                </c:pt>
                <c:pt idx="151">
                  <c:v>-0.11428569876701178</c:v>
                </c:pt>
                <c:pt idx="152">
                  <c:v>-0.11428569876701178</c:v>
                </c:pt>
                <c:pt idx="153">
                  <c:v>-9.9291373374507996E-2</c:v>
                </c:pt>
                <c:pt idx="154">
                  <c:v>-9.5579862326608644E-2</c:v>
                </c:pt>
                <c:pt idx="155">
                  <c:v>-9.3808159974232974E-2</c:v>
                </c:pt>
                <c:pt idx="156">
                  <c:v>-0.10024026442937661</c:v>
                </c:pt>
                <c:pt idx="157">
                  <c:v>-9.7625450376990219E-2</c:v>
                </c:pt>
                <c:pt idx="158">
                  <c:v>-0.10975137642160548</c:v>
                </c:pt>
                <c:pt idx="159">
                  <c:v>-0.12828863125860102</c:v>
                </c:pt>
                <c:pt idx="160">
                  <c:v>-0.13039749681779444</c:v>
                </c:pt>
                <c:pt idx="161">
                  <c:v>-0.12761376169038541</c:v>
                </c:pt>
                <c:pt idx="162">
                  <c:v>-0.11529793522501464</c:v>
                </c:pt>
                <c:pt idx="163">
                  <c:v>-0.14524421995262127</c:v>
                </c:pt>
                <c:pt idx="164">
                  <c:v>-0.15089581127333673</c:v>
                </c:pt>
                <c:pt idx="165">
                  <c:v>-0.1602172265277797</c:v>
                </c:pt>
                <c:pt idx="166">
                  <c:v>-0.16660730439713678</c:v>
                </c:pt>
                <c:pt idx="167">
                  <c:v>-0.16399221876745829</c:v>
                </c:pt>
                <c:pt idx="168">
                  <c:v>-0.17280741395141608</c:v>
                </c:pt>
                <c:pt idx="169">
                  <c:v>-0.17592858386293264</c:v>
                </c:pt>
                <c:pt idx="170">
                  <c:v>-0.16112415889118425</c:v>
                </c:pt>
                <c:pt idx="171">
                  <c:v>-0.15564108127955412</c:v>
                </c:pt>
                <c:pt idx="172">
                  <c:v>-0.14252383022834669</c:v>
                </c:pt>
                <c:pt idx="173">
                  <c:v>-0.13330785485714691</c:v>
                </c:pt>
                <c:pt idx="174">
                  <c:v>-0.17099382080189884</c:v>
                </c:pt>
                <c:pt idx="175">
                  <c:v>-0.16783035272730151</c:v>
                </c:pt>
                <c:pt idx="176">
                  <c:v>-0.17727825510504325</c:v>
                </c:pt>
                <c:pt idx="177">
                  <c:v>-0.18355474577242403</c:v>
                </c:pt>
                <c:pt idx="178">
                  <c:v>-0.17722326070360961</c:v>
                </c:pt>
                <c:pt idx="179">
                  <c:v>-0.18666749678791972</c:v>
                </c:pt>
                <c:pt idx="180">
                  <c:v>-0.20085510183741107</c:v>
                </c:pt>
                <c:pt idx="181">
                  <c:v>-0.20756781352851539</c:v>
                </c:pt>
                <c:pt idx="182">
                  <c:v>-0.22084488781549516</c:v>
                </c:pt>
                <c:pt idx="183">
                  <c:v>-0.22855286238391093</c:v>
                </c:pt>
                <c:pt idx="184">
                  <c:v>-0.23052213721551351</c:v>
                </c:pt>
                <c:pt idx="185">
                  <c:v>-0.21538156745178894</c:v>
                </c:pt>
                <c:pt idx="186">
                  <c:v>-0.2317715285429095</c:v>
                </c:pt>
                <c:pt idx="187">
                  <c:v>-0.24365093030158935</c:v>
                </c:pt>
                <c:pt idx="188">
                  <c:v>-0.22368259892949804</c:v>
                </c:pt>
                <c:pt idx="189">
                  <c:v>-0.19962689353871577</c:v>
                </c:pt>
                <c:pt idx="190">
                  <c:v>-0.20149032112113796</c:v>
                </c:pt>
                <c:pt idx="191">
                  <c:v>-0.20972773561842062</c:v>
                </c:pt>
                <c:pt idx="192">
                  <c:v>-0.2317715285429095</c:v>
                </c:pt>
                <c:pt idx="193">
                  <c:v>-0.23763705487463627</c:v>
                </c:pt>
                <c:pt idx="194">
                  <c:v>-0.24246522384894009</c:v>
                </c:pt>
                <c:pt idx="195">
                  <c:v>-0.24496400650373418</c:v>
                </c:pt>
                <c:pt idx="196">
                  <c:v>-0.2250376338231046</c:v>
                </c:pt>
                <c:pt idx="197">
                  <c:v>-0.24269810137600123</c:v>
                </c:pt>
                <c:pt idx="198">
                  <c:v>-0.22323775532678625</c:v>
                </c:pt>
                <c:pt idx="199">
                  <c:v>-0.21411106099001498</c:v>
                </c:pt>
                <c:pt idx="200">
                  <c:v>-0.21968029649722387</c:v>
                </c:pt>
                <c:pt idx="201">
                  <c:v>-0.22622340817007858</c:v>
                </c:pt>
                <c:pt idx="202">
                  <c:v>-0.20741960022193384</c:v>
                </c:pt>
                <c:pt idx="203">
                  <c:v>-0.19772123568753741</c:v>
                </c:pt>
                <c:pt idx="204">
                  <c:v>-0.1849099164546778</c:v>
                </c:pt>
                <c:pt idx="205">
                  <c:v>-0.19105095794815896</c:v>
                </c:pt>
                <c:pt idx="206">
                  <c:v>-0.19537066633932687</c:v>
                </c:pt>
                <c:pt idx="207">
                  <c:v>-0.17622799782629583</c:v>
                </c:pt>
                <c:pt idx="208">
                  <c:v>-0.18217839206146969</c:v>
                </c:pt>
                <c:pt idx="209">
                  <c:v>-0.18575689813108776</c:v>
                </c:pt>
                <c:pt idx="210">
                  <c:v>-0.20619145981756104</c:v>
                </c:pt>
                <c:pt idx="211">
                  <c:v>-0.21436518944009697</c:v>
                </c:pt>
                <c:pt idx="212">
                  <c:v>-0.20305732209039729</c:v>
                </c:pt>
                <c:pt idx="213">
                  <c:v>-0.1954342154254286</c:v>
                </c:pt>
                <c:pt idx="214">
                  <c:v>-0.19109339189988261</c:v>
                </c:pt>
                <c:pt idx="215">
                  <c:v>-0.20775839289249776</c:v>
                </c:pt>
                <c:pt idx="216">
                  <c:v>-0.16422156578973501</c:v>
                </c:pt>
                <c:pt idx="217">
                  <c:v>-0.15613229670470896</c:v>
                </c:pt>
                <c:pt idx="218">
                  <c:v>-0.16331076344993334</c:v>
                </c:pt>
                <c:pt idx="219">
                  <c:v>-0.15617479855075511</c:v>
                </c:pt>
                <c:pt idx="220">
                  <c:v>-0.16261199508010704</c:v>
                </c:pt>
                <c:pt idx="221">
                  <c:v>-0.16517439471532303</c:v>
                </c:pt>
                <c:pt idx="222">
                  <c:v>-0.16138378678141163</c:v>
                </c:pt>
                <c:pt idx="223">
                  <c:v>-0.16443319239377319</c:v>
                </c:pt>
                <c:pt idx="224">
                  <c:v>-0.15318894202449529</c:v>
                </c:pt>
                <c:pt idx="225">
                  <c:v>-0.14785285562163764</c:v>
                </c:pt>
                <c:pt idx="226">
                  <c:v>-0.14804336709129762</c:v>
                </c:pt>
                <c:pt idx="227">
                  <c:v>-0.16163784733717124</c:v>
                </c:pt>
                <c:pt idx="228">
                  <c:v>-0.1630778180285497</c:v>
                </c:pt>
                <c:pt idx="229">
                  <c:v>-0.13671438460721774</c:v>
                </c:pt>
                <c:pt idx="230">
                  <c:v>-0.13734953599661992</c:v>
                </c:pt>
                <c:pt idx="231">
                  <c:v>-0.13834493466257869</c:v>
                </c:pt>
                <c:pt idx="232">
                  <c:v>-0.15384534433692276</c:v>
                </c:pt>
                <c:pt idx="233">
                  <c:v>-0.16604255942043356</c:v>
                </c:pt>
                <c:pt idx="234">
                  <c:v>-0.16746134708311144</c:v>
                </c:pt>
                <c:pt idx="235">
                  <c:v>-0.16093928265031243</c:v>
                </c:pt>
                <c:pt idx="236">
                  <c:v>-0.16720715073870474</c:v>
                </c:pt>
                <c:pt idx="237">
                  <c:v>-0.15520058291349892</c:v>
                </c:pt>
                <c:pt idx="238">
                  <c:v>-0.14880554875858076</c:v>
                </c:pt>
                <c:pt idx="239">
                  <c:v>-0.15424775398790869</c:v>
                </c:pt>
                <c:pt idx="240">
                  <c:v>-0.17493624044149869</c:v>
                </c:pt>
                <c:pt idx="241">
                  <c:v>-0.18467703892761878</c:v>
                </c:pt>
                <c:pt idx="242">
                  <c:v>-0.19159078570840971</c:v>
                </c:pt>
                <c:pt idx="243">
                  <c:v>-0.19048451561338708</c:v>
                </c:pt>
                <c:pt idx="244">
                  <c:v>-0.17838031575205449</c:v>
                </c:pt>
                <c:pt idx="245">
                  <c:v>-0.19010159163303075</c:v>
                </c:pt>
                <c:pt idx="246">
                  <c:v>-0.18544288688833122</c:v>
                </c:pt>
                <c:pt idx="247">
                  <c:v>-0.18865496729802034</c:v>
                </c:pt>
                <c:pt idx="248">
                  <c:v>-0.19873842843110134</c:v>
                </c:pt>
                <c:pt idx="249">
                  <c:v>-0.18431536587028563</c:v>
                </c:pt>
                <c:pt idx="250">
                  <c:v>-0.18646394960829227</c:v>
                </c:pt>
                <c:pt idx="251">
                  <c:v>-0.18988894661415101</c:v>
                </c:pt>
                <c:pt idx="252">
                  <c:v>-0.18363458949598765</c:v>
                </c:pt>
                <c:pt idx="253">
                  <c:v>-0.19295220266835611</c:v>
                </c:pt>
                <c:pt idx="254">
                  <c:v>-0.17444488922769674</c:v>
                </c:pt>
                <c:pt idx="255">
                  <c:v>-0.17491281690014748</c:v>
                </c:pt>
                <c:pt idx="256">
                  <c:v>-0.16912665903172475</c:v>
                </c:pt>
                <c:pt idx="257">
                  <c:v>-0.15861790786088625</c:v>
                </c:pt>
                <c:pt idx="258">
                  <c:v>-0.15555458391235855</c:v>
                </c:pt>
                <c:pt idx="259">
                  <c:v>-0.15227861494495332</c:v>
                </c:pt>
                <c:pt idx="260">
                  <c:v>-0.15383156178940149</c:v>
                </c:pt>
                <c:pt idx="261">
                  <c:v>-0.16719085610124274</c:v>
                </c:pt>
                <c:pt idx="262">
                  <c:v>-0.17325347965193694</c:v>
                </c:pt>
                <c:pt idx="263">
                  <c:v>-0.15785199200585132</c:v>
                </c:pt>
                <c:pt idx="264">
                  <c:v>-0.14774761942136172</c:v>
                </c:pt>
                <c:pt idx="265">
                  <c:v>-0.14866215594891541</c:v>
                </c:pt>
                <c:pt idx="266">
                  <c:v>-0.14834305263195069</c:v>
                </c:pt>
                <c:pt idx="267">
                  <c:v>-0.1389830734021833</c:v>
                </c:pt>
                <c:pt idx="268">
                  <c:v>-0.13700476862565314</c:v>
                </c:pt>
                <c:pt idx="269">
                  <c:v>-0.14783262311345613</c:v>
                </c:pt>
                <c:pt idx="270">
                  <c:v>-0.13530292953139655</c:v>
                </c:pt>
                <c:pt idx="271">
                  <c:v>-0.12611309347446065</c:v>
                </c:pt>
                <c:pt idx="272">
                  <c:v>-0.11339187000790152</c:v>
                </c:pt>
                <c:pt idx="273">
                  <c:v>-0.12281546621809525</c:v>
                </c:pt>
                <c:pt idx="274">
                  <c:v>-0.12817653773172799</c:v>
                </c:pt>
                <c:pt idx="275">
                  <c:v>-0.11677416148474662</c:v>
                </c:pt>
                <c:pt idx="276">
                  <c:v>-0.12643212889710065</c:v>
                </c:pt>
                <c:pt idx="277">
                  <c:v>-0.13400519744619677</c:v>
                </c:pt>
                <c:pt idx="278">
                  <c:v>-0.13198432292929796</c:v>
                </c:pt>
                <c:pt idx="279">
                  <c:v>-0.12179460718110169</c:v>
                </c:pt>
                <c:pt idx="280">
                  <c:v>-0.12219884997880359</c:v>
                </c:pt>
                <c:pt idx="281">
                  <c:v>-0.11934823894347812</c:v>
                </c:pt>
                <c:pt idx="282">
                  <c:v>-0.1314737576221563</c:v>
                </c:pt>
                <c:pt idx="283">
                  <c:v>-0.13364359228318612</c:v>
                </c:pt>
                <c:pt idx="284">
                  <c:v>-0.15102338470579957</c:v>
                </c:pt>
                <c:pt idx="285">
                  <c:v>-0.15219340756989153</c:v>
                </c:pt>
                <c:pt idx="286">
                  <c:v>-0.14768359507500062</c:v>
                </c:pt>
                <c:pt idx="287">
                  <c:v>-0.15678842743984422</c:v>
                </c:pt>
                <c:pt idx="288">
                  <c:v>-0.1539164975871733</c:v>
                </c:pt>
                <c:pt idx="289">
                  <c:v>-0.15704364219909261</c:v>
                </c:pt>
                <c:pt idx="290">
                  <c:v>-0.1602772451090968</c:v>
                </c:pt>
                <c:pt idx="291">
                  <c:v>-0.15374642230866209</c:v>
                </c:pt>
                <c:pt idx="292">
                  <c:v>-0.14017427929497583</c:v>
                </c:pt>
                <c:pt idx="293">
                  <c:v>-0.13957871029573965</c:v>
                </c:pt>
                <c:pt idx="294">
                  <c:v>-0.15276786143474952</c:v>
                </c:pt>
                <c:pt idx="295">
                  <c:v>-0.15138512565745532</c:v>
                </c:pt>
                <c:pt idx="296">
                  <c:v>-0.16704196385143433</c:v>
                </c:pt>
                <c:pt idx="297">
                  <c:v>-0.17906109212635013</c:v>
                </c:pt>
                <c:pt idx="298">
                  <c:v>-0.18023097920179698</c:v>
                </c:pt>
                <c:pt idx="299">
                  <c:v>-0.16668022289977868</c:v>
                </c:pt>
                <c:pt idx="300">
                  <c:v>-0.1718921305863107</c:v>
                </c:pt>
                <c:pt idx="301">
                  <c:v>-0.15736274551605511</c:v>
                </c:pt>
                <c:pt idx="302">
                  <c:v>-0.16721550174040323</c:v>
                </c:pt>
                <c:pt idx="303">
                  <c:v>-0.15920777373700956</c:v>
                </c:pt>
                <c:pt idx="304">
                  <c:v>-0.14816768159626592</c:v>
                </c:pt>
                <c:pt idx="305">
                  <c:v>-0.16268844408753325</c:v>
                </c:pt>
                <c:pt idx="306">
                  <c:v>-0.16042498315541864</c:v>
                </c:pt>
                <c:pt idx="307">
                  <c:v>-0.15491549465223708</c:v>
                </c:pt>
                <c:pt idx="308">
                  <c:v>-0.15333545797300818</c:v>
                </c:pt>
                <c:pt idx="309">
                  <c:v>-0.15523588796133314</c:v>
                </c:pt>
                <c:pt idx="310">
                  <c:v>-0.14295733547915745</c:v>
                </c:pt>
                <c:pt idx="311">
                  <c:v>-0.13793906240113063</c:v>
                </c:pt>
                <c:pt idx="312">
                  <c:v>-0.12578855861167537</c:v>
                </c:pt>
                <c:pt idx="313">
                  <c:v>-0.12245752734851401</c:v>
                </c:pt>
                <c:pt idx="314">
                  <c:v>-0.12732622923350312</c:v>
                </c:pt>
                <c:pt idx="315">
                  <c:v>-0.1296110089829634</c:v>
                </c:pt>
                <c:pt idx="316">
                  <c:v>-0.12621574969047111</c:v>
                </c:pt>
                <c:pt idx="317">
                  <c:v>-0.1253190014754807</c:v>
                </c:pt>
                <c:pt idx="318">
                  <c:v>-0.12508401922441381</c:v>
                </c:pt>
                <c:pt idx="319">
                  <c:v>-0.12865016852728928</c:v>
                </c:pt>
                <c:pt idx="320">
                  <c:v>-0.11707635911534264</c:v>
                </c:pt>
                <c:pt idx="321">
                  <c:v>-0.11923302227775778</c:v>
                </c:pt>
                <c:pt idx="322">
                  <c:v>-0.11607274523633249</c:v>
                </c:pt>
                <c:pt idx="323">
                  <c:v>-0.11549618664746863</c:v>
                </c:pt>
                <c:pt idx="324">
                  <c:v>-0.11564562205185924</c:v>
                </c:pt>
                <c:pt idx="325">
                  <c:v>-0.12047161840783482</c:v>
                </c:pt>
                <c:pt idx="326">
                  <c:v>-0.11978826204927384</c:v>
                </c:pt>
                <c:pt idx="327">
                  <c:v>-0.11887005922829286</c:v>
                </c:pt>
                <c:pt idx="328">
                  <c:v>-0.13285696865970997</c:v>
                </c:pt>
                <c:pt idx="329">
                  <c:v>-0.13652984783796029</c:v>
                </c:pt>
                <c:pt idx="330">
                  <c:v>-0.11933982004745725</c:v>
                </c:pt>
                <c:pt idx="331">
                  <c:v>-0.11182330746921842</c:v>
                </c:pt>
                <c:pt idx="332">
                  <c:v>-0.11272005568420873</c:v>
                </c:pt>
                <c:pt idx="333">
                  <c:v>-0.12269244170525617</c:v>
                </c:pt>
                <c:pt idx="334">
                  <c:v>-0.12871432866229549</c:v>
                </c:pt>
                <c:pt idx="335">
                  <c:v>-0.13488537944643297</c:v>
                </c:pt>
                <c:pt idx="336">
                  <c:v>-0.11887005922829286</c:v>
                </c:pt>
                <c:pt idx="337">
                  <c:v>-0.11863521276587097</c:v>
                </c:pt>
                <c:pt idx="338">
                  <c:v>-0.12250030077185003</c:v>
                </c:pt>
                <c:pt idx="339">
                  <c:v>-0.11840029840912869</c:v>
                </c:pt>
                <c:pt idx="340">
                  <c:v>-0.11993762955934195</c:v>
                </c:pt>
                <c:pt idx="341">
                  <c:v>-0.12109081463138971</c:v>
                </c:pt>
                <c:pt idx="342">
                  <c:v>-0.11805851838836434</c:v>
                </c:pt>
                <c:pt idx="343">
                  <c:v>-0.12395228875835862</c:v>
                </c:pt>
                <c:pt idx="344">
                  <c:v>-0.11331806887906304</c:v>
                </c:pt>
                <c:pt idx="345">
                  <c:v>-0.1047763520271765</c:v>
                </c:pt>
                <c:pt idx="346">
                  <c:v>-0.10607904039793725</c:v>
                </c:pt>
                <c:pt idx="347">
                  <c:v>-0.10571600945414994</c:v>
                </c:pt>
                <c:pt idx="348">
                  <c:v>-0.11575241982155871</c:v>
                </c:pt>
                <c:pt idx="349">
                  <c:v>-0.12215858864540829</c:v>
                </c:pt>
                <c:pt idx="350">
                  <c:v>-0.11455666500914008</c:v>
                </c:pt>
                <c:pt idx="351">
                  <c:v>-0.10308931389528064</c:v>
                </c:pt>
                <c:pt idx="352">
                  <c:v>-0.10274780545180617</c:v>
                </c:pt>
                <c:pt idx="353">
                  <c:v>-0.10772323721217236</c:v>
                </c:pt>
                <c:pt idx="354">
                  <c:v>-9.9245680495292032E-2</c:v>
                </c:pt>
                <c:pt idx="355">
                  <c:v>-8.6219747308194039E-2</c:v>
                </c:pt>
                <c:pt idx="356">
                  <c:v>-8.7970809786451221E-2</c:v>
                </c:pt>
                <c:pt idx="357">
                  <c:v>-8.5984900845774148E-2</c:v>
                </c:pt>
                <c:pt idx="358">
                  <c:v>-8.9145109992877059E-2</c:v>
                </c:pt>
                <c:pt idx="359">
                  <c:v>-8.3635960961307765E-2</c:v>
                </c:pt>
                <c:pt idx="360">
                  <c:v>-8.1991764147072654E-2</c:v>
                </c:pt>
                <c:pt idx="361">
                  <c:v>-7.3663574940260323E-2</c:v>
                </c:pt>
                <c:pt idx="362">
                  <c:v>-6.7556344819514336E-2</c:v>
                </c:pt>
                <c:pt idx="363">
                  <c:v>-6.6446001065127214E-2</c:v>
                </c:pt>
                <c:pt idx="364">
                  <c:v>-5.487219165318058E-2</c:v>
                </c:pt>
                <c:pt idx="365">
                  <c:v>-5.8091400966761131E-2</c:v>
                </c:pt>
                <c:pt idx="366">
                  <c:v>-6.2978230635928001E-2</c:v>
                </c:pt>
                <c:pt idx="367">
                  <c:v>-6.7779377669775931E-2</c:v>
                </c:pt>
                <c:pt idx="368">
                  <c:v>-6.4414127667942078E-2</c:v>
                </c:pt>
                <c:pt idx="369">
                  <c:v>-7.1487086635600772E-2</c:v>
                </c:pt>
                <c:pt idx="370">
                  <c:v>-7.5280885602684311E-2</c:v>
                </c:pt>
                <c:pt idx="371">
                  <c:v>-6.5142905328429257E-2</c:v>
                </c:pt>
                <c:pt idx="372">
                  <c:v>-6.4671379256873718E-2</c:v>
                </c:pt>
                <c:pt idx="373">
                  <c:v>-6.0984921214071841E-2</c:v>
                </c:pt>
                <c:pt idx="374">
                  <c:v>-4.9903820902381324E-2</c:v>
                </c:pt>
                <c:pt idx="375">
                  <c:v>-4.8810790200297771E-2</c:v>
                </c:pt>
                <c:pt idx="376">
                  <c:v>-5.0225300520641558E-2</c:v>
                </c:pt>
                <c:pt idx="377">
                  <c:v>-5.7662784107188836E-2</c:v>
                </c:pt>
                <c:pt idx="378">
                  <c:v>-6.0041869070958764E-2</c:v>
                </c:pt>
                <c:pt idx="379">
                  <c:v>-5.7662784107188836E-2</c:v>
                </c:pt>
                <c:pt idx="380">
                  <c:v>-5.1661469129945736E-2</c:v>
                </c:pt>
                <c:pt idx="381">
                  <c:v>-4.4031165666765126E-2</c:v>
                </c:pt>
                <c:pt idx="382">
                  <c:v>-3.6443839309890258E-2</c:v>
                </c:pt>
                <c:pt idx="383">
                  <c:v>-3.7043821440105318E-2</c:v>
                </c:pt>
                <c:pt idx="384">
                  <c:v>-3.3700433410199349E-2</c:v>
                </c:pt>
                <c:pt idx="385">
                  <c:v>-2.652020141258371E-2</c:v>
                </c:pt>
                <c:pt idx="386">
                  <c:v>-2.4355458825760179E-2</c:v>
                </c:pt>
                <c:pt idx="387">
                  <c:v>-3.0828299874558707E-2</c:v>
                </c:pt>
                <c:pt idx="388">
                  <c:v>-3.0828299874558707E-2</c:v>
                </c:pt>
                <c:pt idx="389">
                  <c:v>-2.6498746806591145E-2</c:v>
                </c:pt>
                <c:pt idx="390">
                  <c:v>-2.3840887753576512E-2</c:v>
                </c:pt>
                <c:pt idx="391">
                  <c:v>-2.3690909194603815E-2</c:v>
                </c:pt>
                <c:pt idx="392">
                  <c:v>-3.0163750243402565E-2</c:v>
                </c:pt>
                <c:pt idx="393">
                  <c:v>-2.0668797099990699E-2</c:v>
                </c:pt>
                <c:pt idx="394">
                  <c:v>-1.8804147419759332E-2</c:v>
                </c:pt>
                <c:pt idx="395">
                  <c:v>-2.1611849243101666E-2</c:v>
                </c:pt>
                <c:pt idx="396">
                  <c:v>-3.5222013077534808E-2</c:v>
                </c:pt>
                <c:pt idx="397">
                  <c:v>-3.7986941477538783E-2</c:v>
                </c:pt>
                <c:pt idx="398">
                  <c:v>-4.2337881257176635E-2</c:v>
                </c:pt>
                <c:pt idx="399">
                  <c:v>-3.3978868027831566E-2</c:v>
                </c:pt>
                <c:pt idx="400">
                  <c:v>-3.817989714281711E-2</c:v>
                </c:pt>
                <c:pt idx="401">
                  <c:v>-4.4609761085310007E-2</c:v>
                </c:pt>
                <c:pt idx="402">
                  <c:v>-4.4266894755381592E-2</c:v>
                </c:pt>
                <c:pt idx="403">
                  <c:v>-4.48241713565809E-2</c:v>
                </c:pt>
                <c:pt idx="404">
                  <c:v>-3.9551634039824979E-2</c:v>
                </c:pt>
                <c:pt idx="405">
                  <c:v>-5.0739735804180341E-2</c:v>
                </c:pt>
                <c:pt idx="406">
                  <c:v>-5.7705557530527085E-2</c:v>
                </c:pt>
                <c:pt idx="407">
                  <c:v>-6.4885789528142501E-2</c:v>
                </c:pt>
                <c:pt idx="408">
                  <c:v>-6.4435582273934866E-2</c:v>
                </c:pt>
                <c:pt idx="409">
                  <c:v>-5.8348584661370273E-2</c:v>
                </c:pt>
                <c:pt idx="410">
                  <c:v>-6.0899170684427961E-2</c:v>
                </c:pt>
                <c:pt idx="411">
                  <c:v>-5.0439710791912673E-2</c:v>
                </c:pt>
                <c:pt idx="412">
                  <c:v>-6.3599735266458235E-2</c:v>
                </c:pt>
                <c:pt idx="413">
                  <c:v>-5.6998302370355192E-2</c:v>
                </c:pt>
                <c:pt idx="414">
                  <c:v>-5.1018374104780051E-2</c:v>
                </c:pt>
                <c:pt idx="415">
                  <c:v>-3.7301208817682063E-2</c:v>
                </c:pt>
                <c:pt idx="416">
                  <c:v>-3.3335908791310764E-2</c:v>
                </c:pt>
                <c:pt idx="417">
                  <c:v>-3.4750554900301767E-2</c:v>
                </c:pt>
                <c:pt idx="418">
                  <c:v>-3.2950133249399216E-2</c:v>
                </c:pt>
                <c:pt idx="419">
                  <c:v>-3.712977565271669E-2</c:v>
                </c:pt>
                <c:pt idx="420">
                  <c:v>-4.3602548807192831E-2</c:v>
                </c:pt>
                <c:pt idx="421">
                  <c:v>-4.6538842477839681E-2</c:v>
                </c:pt>
                <c:pt idx="422">
                  <c:v>-4.5102809657180609E-2</c:v>
                </c:pt>
                <c:pt idx="423">
                  <c:v>-3.8822788485015303E-2</c:v>
                </c:pt>
                <c:pt idx="424">
                  <c:v>-4.4095461590416329E-2</c:v>
                </c:pt>
                <c:pt idx="425">
                  <c:v>-4.2980840493695216E-2</c:v>
                </c:pt>
                <c:pt idx="426">
                  <c:v>-3.4729168188631698E-2</c:v>
                </c:pt>
                <c:pt idx="427">
                  <c:v>-4.635899041685354E-2</c:v>
                </c:pt>
                <c:pt idx="428">
                  <c:v>-4.5799744880293369E-2</c:v>
                </c:pt>
                <c:pt idx="429">
                  <c:v>-4.7778592811403398E-2</c:v>
                </c:pt>
                <c:pt idx="430">
                  <c:v>-5.6532750999202297E-2</c:v>
                </c:pt>
                <c:pt idx="431">
                  <c:v>-7.2126719050306654E-2</c:v>
                </c:pt>
                <c:pt idx="432">
                  <c:v>-7.4212975800020731E-2</c:v>
                </c:pt>
                <c:pt idx="433">
                  <c:v>-7.0319847438741756E-2</c:v>
                </c:pt>
                <c:pt idx="434">
                  <c:v>-8.397808045368671E-2</c:v>
                </c:pt>
                <c:pt idx="435">
                  <c:v>-8.3612469525633948E-2</c:v>
                </c:pt>
                <c:pt idx="436">
                  <c:v>-7.8299806664127614E-2</c:v>
                </c:pt>
                <c:pt idx="437">
                  <c:v>-8.0536585127396254E-2</c:v>
                </c:pt>
                <c:pt idx="438">
                  <c:v>-8.0902263949771513E-2</c:v>
                </c:pt>
                <c:pt idx="439">
                  <c:v>-9.3205326282462586E-2</c:v>
                </c:pt>
                <c:pt idx="440">
                  <c:v>-8.6602196028290668E-2</c:v>
                </c:pt>
                <c:pt idx="441">
                  <c:v>-8.6946352350352751E-2</c:v>
                </c:pt>
                <c:pt idx="442">
                  <c:v>-7.6105801624197E-2</c:v>
                </c:pt>
                <c:pt idx="443">
                  <c:v>-7.0190848225502256E-2</c:v>
                </c:pt>
                <c:pt idx="444">
                  <c:v>-6.5351408793619892E-2</c:v>
                </c:pt>
                <c:pt idx="445">
                  <c:v>-6.152284793328433E-2</c:v>
                </c:pt>
                <c:pt idx="446">
                  <c:v>-6.7244098829149057E-2</c:v>
                </c:pt>
                <c:pt idx="447">
                  <c:v>-7.1890039441171005E-2</c:v>
                </c:pt>
                <c:pt idx="448">
                  <c:v>-6.2125002681827635E-2</c:v>
                </c:pt>
                <c:pt idx="449">
                  <c:v>-6.2168047682455874E-2</c:v>
                </c:pt>
                <c:pt idx="450">
                  <c:v>-7.4664744623652135E-2</c:v>
                </c:pt>
                <c:pt idx="451">
                  <c:v>-8.279515766827017E-2</c:v>
                </c:pt>
                <c:pt idx="452">
                  <c:v>-9.4065615246132106E-2</c:v>
                </c:pt>
                <c:pt idx="453">
                  <c:v>-9.5635943037206239E-2</c:v>
                </c:pt>
                <c:pt idx="454">
                  <c:v>-8.8817519885568852E-2</c:v>
                </c:pt>
                <c:pt idx="455">
                  <c:v>-0.10189518854660817</c:v>
                </c:pt>
                <c:pt idx="456">
                  <c:v>-0.11264951348286267</c:v>
                </c:pt>
                <c:pt idx="457">
                  <c:v>-0.11667177684602614</c:v>
                </c:pt>
                <c:pt idx="458">
                  <c:v>-0.10611074704666668</c:v>
                </c:pt>
                <c:pt idx="459">
                  <c:v>-0.10049697286372616</c:v>
                </c:pt>
                <c:pt idx="460">
                  <c:v>-9.0903980318250421E-2</c:v>
                </c:pt>
                <c:pt idx="461">
                  <c:v>-7.3481753943913208E-2</c:v>
                </c:pt>
                <c:pt idx="462">
                  <c:v>-6.5028707077550485E-2</c:v>
                </c:pt>
                <c:pt idx="463">
                  <c:v>-6.2877882826892995E-2</c:v>
                </c:pt>
                <c:pt idx="464">
                  <c:v>-6.0210722251658799E-2</c:v>
                </c:pt>
                <c:pt idx="465">
                  <c:v>-5.9522341713214133E-2</c:v>
                </c:pt>
                <c:pt idx="466">
                  <c:v>-6.6856965400783452E-2</c:v>
                </c:pt>
                <c:pt idx="467">
                  <c:v>-5.2295534210185846E-2</c:v>
                </c:pt>
                <c:pt idx="468">
                  <c:v>-5.3198800280160996E-2</c:v>
                </c:pt>
                <c:pt idx="469">
                  <c:v>-3.4830262835218284E-2</c:v>
                </c:pt>
                <c:pt idx="470">
                  <c:v>-3.2786711614519959E-2</c:v>
                </c:pt>
                <c:pt idx="471">
                  <c:v>-3.1603924617748413E-2</c:v>
                </c:pt>
                <c:pt idx="472">
                  <c:v>-3.0399343543374036E-2</c:v>
                </c:pt>
                <c:pt idx="473">
                  <c:v>-2.2935720642562996E-2</c:v>
                </c:pt>
                <c:pt idx="474">
                  <c:v>-2.5065158181552527E-2</c:v>
                </c:pt>
                <c:pt idx="475">
                  <c:v>-2.1301164822160046E-2</c:v>
                </c:pt>
                <c:pt idx="476">
                  <c:v>-2.0698942179294355E-2</c:v>
                </c:pt>
                <c:pt idx="477">
                  <c:v>-2.2462565107261412E-2</c:v>
                </c:pt>
                <c:pt idx="478">
                  <c:v>-2.1494731536342959E-2</c:v>
                </c:pt>
                <c:pt idx="479">
                  <c:v>-2.2183044180467237E-2</c:v>
                </c:pt>
                <c:pt idx="480">
                  <c:v>-1.8332825031171396E-2</c:v>
                </c:pt>
                <c:pt idx="481">
                  <c:v>-1.2525484134048082E-2</c:v>
                </c:pt>
                <c:pt idx="482">
                  <c:v>-1.7709011993667922E-2</c:v>
                </c:pt>
                <c:pt idx="483">
                  <c:v>-1.7902782390820438E-2</c:v>
                </c:pt>
                <c:pt idx="484">
                  <c:v>-2.1860274570073113E-2</c:v>
                </c:pt>
                <c:pt idx="485">
                  <c:v>-1.4396719563586791E-2</c:v>
                </c:pt>
                <c:pt idx="486">
                  <c:v>-1.0159434880247731E-2</c:v>
                </c:pt>
                <c:pt idx="487">
                  <c:v>-6.3094873082440994E-3</c:v>
                </c:pt>
                <c:pt idx="488">
                  <c:v>-1.7710234091485866E-3</c:v>
                </c:pt>
                <c:pt idx="489">
                  <c:v>0</c:v>
                </c:pt>
                <c:pt idx="490">
                  <c:v>0</c:v>
                </c:pt>
                <c:pt idx="491">
                  <c:v>-1.6465288275299139E-3</c:v>
                </c:pt>
                <c:pt idx="492">
                  <c:v>0</c:v>
                </c:pt>
                <c:pt idx="493">
                  <c:v>0</c:v>
                </c:pt>
                <c:pt idx="494">
                  <c:v>-1.3857264462288743E-2</c:v>
                </c:pt>
                <c:pt idx="495">
                  <c:v>-4.5067111390104664E-3</c:v>
                </c:pt>
                <c:pt idx="496">
                  <c:v>-2.5059721255120682E-3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-2.8949203595176609E-3</c:v>
                </c:pt>
                <c:pt idx="501">
                  <c:v>-8.475102761593134E-3</c:v>
                </c:pt>
                <c:pt idx="502">
                  <c:v>-1.6572569938756998E-2</c:v>
                </c:pt>
                <c:pt idx="503">
                  <c:v>-1.9740329699739934E-2</c:v>
                </c:pt>
                <c:pt idx="504">
                  <c:v>-1.8397632727432556E-2</c:v>
                </c:pt>
                <c:pt idx="505">
                  <c:v>-4.3842924173601583E-3</c:v>
                </c:pt>
                <c:pt idx="506">
                  <c:v>-5.8948347550841218E-3</c:v>
                </c:pt>
                <c:pt idx="507">
                  <c:v>-2.7270749941021855E-4</c:v>
                </c:pt>
                <c:pt idx="508">
                  <c:v>-7.1332631526466184E-4</c:v>
                </c:pt>
                <c:pt idx="509">
                  <c:v>-2.0972426799104049E-5</c:v>
                </c:pt>
                <c:pt idx="510">
                  <c:v>-3.6920044799222396E-3</c:v>
                </c:pt>
                <c:pt idx="511">
                  <c:v>-9.2302420284012809E-3</c:v>
                </c:pt>
                <c:pt idx="512">
                  <c:v>-4.1958043802758915E-4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-1.2704629601292261E-3</c:v>
                </c:pt>
                <c:pt idx="519">
                  <c:v>0</c:v>
                </c:pt>
                <c:pt idx="520">
                  <c:v>-7.7342811742098228E-4</c:v>
                </c:pt>
                <c:pt idx="521">
                  <c:v>-1.707826041771543E-2</c:v>
                </c:pt>
                <c:pt idx="522">
                  <c:v>-4.2136025950232359E-3</c:v>
                </c:pt>
                <c:pt idx="523">
                  <c:v>0</c:v>
                </c:pt>
                <c:pt idx="524">
                  <c:v>-3.641132568705352E-3</c:v>
                </c:pt>
                <c:pt idx="525">
                  <c:v>-7.4838613341232652E-4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-4.3895545913108514E-4</c:v>
                </c:pt>
                <c:pt idx="530">
                  <c:v>-1.420608651449573E-2</c:v>
                </c:pt>
                <c:pt idx="531">
                  <c:v>-5.2474559652023745E-3</c:v>
                </c:pt>
                <c:pt idx="532">
                  <c:v>0</c:v>
                </c:pt>
                <c:pt idx="533">
                  <c:v>-4.9799738930423887E-3</c:v>
                </c:pt>
                <c:pt idx="534">
                  <c:v>-1.0457938912922904E-2</c:v>
                </c:pt>
                <c:pt idx="535">
                  <c:v>-9.5615924593941415E-3</c:v>
                </c:pt>
                <c:pt idx="536">
                  <c:v>0</c:v>
                </c:pt>
                <c:pt idx="537">
                  <c:v>0</c:v>
                </c:pt>
                <c:pt idx="538">
                  <c:v>-3.6625170438536747E-3</c:v>
                </c:pt>
                <c:pt idx="539">
                  <c:v>-1.8115728951948462E-3</c:v>
                </c:pt>
                <c:pt idx="540">
                  <c:v>-3.1308194086414609E-3</c:v>
                </c:pt>
                <c:pt idx="541">
                  <c:v>0</c:v>
                </c:pt>
                <c:pt idx="542">
                  <c:v>0</c:v>
                </c:pt>
                <c:pt idx="543">
                  <c:v>-1.0723376427300702E-3</c:v>
                </c:pt>
                <c:pt idx="544">
                  <c:v>-1.1055811517701852E-2</c:v>
                </c:pt>
                <c:pt idx="545">
                  <c:v>-6.0447034777690867E-3</c:v>
                </c:pt>
                <c:pt idx="546">
                  <c:v>0</c:v>
                </c:pt>
                <c:pt idx="547">
                  <c:v>-6.002148112792538E-3</c:v>
                </c:pt>
                <c:pt idx="548">
                  <c:v>-6.8568498026044811E-3</c:v>
                </c:pt>
                <c:pt idx="549">
                  <c:v>0</c:v>
                </c:pt>
                <c:pt idx="550">
                  <c:v>-1.567347105637662E-3</c:v>
                </c:pt>
                <c:pt idx="551">
                  <c:v>-3.541253002879774E-3</c:v>
                </c:pt>
                <c:pt idx="552">
                  <c:v>-1.0383461653134307E-2</c:v>
                </c:pt>
                <c:pt idx="553">
                  <c:v>-4.5020165814918522E-3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-1.8958732333044237E-3</c:v>
                </c:pt>
                <c:pt idx="558">
                  <c:v>-4.6534688346444586E-3</c:v>
                </c:pt>
                <c:pt idx="559">
                  <c:v>-6.4917858796951222E-3</c:v>
                </c:pt>
                <c:pt idx="560">
                  <c:v>0</c:v>
                </c:pt>
                <c:pt idx="561">
                  <c:v>-1.9103900658345996E-4</c:v>
                </c:pt>
                <c:pt idx="562">
                  <c:v>-1.9304584468891051E-3</c:v>
                </c:pt>
                <c:pt idx="563">
                  <c:v>-8.2762602553931863E-3</c:v>
                </c:pt>
                <c:pt idx="564">
                  <c:v>-7.1868766446332444E-3</c:v>
                </c:pt>
                <c:pt idx="565">
                  <c:v>-1.9305303336275892E-2</c:v>
                </c:pt>
                <c:pt idx="566">
                  <c:v>-9.0600054178642253E-3</c:v>
                </c:pt>
                <c:pt idx="567">
                  <c:v>-8.5058185724911084E-3</c:v>
                </c:pt>
                <c:pt idx="568">
                  <c:v>-7.3589854768432161E-3</c:v>
                </c:pt>
                <c:pt idx="569">
                  <c:v>-1.7298285513276834E-2</c:v>
                </c:pt>
                <c:pt idx="570">
                  <c:v>-9.8820901740052092E-3</c:v>
                </c:pt>
                <c:pt idx="571">
                  <c:v>-2.3548657676910612E-2</c:v>
                </c:pt>
                <c:pt idx="572">
                  <c:v>-3.5781683810256593E-2</c:v>
                </c:pt>
                <c:pt idx="573">
                  <c:v>-3.7540273047397155E-2</c:v>
                </c:pt>
                <c:pt idx="574">
                  <c:v>-4.3236458365657482E-2</c:v>
                </c:pt>
                <c:pt idx="575">
                  <c:v>-4.5205136594986817E-2</c:v>
                </c:pt>
                <c:pt idx="576">
                  <c:v>-5.3538846335267953E-2</c:v>
                </c:pt>
                <c:pt idx="577">
                  <c:v>-4.4822818959360355E-2</c:v>
                </c:pt>
                <c:pt idx="578">
                  <c:v>-3.3488017618960919E-2</c:v>
                </c:pt>
                <c:pt idx="579">
                  <c:v>-3.3946834725080532E-2</c:v>
                </c:pt>
                <c:pt idx="580">
                  <c:v>-3.7616772517892083E-2</c:v>
                </c:pt>
                <c:pt idx="581">
                  <c:v>-2.8499137898293392E-2</c:v>
                </c:pt>
                <c:pt idx="582">
                  <c:v>-2.5058698516964739E-2</c:v>
                </c:pt>
                <c:pt idx="583">
                  <c:v>-4.0502965148230707E-2</c:v>
                </c:pt>
                <c:pt idx="584">
                  <c:v>-4.3618536378822625E-2</c:v>
                </c:pt>
                <c:pt idx="585">
                  <c:v>-3.4673130402663621E-2</c:v>
                </c:pt>
                <c:pt idx="586">
                  <c:v>-2.2707582840779339E-2</c:v>
                </c:pt>
                <c:pt idx="587">
                  <c:v>-1.2615283863355642E-2</c:v>
                </c:pt>
                <c:pt idx="588">
                  <c:v>-1.1525900252597698E-2</c:v>
                </c:pt>
                <c:pt idx="589">
                  <c:v>-1.1430171079654827E-2</c:v>
                </c:pt>
                <c:pt idx="590">
                  <c:v>-5.7342852894687324E-3</c:v>
                </c:pt>
                <c:pt idx="591">
                  <c:v>-4.4536829552827006E-3</c:v>
                </c:pt>
                <c:pt idx="592">
                  <c:v>-4.319853811129426E-3</c:v>
                </c:pt>
                <c:pt idx="593">
                  <c:v>0</c:v>
                </c:pt>
                <c:pt idx="594">
                  <c:v>0</c:v>
                </c:pt>
                <c:pt idx="595">
                  <c:v>-2.0576394612447091E-3</c:v>
                </c:pt>
                <c:pt idx="596">
                  <c:v>-6.2293552777159533E-4</c:v>
                </c:pt>
                <c:pt idx="597">
                  <c:v>0</c:v>
                </c:pt>
                <c:pt idx="598">
                  <c:v>0</c:v>
                </c:pt>
                <c:pt idx="599">
                  <c:v>-2.8795139861678143E-3</c:v>
                </c:pt>
                <c:pt idx="600">
                  <c:v>-1.0162525620419194E-2</c:v>
                </c:pt>
                <c:pt idx="601">
                  <c:v>-3.6134892431101129E-3</c:v>
                </c:pt>
                <c:pt idx="602">
                  <c:v>-2.9171446687404901E-3</c:v>
                </c:pt>
                <c:pt idx="603">
                  <c:v>-9.8992288069359446E-3</c:v>
                </c:pt>
                <c:pt idx="604">
                  <c:v>-1.6467375436837406E-2</c:v>
                </c:pt>
                <c:pt idx="605">
                  <c:v>-7.5090316587271833E-3</c:v>
                </c:pt>
                <c:pt idx="606">
                  <c:v>-6.6999130011649033E-3</c:v>
                </c:pt>
                <c:pt idx="607">
                  <c:v>-5.5896309185012871E-3</c:v>
                </c:pt>
                <c:pt idx="608">
                  <c:v>0</c:v>
                </c:pt>
                <c:pt idx="609">
                  <c:v>-1.8640246755241563E-5</c:v>
                </c:pt>
                <c:pt idx="610">
                  <c:v>-1.2343594847802342E-3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-2.7164444541954991E-3</c:v>
                </c:pt>
                <c:pt idx="619">
                  <c:v>-4.0536390927541355E-3</c:v>
                </c:pt>
                <c:pt idx="620">
                  <c:v>-7.2908592044089726E-3</c:v>
                </c:pt>
                <c:pt idx="621">
                  <c:v>-3.4680664640919234E-3</c:v>
                </c:pt>
                <c:pt idx="622">
                  <c:v>-2.2243531702347275E-3</c:v>
                </c:pt>
                <c:pt idx="623">
                  <c:v>-6.5139812321912682E-4</c:v>
                </c:pt>
                <c:pt idx="624">
                  <c:v>-4.5840143015029033E-3</c:v>
                </c:pt>
                <c:pt idx="625">
                  <c:v>-2.5351957834199856E-3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-8.6228985664047464E-3</c:v>
                </c:pt>
                <c:pt idx="633">
                  <c:v>-2.3693269335023359E-3</c:v>
                </c:pt>
                <c:pt idx="634">
                  <c:v>0</c:v>
                </c:pt>
                <c:pt idx="635">
                  <c:v>0</c:v>
                </c:pt>
                <c:pt idx="636">
                  <c:v>-1.402123565533564E-2</c:v>
                </c:pt>
                <c:pt idx="637">
                  <c:v>-2.1598350736961147E-2</c:v>
                </c:pt>
                <c:pt idx="638">
                  <c:v>-2.8095564873474865E-2</c:v>
                </c:pt>
                <c:pt idx="639">
                  <c:v>-1.807515039857821E-2</c:v>
                </c:pt>
                <c:pt idx="640">
                  <c:v>-1.9615416777831296E-2</c:v>
                </c:pt>
                <c:pt idx="641">
                  <c:v>-4.1833413637346717E-2</c:v>
                </c:pt>
                <c:pt idx="642">
                  <c:v>-4.6825978326322404E-2</c:v>
                </c:pt>
                <c:pt idx="643">
                  <c:v>-3.6150411408745198E-2</c:v>
                </c:pt>
                <c:pt idx="644">
                  <c:v>-3.5583969460581732E-2</c:v>
                </c:pt>
                <c:pt idx="645">
                  <c:v>-4.0470457635540469E-2</c:v>
                </c:pt>
                <c:pt idx="646">
                  <c:v>-2.4873559892414354E-2</c:v>
                </c:pt>
                <c:pt idx="647">
                  <c:v>-3.8682200073357653E-2</c:v>
                </c:pt>
                <c:pt idx="648">
                  <c:v>-5.6580482540845578E-2</c:v>
                </c:pt>
                <c:pt idx="649">
                  <c:v>-8.4056290680177614E-2</c:v>
                </c:pt>
                <c:pt idx="650">
                  <c:v>-7.5611538293068103E-2</c:v>
                </c:pt>
                <c:pt idx="651">
                  <c:v>-8.1790301664350085E-2</c:v>
                </c:pt>
                <c:pt idx="652">
                  <c:v>-6.0563827090194033E-2</c:v>
                </c:pt>
                <c:pt idx="653">
                  <c:v>-5.64210912408456E-2</c:v>
                </c:pt>
                <c:pt idx="654">
                  <c:v>-5.5925330098165138E-2</c:v>
                </c:pt>
                <c:pt idx="655">
                  <c:v>-4.0399776830057688E-2</c:v>
                </c:pt>
                <c:pt idx="656">
                  <c:v>-3.737222702276477E-2</c:v>
                </c:pt>
                <c:pt idx="657">
                  <c:v>-2.0872406877209149E-2</c:v>
                </c:pt>
                <c:pt idx="658">
                  <c:v>-1.8677209278453177E-2</c:v>
                </c:pt>
                <c:pt idx="659">
                  <c:v>-9.2945812267352101E-3</c:v>
                </c:pt>
                <c:pt idx="660">
                  <c:v>-1.0905528411471188E-2</c:v>
                </c:pt>
                <c:pt idx="661">
                  <c:v>-7.5063236645521725E-3</c:v>
                </c:pt>
                <c:pt idx="662">
                  <c:v>-1.5295923608981465E-2</c:v>
                </c:pt>
                <c:pt idx="663">
                  <c:v>-4.8330627773852664E-3</c:v>
                </c:pt>
                <c:pt idx="664">
                  <c:v>-7.2053495304091886E-3</c:v>
                </c:pt>
                <c:pt idx="665">
                  <c:v>-5.8422829170124979E-3</c:v>
                </c:pt>
                <c:pt idx="666">
                  <c:v>-1.1613442582187328E-2</c:v>
                </c:pt>
                <c:pt idx="667">
                  <c:v>-1.1525174534026905E-2</c:v>
                </c:pt>
                <c:pt idx="668">
                  <c:v>-2.0890104731468018E-3</c:v>
                </c:pt>
                <c:pt idx="669">
                  <c:v>-2.2625047507677132E-2</c:v>
                </c:pt>
                <c:pt idx="670">
                  <c:v>-2.4625679321074956E-2</c:v>
                </c:pt>
                <c:pt idx="671">
                  <c:v>-2.6997966074098656E-2</c:v>
                </c:pt>
                <c:pt idx="672">
                  <c:v>-4.3373680016599692E-2</c:v>
                </c:pt>
                <c:pt idx="673">
                  <c:v>-3.2663159836843536E-2</c:v>
                </c:pt>
                <c:pt idx="674">
                  <c:v>-2.8449632570423433E-2</c:v>
                </c:pt>
                <c:pt idx="675">
                  <c:v>-1.8482532881506142E-2</c:v>
                </c:pt>
                <c:pt idx="676">
                  <c:v>-1.0214980260254913E-2</c:v>
                </c:pt>
                <c:pt idx="677">
                  <c:v>-5.0456582517793835E-3</c:v>
                </c:pt>
                <c:pt idx="678">
                  <c:v>-3.5762939011866335E-3</c:v>
                </c:pt>
                <c:pt idx="679">
                  <c:v>-3.1690220298455918E-3</c:v>
                </c:pt>
                <c:pt idx="680">
                  <c:v>-6.1253379737102875E-3</c:v>
                </c:pt>
                <c:pt idx="681">
                  <c:v>0</c:v>
                </c:pt>
                <c:pt idx="682">
                  <c:v>-1.7288213638072536E-3</c:v>
                </c:pt>
                <c:pt idx="683">
                  <c:v>0</c:v>
                </c:pt>
                <c:pt idx="684">
                  <c:v>0</c:v>
                </c:pt>
                <c:pt idx="685">
                  <c:v>-2.2056828114733751E-3</c:v>
                </c:pt>
                <c:pt idx="686">
                  <c:v>0</c:v>
                </c:pt>
                <c:pt idx="687">
                  <c:v>-1.4502902539620388E-3</c:v>
                </c:pt>
                <c:pt idx="688">
                  <c:v>0</c:v>
                </c:pt>
                <c:pt idx="689">
                  <c:v>-8.9583884063579866E-3</c:v>
                </c:pt>
                <c:pt idx="690">
                  <c:v>-8.5399872221537665E-3</c:v>
                </c:pt>
                <c:pt idx="691">
                  <c:v>-1.0352552393783521E-2</c:v>
                </c:pt>
                <c:pt idx="692">
                  <c:v>-1.3593153158820703E-3</c:v>
                </c:pt>
                <c:pt idx="693">
                  <c:v>-1.038750962816759E-2</c:v>
                </c:pt>
                <c:pt idx="694">
                  <c:v>-1.0281986547981958E-3</c:v>
                </c:pt>
                <c:pt idx="695">
                  <c:v>0</c:v>
                </c:pt>
                <c:pt idx="696">
                  <c:v>-1.7500366951885837E-3</c:v>
                </c:pt>
                <c:pt idx="697">
                  <c:v>0</c:v>
                </c:pt>
                <c:pt idx="698">
                  <c:v>0</c:v>
                </c:pt>
                <c:pt idx="699">
                  <c:v>-7.769708923203833E-3</c:v>
                </c:pt>
                <c:pt idx="700">
                  <c:v>-3.4570652852327077E-3</c:v>
                </c:pt>
                <c:pt idx="701">
                  <c:v>-3.3715714104645134E-3</c:v>
                </c:pt>
                <c:pt idx="702">
                  <c:v>0</c:v>
                </c:pt>
                <c:pt idx="703">
                  <c:v>-1.6423863978772824E-3</c:v>
                </c:pt>
                <c:pt idx="704">
                  <c:v>-2.1725871709304956E-3</c:v>
                </c:pt>
                <c:pt idx="705">
                  <c:v>-1.1290207779886541E-2</c:v>
                </c:pt>
                <c:pt idx="706">
                  <c:v>-9.1517171216908277E-3</c:v>
                </c:pt>
                <c:pt idx="707">
                  <c:v>-9.4940674198874531E-3</c:v>
                </c:pt>
                <c:pt idx="708">
                  <c:v>-6.4318809213389505E-3</c:v>
                </c:pt>
                <c:pt idx="709">
                  <c:v>-4.824017242605616E-3</c:v>
                </c:pt>
                <c:pt idx="710">
                  <c:v>-7.8346327656402259E-3</c:v>
                </c:pt>
                <c:pt idx="711">
                  <c:v>-2.7284242594982411E-2</c:v>
                </c:pt>
                <c:pt idx="712">
                  <c:v>-2.3178809358299413E-2</c:v>
                </c:pt>
                <c:pt idx="713">
                  <c:v>-2.5282883848951165E-2</c:v>
                </c:pt>
                <c:pt idx="714">
                  <c:v>-1.3496678360349845E-2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-3.1064400712766949E-3</c:v>
                </c:pt>
                <c:pt idx="720">
                  <c:v>-2.6222844136731815E-3</c:v>
                </c:pt>
                <c:pt idx="721">
                  <c:v>-9.0353182917726205E-3</c:v>
                </c:pt>
                <c:pt idx="722">
                  <c:v>-2.1728123607623329E-2</c:v>
                </c:pt>
                <c:pt idx="723">
                  <c:v>-1.771984739630128E-2</c:v>
                </c:pt>
                <c:pt idx="724">
                  <c:v>-1.4129251667419296E-2</c:v>
                </c:pt>
                <c:pt idx="725">
                  <c:v>-1.3795315341481595E-2</c:v>
                </c:pt>
                <c:pt idx="726">
                  <c:v>-8.5010201702737653E-3</c:v>
                </c:pt>
                <c:pt idx="727">
                  <c:v>-5.4279737315902077E-3</c:v>
                </c:pt>
                <c:pt idx="728">
                  <c:v>-2.054280569556366E-3</c:v>
                </c:pt>
                <c:pt idx="729">
                  <c:v>0</c:v>
                </c:pt>
                <c:pt idx="730">
                  <c:v>-3.0302951740410755E-3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-1.6458419887134257E-3</c:v>
                </c:pt>
                <c:pt idx="736">
                  <c:v>0</c:v>
                </c:pt>
                <c:pt idx="737">
                  <c:v>-5.1496730700580917E-3</c:v>
                </c:pt>
                <c:pt idx="738">
                  <c:v>-8.2426538248325798E-3</c:v>
                </c:pt>
                <c:pt idx="739">
                  <c:v>-5.7563609222888168E-4</c:v>
                </c:pt>
                <c:pt idx="740">
                  <c:v>-5.7253091622868624E-3</c:v>
                </c:pt>
                <c:pt idx="741">
                  <c:v>-5.9228926384873315E-3</c:v>
                </c:pt>
                <c:pt idx="742">
                  <c:v>-1.6782297750305153E-3</c:v>
                </c:pt>
                <c:pt idx="743">
                  <c:v>-5.7912044813728247E-3</c:v>
                </c:pt>
                <c:pt idx="744">
                  <c:v>-3.5422269604906687E-2</c:v>
                </c:pt>
                <c:pt idx="745">
                  <c:v>-3.5718439857095996E-2</c:v>
                </c:pt>
                <c:pt idx="746">
                  <c:v>-2.4136440818573246E-2</c:v>
                </c:pt>
                <c:pt idx="747">
                  <c:v>-1.8292663555409372E-2</c:v>
                </c:pt>
                <c:pt idx="748">
                  <c:v>-7.3808906239152261E-3</c:v>
                </c:pt>
                <c:pt idx="749">
                  <c:v>-7.3148928237735111E-3</c:v>
                </c:pt>
                <c:pt idx="750">
                  <c:v>-1.7764373711107395E-2</c:v>
                </c:pt>
                <c:pt idx="751">
                  <c:v>-2.8973239224295622E-2</c:v>
                </c:pt>
                <c:pt idx="752">
                  <c:v>-3.2505966190883973E-2</c:v>
                </c:pt>
                <c:pt idx="753">
                  <c:v>-3.48830142876011E-2</c:v>
                </c:pt>
                <c:pt idx="754">
                  <c:v>-2.2815767448347013E-2</c:v>
                </c:pt>
                <c:pt idx="755">
                  <c:v>-1.7186585516700381E-2</c:v>
                </c:pt>
                <c:pt idx="756">
                  <c:v>-2.8296454329675313E-2</c:v>
                </c:pt>
                <c:pt idx="757">
                  <c:v>-2.6876784259237341E-2</c:v>
                </c:pt>
                <c:pt idx="758">
                  <c:v>-4.1733872889260559E-2</c:v>
                </c:pt>
                <c:pt idx="759">
                  <c:v>-4.0248102537625341E-2</c:v>
                </c:pt>
                <c:pt idx="760">
                  <c:v>-3.8927634129512056E-2</c:v>
                </c:pt>
                <c:pt idx="761">
                  <c:v>-2.1445698209071495E-2</c:v>
                </c:pt>
                <c:pt idx="762">
                  <c:v>-2.3327557842613866E-2</c:v>
                </c:pt>
                <c:pt idx="763">
                  <c:v>-1.3521760468772959E-2</c:v>
                </c:pt>
                <c:pt idx="764">
                  <c:v>-4.4921546139884416E-3</c:v>
                </c:pt>
                <c:pt idx="765">
                  <c:v>0</c:v>
                </c:pt>
                <c:pt idx="766">
                  <c:v>0</c:v>
                </c:pt>
                <c:pt idx="767">
                  <c:v>-2.9191634446454895E-3</c:v>
                </c:pt>
                <c:pt idx="768">
                  <c:v>-1.7023328872595611E-2</c:v>
                </c:pt>
                <c:pt idx="769">
                  <c:v>-8.5770788654684349E-3</c:v>
                </c:pt>
                <c:pt idx="770">
                  <c:v>-1.3021696617142808E-2</c:v>
                </c:pt>
                <c:pt idx="771">
                  <c:v>-7.7244005085725931E-3</c:v>
                </c:pt>
                <c:pt idx="772">
                  <c:v>-1.3005304830220998E-2</c:v>
                </c:pt>
                <c:pt idx="773">
                  <c:v>-1.9647338340328502E-2</c:v>
                </c:pt>
                <c:pt idx="774">
                  <c:v>-1.3070770165562795E-2</c:v>
                </c:pt>
                <c:pt idx="775">
                  <c:v>-9.0692397224505505E-3</c:v>
                </c:pt>
                <c:pt idx="776">
                  <c:v>-5.6251318469808798E-3</c:v>
                </c:pt>
                <c:pt idx="777">
                  <c:v>-1.4727155143273496E-2</c:v>
                </c:pt>
                <c:pt idx="778">
                  <c:v>-8.0360480847461169E-3</c:v>
                </c:pt>
                <c:pt idx="779">
                  <c:v>-7.281516824693357E-3</c:v>
                </c:pt>
                <c:pt idx="780">
                  <c:v>-1.0479544271670305E-2</c:v>
                </c:pt>
                <c:pt idx="781">
                  <c:v>-3.2783573840400315E-5</c:v>
                </c:pt>
                <c:pt idx="782">
                  <c:v>-8.1958934602721634E-5</c:v>
                </c:pt>
                <c:pt idx="783">
                  <c:v>0</c:v>
                </c:pt>
                <c:pt idx="784">
                  <c:v>0</c:v>
                </c:pt>
                <c:pt idx="785">
                  <c:v>-4.1604469788889542E-3</c:v>
                </c:pt>
                <c:pt idx="786">
                  <c:v>-2.1193394088938833E-2</c:v>
                </c:pt>
                <c:pt idx="787">
                  <c:v>-2.5647463673951543E-2</c:v>
                </c:pt>
                <c:pt idx="788">
                  <c:v>-3.0492895021664079E-2</c:v>
                </c:pt>
                <c:pt idx="789">
                  <c:v>-3.0003591534188745E-2</c:v>
                </c:pt>
                <c:pt idx="790">
                  <c:v>-4.5486588060752231E-2</c:v>
                </c:pt>
                <c:pt idx="791">
                  <c:v>-3.0590735462339813E-2</c:v>
                </c:pt>
                <c:pt idx="792">
                  <c:v>-4.7574964920252705E-2</c:v>
                </c:pt>
                <c:pt idx="793">
                  <c:v>-5.8848594247590924E-2</c:v>
                </c:pt>
                <c:pt idx="794">
                  <c:v>-4.8733249888740171E-2</c:v>
                </c:pt>
                <c:pt idx="795">
                  <c:v>-6.561933505367834E-2</c:v>
                </c:pt>
                <c:pt idx="796">
                  <c:v>-6.0382238090965323E-2</c:v>
                </c:pt>
                <c:pt idx="797">
                  <c:v>-8.5409437936041499E-2</c:v>
                </c:pt>
                <c:pt idx="798">
                  <c:v>-9.3012531476567295E-2</c:v>
                </c:pt>
                <c:pt idx="799">
                  <c:v>-8.8199409756778313E-2</c:v>
                </c:pt>
                <c:pt idx="800">
                  <c:v>-0.10035421075479178</c:v>
                </c:pt>
                <c:pt idx="801">
                  <c:v>-8.1771211777154296E-2</c:v>
                </c:pt>
                <c:pt idx="802">
                  <c:v>-7.46905416248278E-2</c:v>
                </c:pt>
                <c:pt idx="803">
                  <c:v>-8.4691637518791163E-2</c:v>
                </c:pt>
                <c:pt idx="804">
                  <c:v>-7.4723155105053674E-2</c:v>
                </c:pt>
                <c:pt idx="805">
                  <c:v>-7.7398777176803324E-2</c:v>
                </c:pt>
                <c:pt idx="806">
                  <c:v>-7.7094418456070568E-2</c:v>
                </c:pt>
                <c:pt idx="807">
                  <c:v>-6.0566473869006821E-2</c:v>
                </c:pt>
                <c:pt idx="808">
                  <c:v>-5.8308446141875914E-2</c:v>
                </c:pt>
                <c:pt idx="809">
                  <c:v>-6.9550474829989994E-2</c:v>
                </c:pt>
                <c:pt idx="810">
                  <c:v>-7.2021401735483215E-2</c:v>
                </c:pt>
                <c:pt idx="811">
                  <c:v>-9.0709432324902362E-2</c:v>
                </c:pt>
                <c:pt idx="812">
                  <c:v>-8.4605546033725942E-2</c:v>
                </c:pt>
                <c:pt idx="813">
                  <c:v>-8.2020066811044567E-2</c:v>
                </c:pt>
                <c:pt idx="814">
                  <c:v>-7.6210714682893754E-2</c:v>
                </c:pt>
                <c:pt idx="815">
                  <c:v>-0.12173579070167384</c:v>
                </c:pt>
                <c:pt idx="816">
                  <c:v>-0.17315200575941914</c:v>
                </c:pt>
                <c:pt idx="817">
                  <c:v>-0.17462472721659728</c:v>
                </c:pt>
                <c:pt idx="818">
                  <c:v>-0.18755247782435314</c:v>
                </c:pt>
                <c:pt idx="819">
                  <c:v>-0.10222968843592828</c:v>
                </c:pt>
                <c:pt idx="820">
                  <c:v>-0.14156924317887021</c:v>
                </c:pt>
                <c:pt idx="821">
                  <c:v>-0.12625245386053541</c:v>
                </c:pt>
                <c:pt idx="822">
                  <c:v>-0.1177757849568406</c:v>
                </c:pt>
                <c:pt idx="823">
                  <c:v>-0.12024671186233382</c:v>
                </c:pt>
                <c:pt idx="824">
                  <c:v>-0.13980193691661658</c:v>
                </c:pt>
                <c:pt idx="825">
                  <c:v>-0.13857467747597663</c:v>
                </c:pt>
                <c:pt idx="826">
                  <c:v>-0.15907883326388605</c:v>
                </c:pt>
                <c:pt idx="827">
                  <c:v>-0.13719994838562366</c:v>
                </c:pt>
                <c:pt idx="828">
                  <c:v>-0.12383044717537994</c:v>
                </c:pt>
                <c:pt idx="829">
                  <c:v>-0.10538792924454898</c:v>
                </c:pt>
                <c:pt idx="830">
                  <c:v>-9.8924281829896876E-2</c:v>
                </c:pt>
                <c:pt idx="831">
                  <c:v>-9.8580624878332412E-2</c:v>
                </c:pt>
                <c:pt idx="832">
                  <c:v>-9.2902233091581632E-2</c:v>
                </c:pt>
                <c:pt idx="833">
                  <c:v>-9.2542269399906618E-2</c:v>
                </c:pt>
                <c:pt idx="834">
                  <c:v>-8.611123546547883E-2</c:v>
                </c:pt>
                <c:pt idx="835">
                  <c:v>-7.2545243101084567E-2</c:v>
                </c:pt>
                <c:pt idx="836">
                  <c:v>-7.7863468627959453E-2</c:v>
                </c:pt>
                <c:pt idx="837">
                  <c:v>-8.5571188643865037E-2</c:v>
                </c:pt>
                <c:pt idx="838">
                  <c:v>-8.172553264801885E-2</c:v>
                </c:pt>
                <c:pt idx="839">
                  <c:v>-7.5327112193816825E-2</c:v>
                </c:pt>
                <c:pt idx="840">
                  <c:v>-7.6505248845919471E-2</c:v>
                </c:pt>
                <c:pt idx="841">
                  <c:v>-4.5986121242335032E-2</c:v>
                </c:pt>
                <c:pt idx="842">
                  <c:v>-3.9685845081107729E-2</c:v>
                </c:pt>
                <c:pt idx="843">
                  <c:v>-3.8458585640467779E-2</c:v>
                </c:pt>
                <c:pt idx="844">
                  <c:v>-3.3762143203969752E-2</c:v>
                </c:pt>
                <c:pt idx="845">
                  <c:v>-2.7641848888580012E-2</c:v>
                </c:pt>
                <c:pt idx="846">
                  <c:v>-2.6578264553665409E-2</c:v>
                </c:pt>
                <c:pt idx="847">
                  <c:v>-2.9851158963572377E-2</c:v>
                </c:pt>
                <c:pt idx="848">
                  <c:v>-4.6198919136597572E-2</c:v>
                </c:pt>
                <c:pt idx="849">
                  <c:v>-4.5822344852509911E-2</c:v>
                </c:pt>
                <c:pt idx="850">
                  <c:v>-5.2335520192099416E-2</c:v>
                </c:pt>
                <c:pt idx="851">
                  <c:v>-3.2633028056304636E-2</c:v>
                </c:pt>
                <c:pt idx="852">
                  <c:v>-3.8229582290192687E-2</c:v>
                </c:pt>
                <c:pt idx="853">
                  <c:v>-3.4433049082883804E-2</c:v>
                </c:pt>
                <c:pt idx="854">
                  <c:v>-3.5513142726111391E-2</c:v>
                </c:pt>
                <c:pt idx="855">
                  <c:v>-3.0080061029747807E-2</c:v>
                </c:pt>
                <c:pt idx="856">
                  <c:v>-2.4549138892710043E-2</c:v>
                </c:pt>
                <c:pt idx="857">
                  <c:v>-2.4810958291410112E-2</c:v>
                </c:pt>
                <c:pt idx="858">
                  <c:v>-2.9523910036221235E-2</c:v>
                </c:pt>
                <c:pt idx="859">
                  <c:v>-1.9557959724985308E-2</c:v>
                </c:pt>
                <c:pt idx="860">
                  <c:v>-1.8674458520009596E-2</c:v>
                </c:pt>
                <c:pt idx="861">
                  <c:v>-1.3110619050445305E-2</c:v>
                </c:pt>
                <c:pt idx="862">
                  <c:v>-1.5925304191602763E-2</c:v>
                </c:pt>
                <c:pt idx="863">
                  <c:v>-1.2014218667105725E-2</c:v>
                </c:pt>
                <c:pt idx="864">
                  <c:v>-2.3059958769268474E-2</c:v>
                </c:pt>
                <c:pt idx="865">
                  <c:v>-1.3765116905147701E-2</c:v>
                </c:pt>
                <c:pt idx="866">
                  <c:v>-2.2192561736203875E-2</c:v>
                </c:pt>
                <c:pt idx="867">
                  <c:v>-2.233993010181734E-2</c:v>
                </c:pt>
                <c:pt idx="868">
                  <c:v>-2.4635939366476012E-2</c:v>
                </c:pt>
                <c:pt idx="869">
                  <c:v>-1.5001998335295363E-2</c:v>
                </c:pt>
                <c:pt idx="870">
                  <c:v>-4.1204397593579412E-3</c:v>
                </c:pt>
                <c:pt idx="871">
                  <c:v>-3.5623643679294492E-3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-3.2351440318323377E-4</c:v>
                </c:pt>
                <c:pt idx="876">
                  <c:v>0</c:v>
                </c:pt>
                <c:pt idx="877">
                  <c:v>0</c:v>
                </c:pt>
                <c:pt idx="878">
                  <c:v>-7.4520698702841282E-3</c:v>
                </c:pt>
                <c:pt idx="879">
                  <c:v>-7.9957234036089897E-3</c:v>
                </c:pt>
                <c:pt idx="880">
                  <c:v>-2.0470149286139216E-3</c:v>
                </c:pt>
                <c:pt idx="881">
                  <c:v>0</c:v>
                </c:pt>
                <c:pt idx="882">
                  <c:v>-3.5154084840555155E-3</c:v>
                </c:pt>
                <c:pt idx="883">
                  <c:v>-1.6139324167884217E-3</c:v>
                </c:pt>
                <c:pt idx="884">
                  <c:v>-5.8802479304697064E-3</c:v>
                </c:pt>
                <c:pt idx="885">
                  <c:v>-2.5566338223306229E-3</c:v>
                </c:pt>
                <c:pt idx="886">
                  <c:v>0</c:v>
                </c:pt>
                <c:pt idx="887">
                  <c:v>-7.3243279015400287E-4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-2.5106900474680671E-4</c:v>
                </c:pt>
                <c:pt idx="894">
                  <c:v>-2.8879715958819441E-3</c:v>
                </c:pt>
                <c:pt idx="895">
                  <c:v>-4.143800934825248E-3</c:v>
                </c:pt>
                <c:pt idx="896">
                  <c:v>-7.8794210108537044E-3</c:v>
                </c:pt>
                <c:pt idx="897">
                  <c:v>-2.4140691631178046E-2</c:v>
                </c:pt>
                <c:pt idx="898">
                  <c:v>-9.307860290559633E-3</c:v>
                </c:pt>
                <c:pt idx="899">
                  <c:v>-1.4330499605041624E-2</c:v>
                </c:pt>
                <c:pt idx="900">
                  <c:v>-6.7807035259603854E-3</c:v>
                </c:pt>
                <c:pt idx="901">
                  <c:v>-7.6125633302679407E-3</c:v>
                </c:pt>
                <c:pt idx="902">
                  <c:v>0</c:v>
                </c:pt>
                <c:pt idx="903">
                  <c:v>-1.9774044951008651E-3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-2.3412936104085791E-3</c:v>
                </c:pt>
                <c:pt idx="908">
                  <c:v>-2.5583050905837457E-3</c:v>
                </c:pt>
                <c:pt idx="909">
                  <c:v>-7.9696222201387501E-3</c:v>
                </c:pt>
                <c:pt idx="910">
                  <c:v>-1.0605622778933399E-2</c:v>
                </c:pt>
                <c:pt idx="911">
                  <c:v>-1.4574789542878053E-2</c:v>
                </c:pt>
                <c:pt idx="912">
                  <c:v>0</c:v>
                </c:pt>
                <c:pt idx="913">
                  <c:v>-4.4010200352047057E-3</c:v>
                </c:pt>
                <c:pt idx="914">
                  <c:v>-2.3247821006933123E-4</c:v>
                </c:pt>
                <c:pt idx="915">
                  <c:v>0</c:v>
                </c:pt>
                <c:pt idx="916">
                  <c:v>0</c:v>
                </c:pt>
                <c:pt idx="917">
                  <c:v>-5.9637339245178778E-3</c:v>
                </c:pt>
                <c:pt idx="918">
                  <c:v>-1.3329888224803854E-2</c:v>
                </c:pt>
                <c:pt idx="919">
                  <c:v>-7.9824889076891559E-3</c:v>
                </c:pt>
                <c:pt idx="920">
                  <c:v>0</c:v>
                </c:pt>
                <c:pt idx="921">
                  <c:v>-2.8963839692850435E-3</c:v>
                </c:pt>
                <c:pt idx="922">
                  <c:v>-4.4663598397176596E-4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-3.3472424849512183E-4</c:v>
                </c:pt>
                <c:pt idx="927">
                  <c:v>0</c:v>
                </c:pt>
                <c:pt idx="928">
                  <c:v>-1.3768848246962229E-3</c:v>
                </c:pt>
                <c:pt idx="929">
                  <c:v>-2.6176311661145757E-3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-5.4434706499808527E-3</c:v>
                </c:pt>
                <c:pt idx="934">
                  <c:v>-8.6078155849894644E-3</c:v>
                </c:pt>
                <c:pt idx="935">
                  <c:v>-1.3181571271498438E-2</c:v>
                </c:pt>
                <c:pt idx="936">
                  <c:v>-7.5279625727249222E-3</c:v>
                </c:pt>
                <c:pt idx="937">
                  <c:v>-4.7387652742305608E-3</c:v>
                </c:pt>
                <c:pt idx="938">
                  <c:v>-9.89780664605866E-4</c:v>
                </c:pt>
                <c:pt idx="939">
                  <c:v>0</c:v>
                </c:pt>
                <c:pt idx="940">
                  <c:v>0</c:v>
                </c:pt>
                <c:pt idx="941">
                  <c:v>-1.4805406383766595E-5</c:v>
                </c:pt>
                <c:pt idx="942">
                  <c:v>0</c:v>
                </c:pt>
                <c:pt idx="943">
                  <c:v>-3.7075138893175597E-3</c:v>
                </c:pt>
                <c:pt idx="944">
                  <c:v>0</c:v>
                </c:pt>
                <c:pt idx="945">
                  <c:v>-2.896974724932333E-3</c:v>
                </c:pt>
                <c:pt idx="946">
                  <c:v>-2.9846537870176992E-2</c:v>
                </c:pt>
                <c:pt idx="947">
                  <c:v>-1.4960388538014069E-2</c:v>
                </c:pt>
                <c:pt idx="948">
                  <c:v>-1.6163758522536931E-2</c:v>
                </c:pt>
                <c:pt idx="949">
                  <c:v>-1.1795896674749895E-2</c:v>
                </c:pt>
                <c:pt idx="950">
                  <c:v>-1.8525881825995127E-2</c:v>
                </c:pt>
                <c:pt idx="951">
                  <c:v>-1.2954741421279503E-2</c:v>
                </c:pt>
                <c:pt idx="952">
                  <c:v>-2.6889769499141014E-3</c:v>
                </c:pt>
                <c:pt idx="953">
                  <c:v>-2.7039710752340129E-3</c:v>
                </c:pt>
                <c:pt idx="954">
                  <c:v>-7.8887384701804564E-3</c:v>
                </c:pt>
                <c:pt idx="955">
                  <c:v>-2.0055556891414028E-3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-1.0998098598901773E-2</c:v>
                </c:pt>
                <c:pt idx="961">
                  <c:v>-7.7539527172642009E-3</c:v>
                </c:pt>
                <c:pt idx="962">
                  <c:v>-5.8917649940590788E-3</c:v>
                </c:pt>
                <c:pt idx="963">
                  <c:v>-1.7675474038686967E-2</c:v>
                </c:pt>
                <c:pt idx="964">
                  <c:v>-1.427134116371398E-2</c:v>
                </c:pt>
                <c:pt idx="965">
                  <c:v>-2.4847582620703523E-2</c:v>
                </c:pt>
                <c:pt idx="966">
                  <c:v>-2.3887481604181859E-2</c:v>
                </c:pt>
                <c:pt idx="967">
                  <c:v>-8.655860367434931E-3</c:v>
                </c:pt>
                <c:pt idx="968">
                  <c:v>-6.3864981362905526E-3</c:v>
                </c:pt>
                <c:pt idx="969">
                  <c:v>-5.8336611559637319E-3</c:v>
                </c:pt>
                <c:pt idx="970">
                  <c:v>-2.2330853818442797E-2</c:v>
                </c:pt>
                <c:pt idx="971">
                  <c:v>-2.2490751283522514E-2</c:v>
                </c:pt>
                <c:pt idx="972">
                  <c:v>-3.1597744532554151E-2</c:v>
                </c:pt>
                <c:pt idx="973">
                  <c:v>-3.9729864602838338E-2</c:v>
                </c:pt>
                <c:pt idx="974">
                  <c:v>-3.6020171790399624E-2</c:v>
                </c:pt>
                <c:pt idx="975">
                  <c:v>-5.0713459624278423E-2</c:v>
                </c:pt>
                <c:pt idx="976">
                  <c:v>-4.1257395705401434E-2</c:v>
                </c:pt>
                <c:pt idx="977">
                  <c:v>-2.7146220591535264E-2</c:v>
                </c:pt>
                <c:pt idx="978">
                  <c:v>-1.7995627081868748E-2</c:v>
                </c:pt>
                <c:pt idx="979">
                  <c:v>-1.1216278958586456E-2</c:v>
                </c:pt>
                <c:pt idx="980">
                  <c:v>-5.819068050249343E-3</c:v>
                </c:pt>
                <c:pt idx="981">
                  <c:v>-1.0357971569049162E-2</c:v>
                </c:pt>
                <c:pt idx="982">
                  <c:v>-8.5248805290188967E-3</c:v>
                </c:pt>
                <c:pt idx="983">
                  <c:v>-5.0916509708712754E-3</c:v>
                </c:pt>
                <c:pt idx="984">
                  <c:v>-4.3643234197501268E-3</c:v>
                </c:pt>
                <c:pt idx="985">
                  <c:v>-2.4731285416258464E-3</c:v>
                </c:pt>
                <c:pt idx="986">
                  <c:v>-5.4699078521484035E-3</c:v>
                </c:pt>
                <c:pt idx="987">
                  <c:v>-6.328394298196649E-3</c:v>
                </c:pt>
                <c:pt idx="988">
                  <c:v>0</c:v>
                </c:pt>
                <c:pt idx="989">
                  <c:v>0</c:v>
                </c:pt>
                <c:pt idx="990">
                  <c:v>-1.0752075575282682E-2</c:v>
                </c:pt>
                <c:pt idx="991">
                  <c:v>-1.2246639797789727E-2</c:v>
                </c:pt>
                <c:pt idx="992">
                  <c:v>-1.494546363102045E-2</c:v>
                </c:pt>
                <c:pt idx="993">
                  <c:v>-2.5784603800731443E-2</c:v>
                </c:pt>
                <c:pt idx="994">
                  <c:v>-1.8428047408145076E-2</c:v>
                </c:pt>
                <c:pt idx="995">
                  <c:v>-9.5315639069303293E-3</c:v>
                </c:pt>
                <c:pt idx="996">
                  <c:v>-3.3610505330051721E-3</c:v>
                </c:pt>
                <c:pt idx="997">
                  <c:v>0</c:v>
                </c:pt>
                <c:pt idx="998">
                  <c:v>0</c:v>
                </c:pt>
                <c:pt idx="999">
                  <c:v>-1.014096654516905E-4</c:v>
                </c:pt>
                <c:pt idx="1000">
                  <c:v>-3.6647017840364393E-3</c:v>
                </c:pt>
                <c:pt idx="1001">
                  <c:v>-4.8813511358096751E-3</c:v>
                </c:pt>
                <c:pt idx="1002">
                  <c:v>-1.2254127111194113E-2</c:v>
                </c:pt>
                <c:pt idx="1003">
                  <c:v>-1.0443595739656031E-2</c:v>
                </c:pt>
                <c:pt idx="1004">
                  <c:v>-3.8530340198764668E-3</c:v>
                </c:pt>
                <c:pt idx="1005">
                  <c:v>0</c:v>
                </c:pt>
                <c:pt idx="1006">
                  <c:v>-3.223412281198379E-3</c:v>
                </c:pt>
                <c:pt idx="1007">
                  <c:v>-3.3246123310797238E-3</c:v>
                </c:pt>
                <c:pt idx="1008">
                  <c:v>0</c:v>
                </c:pt>
                <c:pt idx="1009">
                  <c:v>0</c:v>
                </c:pt>
                <c:pt idx="1010">
                  <c:v>-1.9995067653828524E-3</c:v>
                </c:pt>
                <c:pt idx="1011">
                  <c:v>-6.904843320334253E-3</c:v>
                </c:pt>
                <c:pt idx="1012">
                  <c:v>-4.2004382620841607E-3</c:v>
                </c:pt>
                <c:pt idx="1013">
                  <c:v>-5.0348238822306435E-3</c:v>
                </c:pt>
                <c:pt idx="1014">
                  <c:v>-2.5289130990863162E-2</c:v>
                </c:pt>
                <c:pt idx="1015">
                  <c:v>-1.40398863336062E-2</c:v>
                </c:pt>
                <c:pt idx="1016">
                  <c:v>-8.8899626049082636E-3</c:v>
                </c:pt>
                <c:pt idx="1017">
                  <c:v>-8.5304521181990278E-3</c:v>
                </c:pt>
                <c:pt idx="1018">
                  <c:v>-3.4956282359697166E-3</c:v>
                </c:pt>
                <c:pt idx="1019">
                  <c:v>0</c:v>
                </c:pt>
                <c:pt idx="1020">
                  <c:v>-1.0066458032442771E-4</c:v>
                </c:pt>
                <c:pt idx="1021">
                  <c:v>-2.0848419786655414E-3</c:v>
                </c:pt>
                <c:pt idx="1022">
                  <c:v>-5.0611963010490646E-3</c:v>
                </c:pt>
                <c:pt idx="1023">
                  <c:v>-1.149570097842556E-4</c:v>
                </c:pt>
                <c:pt idx="1024">
                  <c:v>-8.5694583839743821E-3</c:v>
                </c:pt>
                <c:pt idx="1025">
                  <c:v>-1.3371802907044428E-2</c:v>
                </c:pt>
                <c:pt idx="1026">
                  <c:v>-2.5694082722463651E-2</c:v>
                </c:pt>
                <c:pt idx="1027">
                  <c:v>-7.0022317363925834E-3</c:v>
                </c:pt>
                <c:pt idx="1028">
                  <c:v>-2.2141796427805893E-3</c:v>
                </c:pt>
                <c:pt idx="1029">
                  <c:v>-4.8454864860661973E-3</c:v>
                </c:pt>
                <c:pt idx="1030">
                  <c:v>-5.0754887305072272E-3</c:v>
                </c:pt>
                <c:pt idx="1031">
                  <c:v>-2.0445937915098078E-2</c:v>
                </c:pt>
                <c:pt idx="1032">
                  <c:v>-1.9755842956901914E-2</c:v>
                </c:pt>
                <c:pt idx="1033">
                  <c:v>-1.8174235654988991E-2</c:v>
                </c:pt>
                <c:pt idx="1034">
                  <c:v>-1.3228084588596811E-2</c:v>
                </c:pt>
                <c:pt idx="1035">
                  <c:v>-1.5830630123218836E-2</c:v>
                </c:pt>
                <c:pt idx="1036">
                  <c:v>-8.7131767024219986E-3</c:v>
                </c:pt>
                <c:pt idx="1037">
                  <c:v>-1.8835569304520239E-2</c:v>
                </c:pt>
                <c:pt idx="1038">
                  <c:v>-1.1703999904010942E-2</c:v>
                </c:pt>
                <c:pt idx="1039">
                  <c:v>-3.3644555396049602E-3</c:v>
                </c:pt>
                <c:pt idx="1040">
                  <c:v>-8.9002134336128025E-3</c:v>
                </c:pt>
                <c:pt idx="1041">
                  <c:v>-1.3659415993686919E-2</c:v>
                </c:pt>
                <c:pt idx="1042">
                  <c:v>-1.3098570474734506E-2</c:v>
                </c:pt>
                <c:pt idx="1043">
                  <c:v>-2.1797454747698453E-2</c:v>
                </c:pt>
                <c:pt idx="1044">
                  <c:v>-1.4895975816503149E-2</c:v>
                </c:pt>
                <c:pt idx="1045">
                  <c:v>-2.038841529776958E-2</c:v>
                </c:pt>
                <c:pt idx="1046">
                  <c:v>-3.3228310444272213E-2</c:v>
                </c:pt>
                <c:pt idx="1047">
                  <c:v>-2.4759428415749518E-2</c:v>
                </c:pt>
                <c:pt idx="1048">
                  <c:v>-2.6326743288204169E-2</c:v>
                </c:pt>
                <c:pt idx="1049">
                  <c:v>-2.7548834231814978E-2</c:v>
                </c:pt>
                <c:pt idx="1050">
                  <c:v>-4.2315472384203079E-2</c:v>
                </c:pt>
                <c:pt idx="1051">
                  <c:v>-4.7736096818681184E-2</c:v>
                </c:pt>
                <c:pt idx="1052">
                  <c:v>-3.8045035621674828E-2</c:v>
                </c:pt>
                <c:pt idx="1053">
                  <c:v>-3.5514569808459684E-2</c:v>
                </c:pt>
                <c:pt idx="1054">
                  <c:v>-4.8972656641497414E-2</c:v>
                </c:pt>
                <c:pt idx="1055">
                  <c:v>-5.1316262173267568E-2</c:v>
                </c:pt>
                <c:pt idx="1056">
                  <c:v>-6.491639105216207E-2</c:v>
                </c:pt>
                <c:pt idx="1057">
                  <c:v>-5.5098021363122918E-2</c:v>
                </c:pt>
                <c:pt idx="1058">
                  <c:v>-5.8269882004524876E-2</c:v>
                </c:pt>
                <c:pt idx="1059">
                  <c:v>-5.3021913646905006E-2</c:v>
                </c:pt>
                <c:pt idx="1060">
                  <c:v>-6.9933739591229505E-2</c:v>
                </c:pt>
                <c:pt idx="1061">
                  <c:v>-8.5793131023111813E-2</c:v>
                </c:pt>
                <c:pt idx="1062">
                  <c:v>-8.8849681755236665E-2</c:v>
                </c:pt>
                <c:pt idx="1063">
                  <c:v>-6.2364486594759572E-2</c:v>
                </c:pt>
                <c:pt idx="1064">
                  <c:v>-5.5299879873011881E-2</c:v>
                </c:pt>
                <c:pt idx="1065">
                  <c:v>-5.4449215645587246E-2</c:v>
                </c:pt>
                <c:pt idx="1066">
                  <c:v>-4.99797435691125E-2</c:v>
                </c:pt>
                <c:pt idx="1067">
                  <c:v>-4.9561734119875078E-2</c:v>
                </c:pt>
                <c:pt idx="1068">
                  <c:v>-2.5354416960631898E-2</c:v>
                </c:pt>
                <c:pt idx="1069">
                  <c:v>-1.9731669341644831E-2</c:v>
                </c:pt>
                <c:pt idx="1070">
                  <c:v>-2.0380386834307651E-2</c:v>
                </c:pt>
                <c:pt idx="1071">
                  <c:v>-1.0807105843027909E-2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-1.9997351150183862E-3</c:v>
                </c:pt>
                <c:pt idx="1077">
                  <c:v>-8.5335359120354282E-3</c:v>
                </c:pt>
                <c:pt idx="1078">
                  <c:v>0</c:v>
                </c:pt>
                <c:pt idx="1079">
                  <c:v>-3.8807408683984024E-3</c:v>
                </c:pt>
                <c:pt idx="1080">
                  <c:v>0</c:v>
                </c:pt>
                <c:pt idx="1081">
                  <c:v>0</c:v>
                </c:pt>
                <c:pt idx="1082">
                  <c:v>-4.8659922671188127E-3</c:v>
                </c:pt>
                <c:pt idx="1083">
                  <c:v>-5.0197497509252287E-3</c:v>
                </c:pt>
                <c:pt idx="1084">
                  <c:v>0</c:v>
                </c:pt>
                <c:pt idx="1085">
                  <c:v>0</c:v>
                </c:pt>
                <c:pt idx="1086">
                  <c:v>-3.6633921467567054E-3</c:v>
                </c:pt>
                <c:pt idx="1087">
                  <c:v>0</c:v>
                </c:pt>
                <c:pt idx="1088">
                  <c:v>0</c:v>
                </c:pt>
                <c:pt idx="1089">
                  <c:v>-3.0660824190701375E-3</c:v>
                </c:pt>
                <c:pt idx="1090">
                  <c:v>0</c:v>
                </c:pt>
                <c:pt idx="1091">
                  <c:v>0</c:v>
                </c:pt>
                <c:pt idx="1092">
                  <c:v>-1.5149526145867842E-3</c:v>
                </c:pt>
                <c:pt idx="1093">
                  <c:v>0</c:v>
                </c:pt>
                <c:pt idx="1094">
                  <c:v>0</c:v>
                </c:pt>
                <c:pt idx="1095">
                  <c:v>-1.2029343756795985E-2</c:v>
                </c:pt>
                <c:pt idx="1096">
                  <c:v>-1.2724390319109213E-2</c:v>
                </c:pt>
                <c:pt idx="1097">
                  <c:v>-1.9300423939143885E-2</c:v>
                </c:pt>
                <c:pt idx="1098">
                  <c:v>-9.2492392969748538E-3</c:v>
                </c:pt>
                <c:pt idx="1099">
                  <c:v>-7.2844936486010647E-3</c:v>
                </c:pt>
                <c:pt idx="1100">
                  <c:v>-3.3815839160760142E-3</c:v>
                </c:pt>
                <c:pt idx="1101">
                  <c:v>0</c:v>
                </c:pt>
                <c:pt idx="1102">
                  <c:v>-1.7324216474590148E-4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-7.0171823204988604E-3</c:v>
                </c:pt>
                <c:pt idx="1108">
                  <c:v>-3.265012285285418E-3</c:v>
                </c:pt>
                <c:pt idx="1109">
                  <c:v>-2.8990115620007528E-2</c:v>
                </c:pt>
                <c:pt idx="1110">
                  <c:v>-2.6791581636947392E-2</c:v>
                </c:pt>
                <c:pt idx="1111">
                  <c:v>-2.964838682468296E-2</c:v>
                </c:pt>
                <c:pt idx="1112">
                  <c:v>-4.4946525836963125E-2</c:v>
                </c:pt>
                <c:pt idx="1113">
                  <c:v>-2.8713627212903825E-2</c:v>
                </c:pt>
                <c:pt idx="1114">
                  <c:v>-2.3460669725493877E-2</c:v>
                </c:pt>
                <c:pt idx="1115">
                  <c:v>-6.24040457536712E-3</c:v>
                </c:pt>
                <c:pt idx="1116">
                  <c:v>-1.216476485555118E-2</c:v>
                </c:pt>
                <c:pt idx="1117">
                  <c:v>-2.4500723727739482E-2</c:v>
                </c:pt>
                <c:pt idx="1118">
                  <c:v>-1.4358465125200448E-2</c:v>
                </c:pt>
                <c:pt idx="1119">
                  <c:v>-1.7460259020977142E-2</c:v>
                </c:pt>
                <c:pt idx="1120">
                  <c:v>-3.1728655952954932E-2</c:v>
                </c:pt>
                <c:pt idx="1121">
                  <c:v>-3.217746624315776E-2</c:v>
                </c:pt>
                <c:pt idx="1122">
                  <c:v>-3.0778347896371239E-2</c:v>
                </c:pt>
                <c:pt idx="1123">
                  <c:v>-3.7787151780292572E-2</c:v>
                </c:pt>
                <c:pt idx="1124">
                  <c:v>-2.1934827525451728E-2</c:v>
                </c:pt>
                <c:pt idx="1125">
                  <c:v>-1.4318828675231043E-2</c:v>
                </c:pt>
                <c:pt idx="1126">
                  <c:v>-1.5651966833958419E-2</c:v>
                </c:pt>
                <c:pt idx="1127">
                  <c:v>-1.6945468542716391E-2</c:v>
                </c:pt>
                <c:pt idx="1128">
                  <c:v>-7.5546106899014864E-3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C-4506-A2C8-ACDB8F249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yyyy\-mm" sourceLinked="0"/>
        <c:majorTickMark val="none"/>
        <c:minorTickMark val="none"/>
        <c:tickLblPos val="low"/>
        <c:crossAx val="100"/>
        <c:crosses val="autoZero"/>
        <c:auto val="1"/>
        <c:lblOffset val="100"/>
        <c:baseTimeUnit val="days"/>
        <c:majorUnit val="110"/>
        <c:minorUnit val="110"/>
      </c:date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2000" b="1">
                <a:solidFill>
                  <a:srgbClr val="1F3864"/>
                </a:solidFill>
                <a:latin typeface="Arial"/>
              </a:defRPr>
            </a:pPr>
            <a:r>
              <a:rPr lang="en-US" sz="2000" b="1">
                <a:solidFill>
                  <a:srgbClr val="1F3864"/>
                </a:solidFill>
                <a:latin typeface="Arial"/>
              </a:rPr>
              <a:t>Monthly Returns: Tech vs S&amp;P 500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Tech Portfolio</c:v>
          </c:tx>
          <c:spPr>
            <a:solidFill>
              <a:srgbClr val="2E5496"/>
            </a:solidFill>
            <a:ln>
              <a:prstDash val="solid"/>
            </a:ln>
          </c:spPr>
          <c:invertIfNegative val="1"/>
          <c:cat>
            <c:strRef>
              <c:f>'Monthly Returns'!$A$2:$A$56</c:f>
              <c:strCache>
                <c:ptCount val="55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  <c:pt idx="54">
                  <c:v>2026-07</c:v>
                </c:pt>
              </c:strCache>
            </c:strRef>
          </c:cat>
          <c:val>
            <c:numRef>
              <c:f>'Monthly Returns'!$D$2:$D$56</c:f>
              <c:numCache>
                <c:formatCode>0.0%;\(0.0%\);\-</c:formatCode>
                <c:ptCount val="55"/>
                <c:pt idx="1">
                  <c:v>-3.8639023209914192E-2</c:v>
                </c:pt>
                <c:pt idx="2">
                  <c:v>5.9714602351544244E-2</c:v>
                </c:pt>
                <c:pt idx="3">
                  <c:v>-0.12556614161274626</c:v>
                </c:pt>
                <c:pt idx="4">
                  <c:v>-2.3237423775679056E-2</c:v>
                </c:pt>
                <c:pt idx="5">
                  <c:v>-9.3318976180843172E-2</c:v>
                </c:pt>
                <c:pt idx="6">
                  <c:v>0.1392890872640955</c:v>
                </c:pt>
                <c:pt idx="7">
                  <c:v>-5.2466606443297592E-2</c:v>
                </c:pt>
                <c:pt idx="8">
                  <c:v>-9.5520846866680831E-2</c:v>
                </c:pt>
                <c:pt idx="9">
                  <c:v>2.036723606401547E-2</c:v>
                </c:pt>
                <c:pt idx="10">
                  <c:v>3.1817155244752815E-2</c:v>
                </c:pt>
                <c:pt idx="11">
                  <c:v>-0.109943741862357</c:v>
                </c:pt>
                <c:pt idx="12">
                  <c:v>0.11731516806261211</c:v>
                </c:pt>
                <c:pt idx="13">
                  <c:v>-4.9100824877412741E-4</c:v>
                </c:pt>
                <c:pt idx="14">
                  <c:v>6.7395290231436089E-2</c:v>
                </c:pt>
                <c:pt idx="15">
                  <c:v>-5.4431738698492715E-3</c:v>
                </c:pt>
                <c:pt idx="16">
                  <c:v>6.6660474715818596E-2</c:v>
                </c:pt>
                <c:pt idx="17">
                  <c:v>7.8069421365978275E-2</c:v>
                </c:pt>
                <c:pt idx="18">
                  <c:v>2.9171625075710361E-2</c:v>
                </c:pt>
                <c:pt idx="19">
                  <c:v>-2.0318216126127386E-2</c:v>
                </c:pt>
                <c:pt idx="20">
                  <c:v>-5.2211889203018225E-2</c:v>
                </c:pt>
                <c:pt idx="21">
                  <c:v>-2.7618751770493555E-2</c:v>
                </c:pt>
                <c:pt idx="22">
                  <c:v>0.11131418484320377</c:v>
                </c:pt>
                <c:pt idx="23">
                  <c:v>4.0096144802675093E-2</c:v>
                </c:pt>
                <c:pt idx="24">
                  <c:v>-5.8054441978682148E-3</c:v>
                </c:pt>
                <c:pt idx="25">
                  <c:v>6.2102616663592292E-2</c:v>
                </c:pt>
                <c:pt idx="26">
                  <c:v>2.7732318309771076E-2</c:v>
                </c:pt>
                <c:pt idx="27">
                  <c:v>-2.9613169376297321E-2</c:v>
                </c:pt>
                <c:pt idx="28">
                  <c:v>6.9453389253987696E-2</c:v>
                </c:pt>
                <c:pt idx="29">
                  <c:v>6.9472377564621768E-2</c:v>
                </c:pt>
                <c:pt idx="30">
                  <c:v>-4.7583860045847803E-3</c:v>
                </c:pt>
                <c:pt idx="31">
                  <c:v>1.4128897425440545E-3</c:v>
                </c:pt>
                <c:pt idx="32">
                  <c:v>4.1016968122472353E-2</c:v>
                </c:pt>
                <c:pt idx="33">
                  <c:v>-6.7789260668008611E-3</c:v>
                </c:pt>
                <c:pt idx="34">
                  <c:v>8.1085432196391416E-2</c:v>
                </c:pt>
                <c:pt idx="35">
                  <c:v>2.0828020109891598E-2</c:v>
                </c:pt>
                <c:pt idx="36">
                  <c:v>2.0204735230813897E-2</c:v>
                </c:pt>
                <c:pt idx="37">
                  <c:v>-6.3832569954462515E-2</c:v>
                </c:pt>
                <c:pt idx="38">
                  <c:v>-7.639032423698866E-2</c:v>
                </c:pt>
                <c:pt idx="39">
                  <c:v>7.9032484982031193E-3</c:v>
                </c:pt>
                <c:pt idx="40">
                  <c:v>0.11028516019278656</c:v>
                </c:pt>
                <c:pt idx="41">
                  <c:v>7.2653127541986384E-2</c:v>
                </c:pt>
                <c:pt idx="42">
                  <c:v>3.639403612552039E-2</c:v>
                </c:pt>
                <c:pt idx="43">
                  <c:v>2.0033833983241545E-2</c:v>
                </c:pt>
                <c:pt idx="44">
                  <c:v>0.11267627780459133</c:v>
                </c:pt>
                <c:pt idx="45">
                  <c:v>5.3486189881495116E-2</c:v>
                </c:pt>
                <c:pt idx="46">
                  <c:v>-1.6925750717031063E-2</c:v>
                </c:pt>
                <c:pt idx="47">
                  <c:v>9.6173954793719041E-3</c:v>
                </c:pt>
                <c:pt idx="48">
                  <c:v>2.2202862309452787E-2</c:v>
                </c:pt>
                <c:pt idx="49">
                  <c:v>-2.6494289152512285E-2</c:v>
                </c:pt>
                <c:pt idx="50">
                  <c:v>-6.823629301448475E-2</c:v>
                </c:pt>
                <c:pt idx="51">
                  <c:v>0.15397950892186496</c:v>
                </c:pt>
                <c:pt idx="52">
                  <c:v>0.15960636415643847</c:v>
                </c:pt>
                <c:pt idx="53">
                  <c:v>1.2437016550233659E-2</c:v>
                </c:pt>
                <c:pt idx="54">
                  <c:v>-1.509817645091327E-2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244-4281-9709-7A701A9505DF}"/>
            </c:ext>
          </c:extLst>
        </c:ser>
        <c:ser>
          <c:idx val="1"/>
          <c:order val="1"/>
          <c:tx>
            <c:v>S&amp;P 500</c:v>
          </c:tx>
          <c:spPr>
            <a:solidFill>
              <a:srgbClr val="8C9BAB"/>
            </a:solidFill>
            <a:ln>
              <a:prstDash val="solid"/>
            </a:ln>
          </c:spPr>
          <c:invertIfNegative val="1"/>
          <c:cat>
            <c:strRef>
              <c:f>'Monthly Returns'!$A$2:$A$56</c:f>
              <c:strCache>
                <c:ptCount val="55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  <c:pt idx="54">
                  <c:v>2026-07</c:v>
                </c:pt>
              </c:strCache>
            </c:strRef>
          </c:cat>
          <c:val>
            <c:numRef>
              <c:f>'Monthly Returns'!$E$2:$E$56</c:f>
              <c:numCache>
                <c:formatCode>0.0%;\(0.0%\);\-</c:formatCode>
                <c:ptCount val="55"/>
                <c:pt idx="1">
                  <c:v>-2.9516983607058123E-2</c:v>
                </c:pt>
                <c:pt idx="2">
                  <c:v>3.7590386469008585E-2</c:v>
                </c:pt>
                <c:pt idx="3">
                  <c:v>-8.7769104212905846E-2</c:v>
                </c:pt>
                <c:pt idx="4">
                  <c:v>2.2573701794355028E-3</c:v>
                </c:pt>
                <c:pt idx="5">
                  <c:v>-8.2460491620680032E-2</c:v>
                </c:pt>
                <c:pt idx="6">
                  <c:v>9.2087588923630559E-2</c:v>
                </c:pt>
                <c:pt idx="7">
                  <c:v>-4.0802078925560314E-2</c:v>
                </c:pt>
                <c:pt idx="8">
                  <c:v>-9.2445765736787977E-2</c:v>
                </c:pt>
                <c:pt idx="9">
                  <c:v>8.1275353805394968E-2</c:v>
                </c:pt>
                <c:pt idx="10">
                  <c:v>5.5591594808618972E-2</c:v>
                </c:pt>
                <c:pt idx="11">
                  <c:v>-5.7628163974954183E-2</c:v>
                </c:pt>
                <c:pt idx="12">
                  <c:v>6.2887219382917525E-2</c:v>
                </c:pt>
                <c:pt idx="13">
                  <c:v>-2.5142576990476173E-2</c:v>
                </c:pt>
                <c:pt idx="14">
                  <c:v>3.7077938019181911E-2</c:v>
                </c:pt>
                <c:pt idx="15">
                  <c:v>1.5974683561998271E-2</c:v>
                </c:pt>
                <c:pt idx="16">
                  <c:v>4.6162776973612818E-3</c:v>
                </c:pt>
                <c:pt idx="17">
                  <c:v>6.4799867844972381E-2</c:v>
                </c:pt>
                <c:pt idx="18">
                  <c:v>3.2733184457345965E-2</c:v>
                </c:pt>
                <c:pt idx="19">
                  <c:v>-1.6252012723666054E-2</c:v>
                </c:pt>
                <c:pt idx="20">
                  <c:v>-4.7434402018604938E-2</c:v>
                </c:pt>
                <c:pt idx="21">
                  <c:v>-2.1708735131234724E-2</c:v>
                </c:pt>
                <c:pt idx="22">
                  <c:v>9.1343936989449315E-2</c:v>
                </c:pt>
                <c:pt idx="23">
                  <c:v>4.5655323502333145E-2</c:v>
                </c:pt>
                <c:pt idx="24">
                  <c:v>1.5926321482601757E-2</c:v>
                </c:pt>
                <c:pt idx="25">
                  <c:v>5.2186965869490232E-2</c:v>
                </c:pt>
                <c:pt idx="26">
                  <c:v>3.2701960302162547E-2</c:v>
                </c:pt>
                <c:pt idx="27">
                  <c:v>-4.031962876347206E-2</c:v>
                </c:pt>
                <c:pt idx="28">
                  <c:v>5.0579787626914507E-2</c:v>
                </c:pt>
                <c:pt idx="29">
                  <c:v>3.5279973661282105E-2</c:v>
                </c:pt>
                <c:pt idx="30">
                  <c:v>1.2109116371118889E-2</c:v>
                </c:pt>
                <c:pt idx="31">
                  <c:v>2.3365738515667589E-2</c:v>
                </c:pt>
                <c:pt idx="32">
                  <c:v>2.1004442814803292E-2</c:v>
                </c:pt>
                <c:pt idx="33">
                  <c:v>-8.9235397348130796E-3</c:v>
                </c:pt>
                <c:pt idx="34">
                  <c:v>5.9633644566612132E-2</c:v>
                </c:pt>
                <c:pt idx="35">
                  <c:v>-2.4060271317688509E-2</c:v>
                </c:pt>
                <c:pt idx="36">
                  <c:v>2.6856345883271349E-2</c:v>
                </c:pt>
                <c:pt idx="37">
                  <c:v>-1.2694633336408523E-2</c:v>
                </c:pt>
                <c:pt idx="38">
                  <c:v>-5.5719305093651417E-2</c:v>
                </c:pt>
                <c:pt idx="39">
                  <c:v>-8.6702768754955972E-3</c:v>
                </c:pt>
                <c:pt idx="40">
                  <c:v>6.2844940045948539E-2</c:v>
                </c:pt>
                <c:pt idx="41">
                  <c:v>5.1386235402998803E-2</c:v>
                </c:pt>
                <c:pt idx="42">
                  <c:v>2.3031548697107107E-2</c:v>
                </c:pt>
                <c:pt idx="43">
                  <c:v>2.0519581676716081E-2</c:v>
                </c:pt>
                <c:pt idx="44">
                  <c:v>3.5620335108284662E-2</c:v>
                </c:pt>
                <c:pt idx="45">
                  <c:v>2.3837393576300991E-2</c:v>
                </c:pt>
                <c:pt idx="46">
                  <c:v>1.9500049129079766E-3</c:v>
                </c:pt>
                <c:pt idx="47">
                  <c:v>7.975029584423865E-4</c:v>
                </c:pt>
                <c:pt idx="48">
                  <c:v>1.4737728839574471E-2</c:v>
                </c:pt>
                <c:pt idx="49">
                  <c:v>-8.6419583402231881E-3</c:v>
                </c:pt>
                <c:pt idx="50">
                  <c:v>-4.9379566643443451E-2</c:v>
                </c:pt>
                <c:pt idx="51">
                  <c:v>0.10505268686597158</c:v>
                </c:pt>
                <c:pt idx="52">
                  <c:v>5.2625753037503165E-2</c:v>
                </c:pt>
                <c:pt idx="53">
                  <c:v>-1.0292566443839024E-2</c:v>
                </c:pt>
                <c:pt idx="54">
                  <c:v>6.8624806703352359E-3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244-4281-9709-7A701A950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3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864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864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44</xdr:row>
      <xdr:rowOff>0</xdr:rowOff>
    </xdr:from>
    <xdr:ext cx="8640000" cy="34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1"/>
  <sheetViews>
    <sheetView showGridLines="0" tabSelected="1" workbookViewId="0">
      <selection activeCell="E32" sqref="E32"/>
    </sheetView>
  </sheetViews>
  <sheetFormatPr defaultRowHeight="15" x14ac:dyDescent="0.25"/>
  <cols>
    <col min="1" max="1" width="2" customWidth="1"/>
    <col min="2" max="2" width="26" customWidth="1"/>
    <col min="3" max="4" width="16" customWidth="1"/>
    <col min="5" max="5" width="71.28515625" customWidth="1"/>
  </cols>
  <sheetData>
    <row r="1" spans="2:5" ht="33.950000000000003" customHeight="1" x14ac:dyDescent="0.25">
      <c r="B1" s="45" t="s">
        <v>0</v>
      </c>
      <c r="C1" s="44"/>
      <c r="D1" s="44"/>
      <c r="E1" s="44"/>
    </row>
    <row r="2" spans="2:5" ht="20.100000000000001" customHeight="1" x14ac:dyDescent="0.25">
      <c r="B2" s="51" t="s">
        <v>1</v>
      </c>
      <c r="C2" s="44"/>
      <c r="D2" s="44"/>
      <c r="E2" s="44"/>
    </row>
    <row r="4" spans="2:5" x14ac:dyDescent="0.25">
      <c r="B4" s="1" t="s">
        <v>2</v>
      </c>
    </row>
    <row r="5" spans="2:5" x14ac:dyDescent="0.25">
      <c r="B5" s="2" t="s">
        <v>3</v>
      </c>
      <c r="C5" s="3">
        <v>0.02</v>
      </c>
    </row>
    <row r="6" spans="2:5" x14ac:dyDescent="0.25">
      <c r="B6" s="2" t="s">
        <v>4</v>
      </c>
      <c r="C6" s="4">
        <v>252</v>
      </c>
    </row>
    <row r="7" spans="2:5" x14ac:dyDescent="0.25">
      <c r="B7" s="2" t="s">
        <v>5</v>
      </c>
      <c r="C7" s="5">
        <v>44564</v>
      </c>
    </row>
    <row r="8" spans="2:5" x14ac:dyDescent="0.25">
      <c r="B8" s="2" t="s">
        <v>6</v>
      </c>
      <c r="C8" s="5">
        <v>46209</v>
      </c>
    </row>
    <row r="11" spans="2:5" x14ac:dyDescent="0.25">
      <c r="B11" s="6" t="s">
        <v>7</v>
      </c>
      <c r="C11" s="6" t="s">
        <v>8</v>
      </c>
      <c r="D11" s="6" t="s">
        <v>9</v>
      </c>
      <c r="E11" s="6" t="s">
        <v>10</v>
      </c>
    </row>
    <row r="12" spans="2:5" x14ac:dyDescent="0.25">
      <c r="B12" s="7" t="s">
        <v>11</v>
      </c>
      <c r="C12" s="8">
        <f>'Tech Portfolio'!$B$1130/'Tech Portfolio'!$B$2-1</f>
        <v>1.113770911846629</v>
      </c>
      <c r="D12" s="9">
        <f>'S&amp;P 500'!$B$1130/'S&amp;P 500'!$B$2-1</f>
        <v>0.67278616302838978</v>
      </c>
      <c r="E12" s="10" t="s">
        <v>12</v>
      </c>
    </row>
    <row r="13" spans="2:5" x14ac:dyDescent="0.25">
      <c r="B13" s="7" t="s">
        <v>13</v>
      </c>
      <c r="C13" s="8">
        <f>('Tech Portfolio'!$B$1130/'Tech Portfolio'!$B$2)^(1/(('Tech Portfolio'!$A$1130-'Tech Portfolio'!$A$2)/365.25))-1</f>
        <v>0.18079556644023254</v>
      </c>
      <c r="D13" s="9">
        <f>('S&amp;P 500'!$B$1130/'S&amp;P 500'!$B$2)^(1/(('S&amp;P 500'!$A$1130-'S&amp;P 500'!$A$2)/365.25))-1</f>
        <v>0.12101629288632321</v>
      </c>
      <c r="E13" s="10" t="s">
        <v>14</v>
      </c>
    </row>
    <row r="14" spans="2:5" x14ac:dyDescent="0.25">
      <c r="B14" s="7" t="s">
        <v>15</v>
      </c>
      <c r="C14" s="11">
        <f>STDEV('Tech Portfolio'!$C$3:$C$1130)*SQRT($C$6)</f>
        <v>0.24598626975730978</v>
      </c>
      <c r="D14" s="12">
        <f>STDEV('S&amp;P 500'!$C$3:$C$1130)*SQRT($C$6)</f>
        <v>0.17614798141543722</v>
      </c>
      <c r="E14" s="10" t="s">
        <v>16</v>
      </c>
    </row>
    <row r="15" spans="2:5" x14ac:dyDescent="0.25">
      <c r="B15" s="7" t="s">
        <v>17</v>
      </c>
      <c r="C15" s="13">
        <f>(C13-$C$5)/C14</f>
        <v>0.65367699830918835</v>
      </c>
      <c r="D15" s="14">
        <f>(D13-$C$5)/D14</f>
        <v>0.57347403061111868</v>
      </c>
      <c r="E15" s="10" t="s">
        <v>18</v>
      </c>
    </row>
    <row r="16" spans="2:5" x14ac:dyDescent="0.25">
      <c r="B16" s="7" t="s">
        <v>19</v>
      </c>
      <c r="C16" s="11">
        <f>MIN('Tech Portfolio'!$E$2:$E$1130)</f>
        <v>-0.36211082596250443</v>
      </c>
      <c r="D16" s="12">
        <f>MIN('S&amp;P 500'!$E$2:$E$1130)</f>
        <v>-0.24496400650373418</v>
      </c>
      <c r="E16" s="10" t="s">
        <v>20</v>
      </c>
    </row>
    <row r="17" spans="2:5" x14ac:dyDescent="0.25">
      <c r="B17" s="7" t="s">
        <v>21</v>
      </c>
      <c r="C17" s="15">
        <f>100*(1+C12)</f>
        <v>211.3770911846629</v>
      </c>
      <c r="D17" s="16">
        <f>100*(1+D12)</f>
        <v>167.27861630283897</v>
      </c>
      <c r="E17" s="10"/>
    </row>
    <row r="19" spans="2:5" x14ac:dyDescent="0.25">
      <c r="B19" s="50" t="s">
        <v>22</v>
      </c>
      <c r="C19" s="44"/>
      <c r="D19" s="44"/>
      <c r="E19" s="44"/>
    </row>
    <row r="20" spans="2:5" x14ac:dyDescent="0.25">
      <c r="B20" s="46" t="s">
        <v>23</v>
      </c>
      <c r="C20" s="47"/>
      <c r="D20" s="47"/>
      <c r="E20" s="47"/>
    </row>
    <row r="21" spans="2:5" x14ac:dyDescent="0.25">
      <c r="B21" s="48"/>
      <c r="C21" s="48"/>
      <c r="D21" s="48"/>
      <c r="E21" s="48"/>
    </row>
    <row r="22" spans="2:5" x14ac:dyDescent="0.25">
      <c r="B22" s="48"/>
      <c r="C22" s="48"/>
      <c r="D22" s="48"/>
      <c r="E22" s="48"/>
    </row>
    <row r="23" spans="2:5" x14ac:dyDescent="0.25">
      <c r="B23" s="48"/>
      <c r="C23" s="48"/>
      <c r="D23" s="48"/>
      <c r="E23" s="48"/>
    </row>
    <row r="24" spans="2:5" x14ac:dyDescent="0.25">
      <c r="B24" s="49"/>
      <c r="C24" s="49"/>
      <c r="D24" s="49"/>
      <c r="E24" s="49"/>
    </row>
    <row r="26" spans="2:5" x14ac:dyDescent="0.25">
      <c r="B26" s="17" t="s">
        <v>24</v>
      </c>
    </row>
    <row r="27" spans="2:5" x14ac:dyDescent="0.25">
      <c r="B27" s="43" t="s">
        <v>25</v>
      </c>
      <c r="C27" s="44"/>
      <c r="D27" s="44"/>
      <c r="E27" s="44"/>
    </row>
    <row r="28" spans="2:5" x14ac:dyDescent="0.25">
      <c r="B28" s="43" t="s">
        <v>26</v>
      </c>
      <c r="C28" s="44"/>
      <c r="D28" s="44"/>
      <c r="E28" s="44"/>
    </row>
    <row r="29" spans="2:5" x14ac:dyDescent="0.25">
      <c r="B29" s="43" t="s">
        <v>27</v>
      </c>
      <c r="C29" s="44"/>
      <c r="D29" s="44"/>
      <c r="E29" s="44"/>
    </row>
    <row r="30" spans="2:5" x14ac:dyDescent="0.25">
      <c r="B30" s="43" t="s">
        <v>28</v>
      </c>
      <c r="C30" s="44"/>
      <c r="D30" s="44"/>
      <c r="E30" s="44"/>
    </row>
    <row r="31" spans="2:5" x14ac:dyDescent="0.25">
      <c r="B31" s="43" t="s">
        <v>125</v>
      </c>
      <c r="C31" s="44"/>
      <c r="D31" s="44"/>
      <c r="E31" s="44"/>
    </row>
  </sheetData>
  <mergeCells count="9">
    <mergeCell ref="B31:E31"/>
    <mergeCell ref="B27:E27"/>
    <mergeCell ref="B1:E1"/>
    <mergeCell ref="B30:E30"/>
    <mergeCell ref="B29:E29"/>
    <mergeCell ref="B20:E24"/>
    <mergeCell ref="B19:E19"/>
    <mergeCell ref="B2:E2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showGridLines="0" workbookViewId="0">
      <selection activeCell="T56" sqref="T56"/>
    </sheetView>
  </sheetViews>
  <sheetFormatPr defaultRowHeight="15" x14ac:dyDescent="0.25"/>
  <sheetData>
    <row r="1" spans="1:11" ht="26.1" customHeight="1" x14ac:dyDescent="0.3">
      <c r="A1" s="52" t="s">
        <v>29</v>
      </c>
      <c r="B1" s="44"/>
      <c r="C1" s="44"/>
      <c r="D1" s="44"/>
      <c r="E1" s="44"/>
      <c r="F1" s="44"/>
      <c r="G1" s="44"/>
      <c r="H1" s="44"/>
      <c r="I1" s="44"/>
      <c r="J1" s="44"/>
      <c r="K1" s="44"/>
    </row>
  </sheetData>
  <mergeCells count="1">
    <mergeCell ref="A1:K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6"/>
  <sheetViews>
    <sheetView showGridLines="0" workbookViewId="0"/>
  </sheetViews>
  <sheetFormatPr defaultRowHeight="15" x14ac:dyDescent="0.25"/>
  <cols>
    <col min="1" max="1" width="2" customWidth="1"/>
    <col min="2" max="2" width="10" customWidth="1"/>
    <col min="3" max="3" width="30" customWidth="1"/>
    <col min="4" max="4" width="10" customWidth="1"/>
    <col min="5" max="5" width="14" customWidth="1"/>
  </cols>
  <sheetData>
    <row r="1" spans="2:5" ht="26.1" customHeight="1" x14ac:dyDescent="0.3">
      <c r="B1" s="52" t="s">
        <v>30</v>
      </c>
      <c r="C1" s="44"/>
      <c r="D1" s="44"/>
      <c r="E1" s="44"/>
    </row>
    <row r="2" spans="2:5" x14ac:dyDescent="0.25">
      <c r="B2" s="53" t="s">
        <v>31</v>
      </c>
      <c r="C2" s="44"/>
      <c r="D2" s="44"/>
      <c r="E2" s="44"/>
    </row>
    <row r="4" spans="2:5" x14ac:dyDescent="0.25">
      <c r="B4" s="18" t="s">
        <v>32</v>
      </c>
      <c r="C4" s="18" t="s">
        <v>33</v>
      </c>
      <c r="D4" s="18" t="s">
        <v>34</v>
      </c>
      <c r="E4" s="18" t="s">
        <v>35</v>
      </c>
    </row>
    <row r="5" spans="2:5" x14ac:dyDescent="0.25">
      <c r="B5" s="19" t="s">
        <v>36</v>
      </c>
      <c r="C5" s="20" t="s">
        <v>37</v>
      </c>
      <c r="D5" s="21">
        <v>50</v>
      </c>
      <c r="E5" s="22" t="s">
        <v>38</v>
      </c>
    </row>
    <row r="6" spans="2:5" x14ac:dyDescent="0.25">
      <c r="B6" s="23" t="s">
        <v>39</v>
      </c>
      <c r="C6" s="24" t="s">
        <v>40</v>
      </c>
      <c r="D6" s="25">
        <v>30</v>
      </c>
      <c r="E6" s="26" t="s">
        <v>38</v>
      </c>
    </row>
    <row r="7" spans="2:5" x14ac:dyDescent="0.25">
      <c r="B7" s="19" t="s">
        <v>41</v>
      </c>
      <c r="C7" s="20" t="s">
        <v>42</v>
      </c>
      <c r="D7" s="21">
        <v>40</v>
      </c>
      <c r="E7" s="22" t="s">
        <v>38</v>
      </c>
    </row>
    <row r="8" spans="2:5" x14ac:dyDescent="0.25">
      <c r="B8" s="23" t="s">
        <v>43</v>
      </c>
      <c r="C8" s="24" t="s">
        <v>44</v>
      </c>
      <c r="D8" s="25">
        <v>35</v>
      </c>
      <c r="E8" s="26" t="s">
        <v>38</v>
      </c>
    </row>
    <row r="9" spans="2:5" x14ac:dyDescent="0.25">
      <c r="B9" s="19" t="s">
        <v>45</v>
      </c>
      <c r="C9" s="20" t="s">
        <v>46</v>
      </c>
      <c r="D9" s="21">
        <v>45</v>
      </c>
      <c r="E9" s="22" t="s">
        <v>38</v>
      </c>
    </row>
    <row r="10" spans="2:5" x14ac:dyDescent="0.25">
      <c r="B10" s="23" t="s">
        <v>47</v>
      </c>
      <c r="C10" s="24" t="s">
        <v>48</v>
      </c>
      <c r="D10" s="25">
        <v>60</v>
      </c>
      <c r="E10" s="26" t="s">
        <v>38</v>
      </c>
    </row>
    <row r="11" spans="2:5" x14ac:dyDescent="0.25">
      <c r="B11" s="19" t="s">
        <v>49</v>
      </c>
      <c r="C11" s="20" t="s">
        <v>50</v>
      </c>
      <c r="D11" s="21">
        <v>55</v>
      </c>
      <c r="E11" s="22" t="s">
        <v>38</v>
      </c>
    </row>
    <row r="12" spans="2:5" x14ac:dyDescent="0.25">
      <c r="B12" s="23" t="s">
        <v>51</v>
      </c>
      <c r="C12" s="24" t="s">
        <v>52</v>
      </c>
      <c r="D12" s="25">
        <v>40</v>
      </c>
      <c r="E12" s="26" t="s">
        <v>38</v>
      </c>
    </row>
    <row r="13" spans="2:5" x14ac:dyDescent="0.25">
      <c r="B13" s="19" t="s">
        <v>53</v>
      </c>
      <c r="C13" s="20" t="s">
        <v>54</v>
      </c>
      <c r="D13" s="21">
        <v>80</v>
      </c>
      <c r="E13" s="22" t="s">
        <v>38</v>
      </c>
    </row>
    <row r="14" spans="2:5" x14ac:dyDescent="0.25">
      <c r="B14" s="27" t="s">
        <v>55</v>
      </c>
      <c r="C14" s="28" t="s">
        <v>56</v>
      </c>
      <c r="D14" s="29">
        <v>100</v>
      </c>
      <c r="E14" s="30" t="s">
        <v>57</v>
      </c>
    </row>
    <row r="16" spans="2:5" x14ac:dyDescent="0.25">
      <c r="B16" s="54" t="s">
        <v>58</v>
      </c>
      <c r="C16" s="44"/>
      <c r="D16" s="44"/>
      <c r="E16" s="44"/>
    </row>
  </sheetData>
  <mergeCells count="3">
    <mergeCell ref="B1:E1"/>
    <mergeCell ref="B2:E2"/>
    <mergeCell ref="B16:E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30"/>
  <sheetViews>
    <sheetView showGridLines="0" workbookViewId="0">
      <pane ySplit="1" topLeftCell="A5" activePane="bottomLeft" state="frozen"/>
      <selection pane="bottomLeft" activeCell="F21" sqref="F21"/>
    </sheetView>
  </sheetViews>
  <sheetFormatPr defaultRowHeight="15" x14ac:dyDescent="0.25"/>
  <cols>
    <col min="1" max="1" width="12" customWidth="1"/>
    <col min="2" max="2" width="13" customWidth="1"/>
    <col min="3" max="3" width="12" customWidth="1"/>
    <col min="4" max="4" width="15" customWidth="1"/>
    <col min="5" max="5" width="11" customWidth="1"/>
    <col min="6" max="6" width="12" customWidth="1"/>
    <col min="7" max="7" width="9" customWidth="1"/>
  </cols>
  <sheetData>
    <row r="1" spans="1:7" x14ac:dyDescent="0.25">
      <c r="A1" s="6" t="s">
        <v>59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</row>
    <row r="2" spans="1:7" x14ac:dyDescent="0.25">
      <c r="A2" s="31">
        <v>44564</v>
      </c>
      <c r="B2" s="32">
        <v>109967.49430000001</v>
      </c>
      <c r="C2" s="33"/>
      <c r="D2" s="32">
        <f>MAX($B$2:B2)</f>
        <v>109967.49430000001</v>
      </c>
      <c r="E2" s="34">
        <f t="shared" ref="E2:E65" si="0">B2/D2-1</f>
        <v>0</v>
      </c>
      <c r="F2" s="35">
        <f t="shared" ref="F2:F65" si="1">B2/$B$2*100</f>
        <v>100</v>
      </c>
      <c r="G2" s="36" t="str">
        <f t="shared" ref="G2:G65" si="2">TEXT(A2,"YYYY-MM")</f>
        <v>2022-01</v>
      </c>
    </row>
    <row r="3" spans="1:7" x14ac:dyDescent="0.25">
      <c r="A3" s="37">
        <v>44565</v>
      </c>
      <c r="B3" s="38">
        <v>108869.5028</v>
      </c>
      <c r="C3" s="39">
        <f t="shared" ref="C3:C66" si="3">B3/B2-1</f>
        <v>-9.9846914489530869E-3</v>
      </c>
      <c r="D3" s="38">
        <f>MAX($B$2:B3)</f>
        <v>109967.49430000001</v>
      </c>
      <c r="E3" s="40">
        <f t="shared" si="0"/>
        <v>-9.9846914489530869E-3</v>
      </c>
      <c r="F3" s="41">
        <f t="shared" si="1"/>
        <v>99.00153085510469</v>
      </c>
      <c r="G3" s="42" t="str">
        <f t="shared" si="2"/>
        <v>2022-01</v>
      </c>
    </row>
    <row r="4" spans="1:7" x14ac:dyDescent="0.25">
      <c r="A4" s="31">
        <v>44566</v>
      </c>
      <c r="B4" s="32">
        <v>105395.22349999999</v>
      </c>
      <c r="C4" s="33">
        <f t="shared" si="3"/>
        <v>-3.1912328160279002E-2</v>
      </c>
      <c r="D4" s="32">
        <f>MAX($B$2:B4)</f>
        <v>109967.49430000001</v>
      </c>
      <c r="E4" s="34">
        <f t="shared" si="0"/>
        <v>-4.1578384859133899E-2</v>
      </c>
      <c r="F4" s="35">
        <f t="shared" si="1"/>
        <v>95.842161514086612</v>
      </c>
      <c r="G4" s="36" t="str">
        <f t="shared" si="2"/>
        <v>2022-01</v>
      </c>
    </row>
    <row r="5" spans="1:7" x14ac:dyDescent="0.25">
      <c r="A5" s="37">
        <v>44567</v>
      </c>
      <c r="B5" s="38">
        <v>104818.432</v>
      </c>
      <c r="C5" s="39">
        <f t="shared" si="3"/>
        <v>-5.4726531321411809E-3</v>
      </c>
      <c r="D5" s="38">
        <f>MAX($B$2:B5)</f>
        <v>109967.49430000001</v>
      </c>
      <c r="E5" s="40">
        <f t="shared" si="0"/>
        <v>-4.682349391314633E-2</v>
      </c>
      <c r="F5" s="41">
        <f t="shared" si="1"/>
        <v>95.317650608685369</v>
      </c>
      <c r="G5" s="42" t="str">
        <f t="shared" si="2"/>
        <v>2022-01</v>
      </c>
    </row>
    <row r="6" spans="1:7" x14ac:dyDescent="0.25">
      <c r="A6" s="31">
        <v>44568</v>
      </c>
      <c r="B6" s="32">
        <v>103725.4684</v>
      </c>
      <c r="C6" s="33">
        <f t="shared" si="3"/>
        <v>-1.0427208069664684E-2</v>
      </c>
      <c r="D6" s="32">
        <f>MAX($B$2:B6)</f>
        <v>109967.49430000001</v>
      </c>
      <c r="E6" s="34">
        <f t="shared" si="0"/>
        <v>-5.676246366922999E-2</v>
      </c>
      <c r="F6" s="35">
        <f t="shared" si="1"/>
        <v>94.323753633077004</v>
      </c>
      <c r="G6" s="36" t="str">
        <f t="shared" si="2"/>
        <v>2022-01</v>
      </c>
    </row>
    <row r="7" spans="1:7" x14ac:dyDescent="0.25">
      <c r="A7" s="37">
        <v>44571</v>
      </c>
      <c r="B7" s="38">
        <v>104214.13860000001</v>
      </c>
      <c r="C7" s="39">
        <f t="shared" si="3"/>
        <v>4.7111881733379324E-3</v>
      </c>
      <c r="D7" s="38">
        <f>MAX($B$2:B7)</f>
        <v>109967.49430000001</v>
      </c>
      <c r="E7" s="40">
        <f t="shared" si="0"/>
        <v>-5.2318694143420164E-2</v>
      </c>
      <c r="F7" s="41">
        <f t="shared" si="1"/>
        <v>94.768130585657985</v>
      </c>
      <c r="G7" s="42" t="str">
        <f t="shared" si="2"/>
        <v>2022-01</v>
      </c>
    </row>
    <row r="8" spans="1:7" x14ac:dyDescent="0.25">
      <c r="A8" s="31">
        <v>44572</v>
      </c>
      <c r="B8" s="32">
        <v>105367.01270000001</v>
      </c>
      <c r="C8" s="33">
        <f t="shared" si="3"/>
        <v>1.1062549817976386E-2</v>
      </c>
      <c r="D8" s="32">
        <f>MAX($B$2:B8)</f>
        <v>109967.49430000001</v>
      </c>
      <c r="E8" s="34">
        <f t="shared" si="0"/>
        <v>-4.1834922485816772E-2</v>
      </c>
      <c r="F8" s="35">
        <f t="shared" si="1"/>
        <v>95.816507751418328</v>
      </c>
      <c r="G8" s="36" t="str">
        <f t="shared" si="2"/>
        <v>2022-01</v>
      </c>
    </row>
    <row r="9" spans="1:7" x14ac:dyDescent="0.25">
      <c r="A9" s="37">
        <v>44573</v>
      </c>
      <c r="B9" s="38">
        <v>106509.3833</v>
      </c>
      <c r="C9" s="39">
        <f t="shared" si="3"/>
        <v>1.084182393262445E-2</v>
      </c>
      <c r="D9" s="38">
        <f>MAX($B$2:B9)</f>
        <v>109967.49430000001</v>
      </c>
      <c r="E9" s="40">
        <f t="shared" si="0"/>
        <v>-3.1446665417018682E-2</v>
      </c>
      <c r="F9" s="41">
        <f t="shared" si="1"/>
        <v>96.855333458298134</v>
      </c>
      <c r="G9" s="42" t="str">
        <f t="shared" si="2"/>
        <v>2022-01</v>
      </c>
    </row>
    <row r="10" spans="1:7" x14ac:dyDescent="0.25">
      <c r="A10" s="31">
        <v>44574</v>
      </c>
      <c r="B10" s="32">
        <v>104074.20209999999</v>
      </c>
      <c r="C10" s="33">
        <f t="shared" si="3"/>
        <v>-2.286353675657804E-2</v>
      </c>
      <c r="D10" s="32">
        <f>MAX($B$2:B10)</f>
        <v>109967.49430000001</v>
      </c>
      <c r="E10" s="34">
        <f t="shared" si="0"/>
        <v>-5.3591220182962807E-2</v>
      </c>
      <c r="F10" s="35">
        <f t="shared" si="1"/>
        <v>94.640877981703724</v>
      </c>
      <c r="G10" s="36" t="str">
        <f t="shared" si="2"/>
        <v>2022-01</v>
      </c>
    </row>
    <row r="11" spans="1:7" x14ac:dyDescent="0.25">
      <c r="A11" s="37">
        <v>44575</v>
      </c>
      <c r="B11" s="38">
        <v>104832.3213</v>
      </c>
      <c r="C11" s="39">
        <f t="shared" si="3"/>
        <v>7.2844103985689745E-3</v>
      </c>
      <c r="D11" s="38">
        <f>MAX($B$2:B11)</f>
        <v>109967.49430000001</v>
      </c>
      <c r="E11" s="40">
        <f t="shared" si="0"/>
        <v>-4.6697190225966745E-2</v>
      </c>
      <c r="F11" s="41">
        <f t="shared" si="1"/>
        <v>95.330280977403319</v>
      </c>
      <c r="G11" s="42" t="str">
        <f t="shared" si="2"/>
        <v>2022-01</v>
      </c>
    </row>
    <row r="12" spans="1:7" x14ac:dyDescent="0.25">
      <c r="A12" s="31">
        <v>44579</v>
      </c>
      <c r="B12" s="32">
        <v>102433.16620000001</v>
      </c>
      <c r="C12" s="33">
        <f t="shared" si="3"/>
        <v>-2.288564318951114E-2</v>
      </c>
      <c r="D12" s="32">
        <f>MAX($B$2:B12)</f>
        <v>109967.49430000001</v>
      </c>
      <c r="E12" s="34">
        <f t="shared" si="0"/>
        <v>-6.8514138182013684E-2</v>
      </c>
      <c r="F12" s="35">
        <f t="shared" si="1"/>
        <v>93.148586181798635</v>
      </c>
      <c r="G12" s="36" t="str">
        <f t="shared" si="2"/>
        <v>2022-01</v>
      </c>
    </row>
    <row r="13" spans="1:7" x14ac:dyDescent="0.25">
      <c r="A13" s="37">
        <v>44580</v>
      </c>
      <c r="B13" s="38">
        <v>100833.0674</v>
      </c>
      <c r="C13" s="39">
        <f t="shared" si="3"/>
        <v>-1.5620905409443497E-2</v>
      </c>
      <c r="D13" s="38">
        <f>MAX($B$2:B13)</f>
        <v>109967.49430000001</v>
      </c>
      <c r="E13" s="40">
        <f t="shared" si="0"/>
        <v>-8.3064790719706405E-2</v>
      </c>
      <c r="F13" s="41">
        <f t="shared" si="1"/>
        <v>91.693520928029358</v>
      </c>
      <c r="G13" s="42" t="str">
        <f t="shared" si="2"/>
        <v>2022-01</v>
      </c>
    </row>
    <row r="14" spans="1:7" x14ac:dyDescent="0.25">
      <c r="A14" s="31">
        <v>44581</v>
      </c>
      <c r="B14" s="32">
        <v>99611.152969999996</v>
      </c>
      <c r="C14" s="33">
        <f t="shared" si="3"/>
        <v>-1.2118191596341421E-2</v>
      </c>
      <c r="D14" s="32">
        <f>MAX($B$2:B14)</f>
        <v>109967.49430000001</v>
      </c>
      <c r="E14" s="34">
        <f t="shared" si="0"/>
        <v>-9.4176387267196349E-2</v>
      </c>
      <c r="F14" s="35">
        <f t="shared" si="1"/>
        <v>90.58236127328037</v>
      </c>
      <c r="G14" s="36" t="str">
        <f t="shared" si="2"/>
        <v>2022-01</v>
      </c>
    </row>
    <row r="15" spans="1:7" x14ac:dyDescent="0.25">
      <c r="A15" s="37">
        <v>44582</v>
      </c>
      <c r="B15" s="38">
        <v>96876.807400000005</v>
      </c>
      <c r="C15" s="39">
        <f t="shared" si="3"/>
        <v>-2.7450194967861608E-2</v>
      </c>
      <c r="D15" s="38">
        <f>MAX($B$2:B15)</f>
        <v>109967.49430000001</v>
      </c>
      <c r="E15" s="40">
        <f t="shared" si="0"/>
        <v>-0.11904142204320467</v>
      </c>
      <c r="F15" s="41">
        <f t="shared" si="1"/>
        <v>88.095857795679535</v>
      </c>
      <c r="G15" s="42" t="str">
        <f t="shared" si="2"/>
        <v>2022-01</v>
      </c>
    </row>
    <row r="16" spans="1:7" x14ac:dyDescent="0.25">
      <c r="A16" s="31">
        <v>44585</v>
      </c>
      <c r="B16" s="32">
        <v>97006.884479999993</v>
      </c>
      <c r="C16" s="33">
        <f t="shared" si="3"/>
        <v>1.3427060974759986E-3</v>
      </c>
      <c r="D16" s="32">
        <f>MAX($B$2:B16)</f>
        <v>109967.49430000001</v>
      </c>
      <c r="E16" s="34">
        <f t="shared" si="0"/>
        <v>-0.11785855358895825</v>
      </c>
      <c r="F16" s="35">
        <f t="shared" si="1"/>
        <v>88.21414464110417</v>
      </c>
      <c r="G16" s="36" t="str">
        <f t="shared" si="2"/>
        <v>2022-01</v>
      </c>
    </row>
    <row r="17" spans="1:7" x14ac:dyDescent="0.25">
      <c r="A17" s="37">
        <v>44586</v>
      </c>
      <c r="B17" s="38">
        <v>95322.164820000005</v>
      </c>
      <c r="C17" s="39">
        <f t="shared" si="3"/>
        <v>-1.7367011310906788E-2</v>
      </c>
      <c r="D17" s="38">
        <f>MAX($B$2:B17)</f>
        <v>109967.49430000001</v>
      </c>
      <c r="E17" s="40">
        <f t="shared" si="0"/>
        <v>-0.13317871406659854</v>
      </c>
      <c r="F17" s="41">
        <f t="shared" si="1"/>
        <v>86.682128593340153</v>
      </c>
      <c r="G17" s="42" t="str">
        <f t="shared" si="2"/>
        <v>2022-01</v>
      </c>
    </row>
    <row r="18" spans="1:7" x14ac:dyDescent="0.25">
      <c r="A18" s="31">
        <v>44587</v>
      </c>
      <c r="B18" s="32">
        <v>95913.197570000004</v>
      </c>
      <c r="C18" s="33">
        <f t="shared" si="3"/>
        <v>6.2003706180620011E-3</v>
      </c>
      <c r="D18" s="32">
        <f>MAX($B$2:B18)</f>
        <v>109967.49430000001</v>
      </c>
      <c r="E18" s="34">
        <f t="shared" si="0"/>
        <v>-0.12780410083418625</v>
      </c>
      <c r="F18" s="35">
        <f t="shared" si="1"/>
        <v>87.21958991658137</v>
      </c>
      <c r="G18" s="36" t="str">
        <f t="shared" si="2"/>
        <v>2022-01</v>
      </c>
    </row>
    <row r="19" spans="1:7" x14ac:dyDescent="0.25">
      <c r="A19" s="37">
        <v>44588</v>
      </c>
      <c r="B19" s="38">
        <v>93620.406700000007</v>
      </c>
      <c r="C19" s="39">
        <f t="shared" si="3"/>
        <v>-2.3904852805336385E-2</v>
      </c>
      <c r="D19" s="38">
        <f>MAX($B$2:B19)</f>
        <v>109967.49430000001</v>
      </c>
      <c r="E19" s="40">
        <f t="shared" si="0"/>
        <v>-0.14865381542116307</v>
      </c>
      <c r="F19" s="41">
        <f t="shared" si="1"/>
        <v>85.13461845788369</v>
      </c>
      <c r="G19" s="42" t="str">
        <f t="shared" si="2"/>
        <v>2022-01</v>
      </c>
    </row>
    <row r="20" spans="1:7" x14ac:dyDescent="0.25">
      <c r="A20" s="31">
        <v>44589</v>
      </c>
      <c r="B20" s="32">
        <v>96362.653479999994</v>
      </c>
      <c r="C20" s="33">
        <f t="shared" si="3"/>
        <v>2.9291122274092585E-2</v>
      </c>
      <c r="D20" s="32">
        <f>MAX($B$2:B20)</f>
        <v>109967.49430000001</v>
      </c>
      <c r="E20" s="34">
        <f t="shared" si="0"/>
        <v>-0.12371693023108199</v>
      </c>
      <c r="F20" s="35">
        <f t="shared" si="1"/>
        <v>87.628306976891807</v>
      </c>
      <c r="G20" s="36" t="str">
        <f t="shared" si="2"/>
        <v>2022-01</v>
      </c>
    </row>
    <row r="21" spans="1:7" x14ac:dyDescent="0.25">
      <c r="A21" s="37">
        <v>44592</v>
      </c>
      <c r="B21" s="38">
        <v>99638.180009999996</v>
      </c>
      <c r="C21" s="39">
        <f t="shared" si="3"/>
        <v>3.3991659753120462E-2</v>
      </c>
      <c r="D21" s="38">
        <f>MAX($B$2:B21)</f>
        <v>109967.49430000001</v>
      </c>
      <c r="E21" s="40">
        <f t="shared" si="0"/>
        <v>-9.3930614276077073E-2</v>
      </c>
      <c r="F21" s="41">
        <f t="shared" si="1"/>
        <v>90.606938572392295</v>
      </c>
      <c r="G21" s="42" t="str">
        <f t="shared" si="2"/>
        <v>2022-01</v>
      </c>
    </row>
    <row r="22" spans="1:7" x14ac:dyDescent="0.25">
      <c r="A22" s="31">
        <v>44593</v>
      </c>
      <c r="B22" s="32">
        <v>99913.435119999995</v>
      </c>
      <c r="C22" s="33">
        <f t="shared" si="3"/>
        <v>2.762546545635125E-3</v>
      </c>
      <c r="D22" s="32">
        <f>MAX($B$2:B22)</f>
        <v>109967.49430000001</v>
      </c>
      <c r="E22" s="34">
        <f t="shared" si="0"/>
        <v>-9.1427555424439699E-2</v>
      </c>
      <c r="F22" s="35">
        <f t="shared" si="1"/>
        <v>90.857244457556035</v>
      </c>
      <c r="G22" s="36" t="str">
        <f t="shared" si="2"/>
        <v>2022-02</v>
      </c>
    </row>
    <row r="23" spans="1:7" x14ac:dyDescent="0.25">
      <c r="A23" s="37">
        <v>44594</v>
      </c>
      <c r="B23" s="38">
        <v>100694.2867</v>
      </c>
      <c r="C23" s="39">
        <f t="shared" si="3"/>
        <v>7.8152810886962243E-3</v>
      </c>
      <c r="D23" s="38">
        <f>MAX($B$2:B23)</f>
        <v>109967.49430000001</v>
      </c>
      <c r="E23" s="40">
        <f t="shared" si="0"/>
        <v>-8.4326806380637942E-2</v>
      </c>
      <c r="F23" s="41">
        <f t="shared" si="1"/>
        <v>91.5673193619362</v>
      </c>
      <c r="G23" s="42" t="str">
        <f t="shared" si="2"/>
        <v>2022-02</v>
      </c>
    </row>
    <row r="24" spans="1:7" x14ac:dyDescent="0.25">
      <c r="A24" s="31">
        <v>44595</v>
      </c>
      <c r="B24" s="32">
        <v>97924.972819999995</v>
      </c>
      <c r="C24" s="33">
        <f t="shared" si="3"/>
        <v>-2.7502194719851936E-2</v>
      </c>
      <c r="D24" s="32">
        <f>MAX($B$2:B24)</f>
        <v>109967.49430000001</v>
      </c>
      <c r="E24" s="34">
        <f t="shared" si="0"/>
        <v>-0.10950982885130633</v>
      </c>
      <c r="F24" s="35">
        <f t="shared" si="1"/>
        <v>89.049017114869372</v>
      </c>
      <c r="G24" s="36" t="str">
        <f t="shared" si="2"/>
        <v>2022-02</v>
      </c>
    </row>
    <row r="25" spans="1:7" x14ac:dyDescent="0.25">
      <c r="A25" s="37">
        <v>44596</v>
      </c>
      <c r="B25" s="38">
        <v>99469.736799999999</v>
      </c>
      <c r="C25" s="39">
        <f t="shared" si="3"/>
        <v>1.5774974815050413E-2</v>
      </c>
      <c r="D25" s="38">
        <f>MAX($B$2:B25)</f>
        <v>109967.49430000001</v>
      </c>
      <c r="E25" s="40">
        <f t="shared" si="0"/>
        <v>-9.5462368828385769E-2</v>
      </c>
      <c r="F25" s="41">
        <f t="shared" si="1"/>
        <v>90.453763117161429</v>
      </c>
      <c r="G25" s="42" t="str">
        <f t="shared" si="2"/>
        <v>2022-02</v>
      </c>
    </row>
    <row r="26" spans="1:7" x14ac:dyDescent="0.25">
      <c r="A26" s="31">
        <v>44599</v>
      </c>
      <c r="B26" s="32">
        <v>98699.310089999999</v>
      </c>
      <c r="C26" s="33">
        <f t="shared" si="3"/>
        <v>-7.745337775941552E-3</v>
      </c>
      <c r="D26" s="32">
        <f>MAX($B$2:B26)</f>
        <v>109967.49430000001</v>
      </c>
      <c r="E26" s="34">
        <f t="shared" si="0"/>
        <v>-0.10246831831285985</v>
      </c>
      <c r="F26" s="35">
        <f t="shared" si="1"/>
        <v>89.753168168714012</v>
      </c>
      <c r="G26" s="36" t="str">
        <f t="shared" si="2"/>
        <v>2022-02</v>
      </c>
    </row>
    <row r="27" spans="1:7" x14ac:dyDescent="0.25">
      <c r="A27" s="37">
        <v>44600</v>
      </c>
      <c r="B27" s="38">
        <v>99877.168520000007</v>
      </c>
      <c r="C27" s="39">
        <f t="shared" si="3"/>
        <v>1.1933806111977585E-2</v>
      </c>
      <c r="D27" s="38">
        <f>MAX($B$2:B27)</f>
        <v>109967.49430000001</v>
      </c>
      <c r="E27" s="40">
        <f t="shared" si="0"/>
        <v>-9.1757349244248387E-2</v>
      </c>
      <c r="F27" s="41">
        <f t="shared" si="1"/>
        <v>90.824265075575155</v>
      </c>
      <c r="G27" s="42" t="str">
        <f t="shared" si="2"/>
        <v>2022-02</v>
      </c>
    </row>
    <row r="28" spans="1:7" x14ac:dyDescent="0.25">
      <c r="A28" s="31">
        <v>44601</v>
      </c>
      <c r="B28" s="32">
        <v>101429.8817</v>
      </c>
      <c r="C28" s="33">
        <f t="shared" si="3"/>
        <v>1.5546227461274764E-2</v>
      </c>
      <c r="D28" s="32">
        <f>MAX($B$2:B28)</f>
        <v>109967.49430000001</v>
      </c>
      <c r="E28" s="34">
        <f t="shared" si="0"/>
        <v>-7.7637602405568384E-2</v>
      </c>
      <c r="F28" s="35">
        <f t="shared" si="1"/>
        <v>92.236239759443166</v>
      </c>
      <c r="G28" s="36" t="str">
        <f t="shared" si="2"/>
        <v>2022-02</v>
      </c>
    </row>
    <row r="29" spans="1:7" x14ac:dyDescent="0.25">
      <c r="A29" s="37">
        <v>44602</v>
      </c>
      <c r="B29" s="38">
        <v>99488.339160000003</v>
      </c>
      <c r="C29" s="39">
        <f t="shared" si="3"/>
        <v>-1.9141721428232672E-2</v>
      </c>
      <c r="D29" s="38">
        <f>MAX($B$2:B29)</f>
        <v>109967.49430000001</v>
      </c>
      <c r="E29" s="40">
        <f t="shared" si="0"/>
        <v>-9.5293206476197767E-2</v>
      </c>
      <c r="F29" s="41">
        <f t="shared" si="1"/>
        <v>90.470679352380216</v>
      </c>
      <c r="G29" s="42" t="str">
        <f t="shared" si="2"/>
        <v>2022-02</v>
      </c>
    </row>
    <row r="30" spans="1:7" x14ac:dyDescent="0.25">
      <c r="A30" s="31">
        <v>44603</v>
      </c>
      <c r="B30" s="32">
        <v>96829.578039999993</v>
      </c>
      <c r="C30" s="33">
        <f t="shared" si="3"/>
        <v>-2.6724349229753641E-2</v>
      </c>
      <c r="D30" s="32">
        <f>MAX($B$2:B30)</f>
        <v>109967.49430000001</v>
      </c>
      <c r="E30" s="34">
        <f t="shared" si="0"/>
        <v>-0.11947090677685845</v>
      </c>
      <c r="F30" s="35">
        <f t="shared" si="1"/>
        <v>88.05290932231415</v>
      </c>
      <c r="G30" s="36" t="str">
        <f t="shared" si="2"/>
        <v>2022-02</v>
      </c>
    </row>
    <row r="31" spans="1:7" x14ac:dyDescent="0.25">
      <c r="A31" s="37">
        <v>44606</v>
      </c>
      <c r="B31" s="38">
        <v>97001.157890000002</v>
      </c>
      <c r="C31" s="39">
        <f t="shared" si="3"/>
        <v>1.7719776691491607E-3</v>
      </c>
      <c r="D31" s="38">
        <f>MAX($B$2:B31)</f>
        <v>109967.49430000001</v>
      </c>
      <c r="E31" s="40">
        <f t="shared" si="0"/>
        <v>-0.11791062888663095</v>
      </c>
      <c r="F31" s="41">
        <f t="shared" si="1"/>
        <v>88.208937111336908</v>
      </c>
      <c r="G31" s="42" t="str">
        <f t="shared" si="2"/>
        <v>2022-02</v>
      </c>
    </row>
    <row r="32" spans="1:7" x14ac:dyDescent="0.25">
      <c r="A32" s="31">
        <v>44607</v>
      </c>
      <c r="B32" s="32">
        <v>99505.228459999998</v>
      </c>
      <c r="C32" s="33">
        <f t="shared" si="3"/>
        <v>2.5814852363305052E-2</v>
      </c>
      <c r="D32" s="32">
        <f>MAX($B$2:B32)</f>
        <v>109967.49430000001</v>
      </c>
      <c r="E32" s="34">
        <f t="shared" si="0"/>
        <v>-9.5139622000098734E-2</v>
      </c>
      <c r="F32" s="35">
        <f t="shared" si="1"/>
        <v>90.486037799990129</v>
      </c>
      <c r="G32" s="36" t="str">
        <f t="shared" si="2"/>
        <v>2022-02</v>
      </c>
    </row>
    <row r="33" spans="1:7" x14ac:dyDescent="0.25">
      <c r="A33" s="37">
        <v>44608</v>
      </c>
      <c r="B33" s="38">
        <v>99569.274250000002</v>
      </c>
      <c r="C33" s="39">
        <f t="shared" si="3"/>
        <v>6.4364245971004763E-4</v>
      </c>
      <c r="D33" s="38">
        <f>MAX($B$2:B33)</f>
        <v>109967.49430000001</v>
      </c>
      <c r="E33" s="40">
        <f t="shared" si="0"/>
        <v>-9.455721544070872E-2</v>
      </c>
      <c r="F33" s="41">
        <f t="shared" si="1"/>
        <v>90.544278455929131</v>
      </c>
      <c r="G33" s="42" t="str">
        <f t="shared" si="2"/>
        <v>2022-02</v>
      </c>
    </row>
    <row r="34" spans="1:7" x14ac:dyDescent="0.25">
      <c r="A34" s="31">
        <v>44609</v>
      </c>
      <c r="B34" s="32">
        <v>96639.956760000001</v>
      </c>
      <c r="C34" s="33">
        <f t="shared" si="3"/>
        <v>-2.9419893958903653E-2</v>
      </c>
      <c r="D34" s="32">
        <f>MAX($B$2:B34)</f>
        <v>109967.49430000001</v>
      </c>
      <c r="E34" s="34">
        <f t="shared" si="0"/>
        <v>-0.12119524614829746</v>
      </c>
      <c r="F34" s="35">
        <f t="shared" si="1"/>
        <v>87.880475385170257</v>
      </c>
      <c r="G34" s="36" t="str">
        <f t="shared" si="2"/>
        <v>2022-02</v>
      </c>
    </row>
    <row r="35" spans="1:7" x14ac:dyDescent="0.25">
      <c r="A35" s="37">
        <v>44610</v>
      </c>
      <c r="B35" s="38">
        <v>95530.684070000003</v>
      </c>
      <c r="C35" s="39">
        <f t="shared" si="3"/>
        <v>-1.1478406315462375E-2</v>
      </c>
      <c r="D35" s="38">
        <f>MAX($B$2:B35)</f>
        <v>109967.49430000001</v>
      </c>
      <c r="E35" s="40">
        <f t="shared" si="0"/>
        <v>-0.13128252418496733</v>
      </c>
      <c r="F35" s="41">
        <f t="shared" si="1"/>
        <v>86.871747581503271</v>
      </c>
      <c r="G35" s="42" t="str">
        <f t="shared" si="2"/>
        <v>2022-02</v>
      </c>
    </row>
    <row r="36" spans="1:7" x14ac:dyDescent="0.25">
      <c r="A36" s="31">
        <v>44614</v>
      </c>
      <c r="B36" s="32">
        <v>94100.526280000005</v>
      </c>
      <c r="C36" s="33">
        <f t="shared" si="3"/>
        <v>-1.4970664178977855E-2</v>
      </c>
      <c r="D36" s="32">
        <f>MAX($B$2:B36)</f>
        <v>109967.49430000001</v>
      </c>
      <c r="E36" s="34">
        <f t="shared" si="0"/>
        <v>-0.14428780178180345</v>
      </c>
      <c r="F36" s="35">
        <f t="shared" si="1"/>
        <v>85.571219821819653</v>
      </c>
      <c r="G36" s="36" t="str">
        <f t="shared" si="2"/>
        <v>2022-02</v>
      </c>
    </row>
    <row r="37" spans="1:7" x14ac:dyDescent="0.25">
      <c r="A37" s="37">
        <v>44615</v>
      </c>
      <c r="B37" s="38">
        <v>91480.488280000005</v>
      </c>
      <c r="C37" s="39">
        <f t="shared" si="3"/>
        <v>-2.7842968616391905E-2</v>
      </c>
      <c r="D37" s="38">
        <f>MAX($B$2:B37)</f>
        <v>109967.49430000001</v>
      </c>
      <c r="E37" s="40">
        <f t="shared" si="0"/>
        <v>-0.1681133696614564</v>
      </c>
      <c r="F37" s="41">
        <f t="shared" si="1"/>
        <v>83.188663033854354</v>
      </c>
      <c r="G37" s="42" t="str">
        <f t="shared" si="2"/>
        <v>2022-02</v>
      </c>
    </row>
    <row r="38" spans="1:7" x14ac:dyDescent="0.25">
      <c r="A38" s="31">
        <v>44616</v>
      </c>
      <c r="B38" s="32">
        <v>93685.399720000001</v>
      </c>
      <c r="C38" s="33">
        <f t="shared" si="3"/>
        <v>2.4102532479399086E-2</v>
      </c>
      <c r="D38" s="32">
        <f>MAX($B$2:B38)</f>
        <v>109967.49430000001</v>
      </c>
      <c r="E38" s="34">
        <f t="shared" si="0"/>
        <v>-0.14806279513454368</v>
      </c>
      <c r="F38" s="35">
        <f t="shared" si="1"/>
        <v>85.193720486545629</v>
      </c>
      <c r="G38" s="36" t="str">
        <f t="shared" si="2"/>
        <v>2022-02</v>
      </c>
    </row>
    <row r="39" spans="1:7" x14ac:dyDescent="0.25">
      <c r="A39" s="37">
        <v>44617</v>
      </c>
      <c r="B39" s="38">
        <v>95119.12268</v>
      </c>
      <c r="C39" s="39">
        <f t="shared" si="3"/>
        <v>1.5303590146223511E-2</v>
      </c>
      <c r="D39" s="38">
        <f>MAX($B$2:B39)</f>
        <v>109967.49430000001</v>
      </c>
      <c r="E39" s="40">
        <f t="shared" si="0"/>
        <v>-0.13502509732096357</v>
      </c>
      <c r="F39" s="41">
        <f t="shared" si="1"/>
        <v>86.497490267903643</v>
      </c>
      <c r="G39" s="42" t="str">
        <f t="shared" si="2"/>
        <v>2022-02</v>
      </c>
    </row>
    <row r="40" spans="1:7" x14ac:dyDescent="0.25">
      <c r="A40" s="31">
        <v>44620</v>
      </c>
      <c r="B40" s="32">
        <v>95788.258059999993</v>
      </c>
      <c r="C40" s="33">
        <f t="shared" si="3"/>
        <v>7.0347093323295251E-3</v>
      </c>
      <c r="D40" s="32">
        <f>MAX($B$2:B40)</f>
        <v>109967.49430000001</v>
      </c>
      <c r="E40" s="34">
        <f t="shared" si="0"/>
        <v>-0.12894025030085654</v>
      </c>
      <c r="F40" s="35">
        <f t="shared" si="1"/>
        <v>87.105974969914342</v>
      </c>
      <c r="G40" s="36" t="str">
        <f t="shared" si="2"/>
        <v>2022-02</v>
      </c>
    </row>
    <row r="41" spans="1:7" x14ac:dyDescent="0.25">
      <c r="A41" s="37">
        <v>44621</v>
      </c>
      <c r="B41" s="38">
        <v>94590.466079999998</v>
      </c>
      <c r="C41" s="39">
        <f t="shared" si="3"/>
        <v>-1.2504580459639647E-2</v>
      </c>
      <c r="D41" s="38">
        <f>MAX($B$2:B41)</f>
        <v>109967.49430000001</v>
      </c>
      <c r="E41" s="40">
        <f t="shared" si="0"/>
        <v>-0.13983248702612305</v>
      </c>
      <c r="F41" s="41">
        <f t="shared" si="1"/>
        <v>86.0167512973877</v>
      </c>
      <c r="G41" s="42" t="str">
        <f t="shared" si="2"/>
        <v>2022-03</v>
      </c>
    </row>
    <row r="42" spans="1:7" x14ac:dyDescent="0.25">
      <c r="A42" s="31">
        <v>44622</v>
      </c>
      <c r="B42" s="32">
        <v>96382.111069999999</v>
      </c>
      <c r="C42" s="33">
        <f t="shared" si="3"/>
        <v>1.894107370699194E-2</v>
      </c>
      <c r="D42" s="32">
        <f>MAX($B$2:B42)</f>
        <v>109967.49430000001</v>
      </c>
      <c r="E42" s="34">
        <f t="shared" si="0"/>
        <v>-0.12353999076252486</v>
      </c>
      <c r="F42" s="35">
        <f t="shared" si="1"/>
        <v>87.646000923747508</v>
      </c>
      <c r="G42" s="36" t="str">
        <f t="shared" si="2"/>
        <v>2022-03</v>
      </c>
    </row>
    <row r="43" spans="1:7" x14ac:dyDescent="0.25">
      <c r="A43" s="37">
        <v>44623</v>
      </c>
      <c r="B43" s="38">
        <v>94998.733689999994</v>
      </c>
      <c r="C43" s="39">
        <f t="shared" si="3"/>
        <v>-1.4353051252377069E-2</v>
      </c>
      <c r="D43" s="38">
        <f>MAX($B$2:B43)</f>
        <v>109967.49430000001</v>
      </c>
      <c r="E43" s="40">
        <f t="shared" si="0"/>
        <v>-0.13611986619576921</v>
      </c>
      <c r="F43" s="41">
        <f t="shared" si="1"/>
        <v>86.388013380423075</v>
      </c>
      <c r="G43" s="42" t="str">
        <f t="shared" si="2"/>
        <v>2022-03</v>
      </c>
    </row>
    <row r="44" spans="1:7" x14ac:dyDescent="0.25">
      <c r="A44" s="31">
        <v>44624</v>
      </c>
      <c r="B44" s="32">
        <v>93552.711089999997</v>
      </c>
      <c r="C44" s="33">
        <f t="shared" si="3"/>
        <v>-1.5221493422414079E-2</v>
      </c>
      <c r="D44" s="32">
        <f>MAX($B$2:B44)</f>
        <v>109967.49430000001</v>
      </c>
      <c r="E44" s="34">
        <f t="shared" si="0"/>
        <v>-0.14926941197022447</v>
      </c>
      <c r="F44" s="35">
        <f t="shared" si="1"/>
        <v>85.073058802977556</v>
      </c>
      <c r="G44" s="36" t="str">
        <f t="shared" si="2"/>
        <v>2022-03</v>
      </c>
    </row>
    <row r="45" spans="1:7" x14ac:dyDescent="0.25">
      <c r="A45" s="37">
        <v>44627</v>
      </c>
      <c r="B45" s="38">
        <v>90180.840660000002</v>
      </c>
      <c r="C45" s="39">
        <f t="shared" si="3"/>
        <v>-3.6042466228008885E-2</v>
      </c>
      <c r="D45" s="38">
        <f>MAX($B$2:B45)</f>
        <v>109967.49430000001</v>
      </c>
      <c r="E45" s="40">
        <f t="shared" si="0"/>
        <v>-0.1799318404584217</v>
      </c>
      <c r="F45" s="41">
        <f t="shared" si="1"/>
        <v>82.00681595415783</v>
      </c>
      <c r="G45" s="42" t="str">
        <f t="shared" si="2"/>
        <v>2022-03</v>
      </c>
    </row>
    <row r="46" spans="1:7" x14ac:dyDescent="0.25">
      <c r="A46" s="31">
        <v>44628</v>
      </c>
      <c r="B46" s="32">
        <v>90061.445519999994</v>
      </c>
      <c r="C46" s="33">
        <f t="shared" si="3"/>
        <v>-1.3239523952781607E-3</v>
      </c>
      <c r="D46" s="32">
        <f>MAX($B$2:B46)</f>
        <v>109967.49430000001</v>
      </c>
      <c r="E46" s="34">
        <f t="shared" si="0"/>
        <v>-0.18101757166253818</v>
      </c>
      <c r="F46" s="35">
        <f t="shared" si="1"/>
        <v>81.898242833746181</v>
      </c>
      <c r="G46" s="36" t="str">
        <f t="shared" si="2"/>
        <v>2022-03</v>
      </c>
    </row>
    <row r="47" spans="1:7" x14ac:dyDescent="0.25">
      <c r="A47" s="37">
        <v>44629</v>
      </c>
      <c r="B47" s="38">
        <v>93229.723429999998</v>
      </c>
      <c r="C47" s="39">
        <f t="shared" si="3"/>
        <v>3.5179070152681735E-2</v>
      </c>
      <c r="D47" s="38">
        <f>MAX($B$2:B47)</f>
        <v>109967.49430000001</v>
      </c>
      <c r="E47" s="40">
        <f t="shared" si="0"/>
        <v>-0.15220653136224094</v>
      </c>
      <c r="F47" s="41">
        <f t="shared" si="1"/>
        <v>84.779346863775913</v>
      </c>
      <c r="G47" s="42" t="str">
        <f t="shared" si="2"/>
        <v>2022-03</v>
      </c>
    </row>
    <row r="48" spans="1:7" x14ac:dyDescent="0.25">
      <c r="A48" s="31">
        <v>44630</v>
      </c>
      <c r="B48" s="32">
        <v>92313.885559999995</v>
      </c>
      <c r="C48" s="33">
        <f t="shared" si="3"/>
        <v>-9.8234536830696939E-3</v>
      </c>
      <c r="D48" s="32">
        <f>MAX($B$2:B48)</f>
        <v>109967.49430000001</v>
      </c>
      <c r="E48" s="34">
        <f t="shared" si="0"/>
        <v>-0.16053479123421299</v>
      </c>
      <c r="F48" s="35">
        <f t="shared" si="1"/>
        <v>83.946520876578703</v>
      </c>
      <c r="G48" s="36" t="str">
        <f t="shared" si="2"/>
        <v>2022-03</v>
      </c>
    </row>
    <row r="49" spans="1:7" x14ac:dyDescent="0.25">
      <c r="A49" s="37">
        <v>44631</v>
      </c>
      <c r="B49" s="38">
        <v>90243.320059999998</v>
      </c>
      <c r="C49" s="39">
        <f t="shared" si="3"/>
        <v>-2.2429621366703456E-2</v>
      </c>
      <c r="D49" s="38">
        <f>MAX($B$2:B49)</f>
        <v>109967.49430000001</v>
      </c>
      <c r="E49" s="40">
        <f t="shared" si="0"/>
        <v>-0.17936367801735031</v>
      </c>
      <c r="F49" s="41">
        <f t="shared" si="1"/>
        <v>82.063632198264969</v>
      </c>
      <c r="G49" s="42" t="str">
        <f t="shared" si="2"/>
        <v>2022-03</v>
      </c>
    </row>
    <row r="50" spans="1:7" x14ac:dyDescent="0.25">
      <c r="A50" s="31">
        <v>44634</v>
      </c>
      <c r="B50" s="32">
        <v>88582.489719999998</v>
      </c>
      <c r="C50" s="33">
        <f t="shared" si="3"/>
        <v>-1.8403914427081891E-2</v>
      </c>
      <c r="D50" s="32">
        <f>MAX($B$2:B50)</f>
        <v>109967.49430000001</v>
      </c>
      <c r="E50" s="34">
        <f t="shared" si="0"/>
        <v>-0.19446659866287419</v>
      </c>
      <c r="F50" s="35">
        <f t="shared" si="1"/>
        <v>80.553340133712581</v>
      </c>
      <c r="G50" s="36" t="str">
        <f t="shared" si="2"/>
        <v>2022-03</v>
      </c>
    </row>
    <row r="51" spans="1:7" x14ac:dyDescent="0.25">
      <c r="A51" s="37">
        <v>44635</v>
      </c>
      <c r="B51" s="38">
        <v>91333.036749999999</v>
      </c>
      <c r="C51" s="39">
        <f t="shared" si="3"/>
        <v>3.1050685510129572E-2</v>
      </c>
      <c r="D51" s="38">
        <f>MAX($B$2:B51)</f>
        <v>109967.49430000001</v>
      </c>
      <c r="E51" s="40">
        <f t="shared" si="0"/>
        <v>-0.16945423435005014</v>
      </c>
      <c r="F51" s="41">
        <f t="shared" si="1"/>
        <v>83.054576564994989</v>
      </c>
      <c r="G51" s="42" t="str">
        <f t="shared" si="2"/>
        <v>2022-03</v>
      </c>
    </row>
    <row r="52" spans="1:7" x14ac:dyDescent="0.25">
      <c r="A52" s="31">
        <v>44636</v>
      </c>
      <c r="B52" s="32">
        <v>94336.661510000005</v>
      </c>
      <c r="C52" s="33">
        <f t="shared" si="3"/>
        <v>3.2886509272889164E-2</v>
      </c>
      <c r="D52" s="32">
        <f>MAX($B$2:B52)</f>
        <v>109967.49430000001</v>
      </c>
      <c r="E52" s="34">
        <f t="shared" si="0"/>
        <v>-0.14214048332644424</v>
      </c>
      <c r="F52" s="35">
        <f t="shared" si="1"/>
        <v>85.785951667355576</v>
      </c>
      <c r="G52" s="36" t="str">
        <f t="shared" si="2"/>
        <v>2022-03</v>
      </c>
    </row>
    <row r="53" spans="1:7" x14ac:dyDescent="0.25">
      <c r="A53" s="37">
        <v>44637</v>
      </c>
      <c r="B53" s="38">
        <v>95692.571389999997</v>
      </c>
      <c r="C53" s="39">
        <f t="shared" si="3"/>
        <v>1.4373095870646946E-2</v>
      </c>
      <c r="D53" s="38">
        <f>MAX($B$2:B53)</f>
        <v>109967.49430000001</v>
      </c>
      <c r="E53" s="40">
        <f t="shared" si="0"/>
        <v>-0.12981038624974839</v>
      </c>
      <c r="F53" s="41">
        <f t="shared" si="1"/>
        <v>87.018961375025157</v>
      </c>
      <c r="G53" s="42" t="str">
        <f t="shared" si="2"/>
        <v>2022-03</v>
      </c>
    </row>
    <row r="54" spans="1:7" x14ac:dyDescent="0.25">
      <c r="A54" s="31">
        <v>44638</v>
      </c>
      <c r="B54" s="32">
        <v>97308.651490000004</v>
      </c>
      <c r="C54" s="33">
        <f t="shared" si="3"/>
        <v>1.6888250326282828E-2</v>
      </c>
      <c r="D54" s="32">
        <f>MAX($B$2:B54)</f>
        <v>109967.49430000001</v>
      </c>
      <c r="E54" s="34">
        <f t="shared" si="0"/>
        <v>-0.11511440622140279</v>
      </c>
      <c r="F54" s="35">
        <f t="shared" si="1"/>
        <v>88.488559377859715</v>
      </c>
      <c r="G54" s="36" t="str">
        <f t="shared" si="2"/>
        <v>2022-03</v>
      </c>
    </row>
    <row r="55" spans="1:7" x14ac:dyDescent="0.25">
      <c r="A55" s="37">
        <v>44641</v>
      </c>
      <c r="B55" s="38">
        <v>97524.145640000002</v>
      </c>
      <c r="C55" s="39">
        <f t="shared" si="3"/>
        <v>2.2145425581419076E-3</v>
      </c>
      <c r="D55" s="38">
        <f>MAX($B$2:B55)</f>
        <v>109967.49430000001</v>
      </c>
      <c r="E55" s="40">
        <f t="shared" si="0"/>
        <v>-0.11315478941489354</v>
      </c>
      <c r="F55" s="41">
        <f t="shared" si="1"/>
        <v>88.68452105851064</v>
      </c>
      <c r="G55" s="42" t="str">
        <f t="shared" si="2"/>
        <v>2022-03</v>
      </c>
    </row>
    <row r="56" spans="1:7" x14ac:dyDescent="0.25">
      <c r="A56" s="31">
        <v>44642</v>
      </c>
      <c r="B56" s="32">
        <v>99786.485390000002</v>
      </c>
      <c r="C56" s="33">
        <f t="shared" si="3"/>
        <v>2.3197739751047664E-2</v>
      </c>
      <c r="D56" s="32">
        <f>MAX($B$2:B56)</f>
        <v>109967.49430000001</v>
      </c>
      <c r="E56" s="34">
        <f t="shared" si="0"/>
        <v>-9.2581985020277036E-2</v>
      </c>
      <c r="F56" s="35">
        <f t="shared" si="1"/>
        <v>90.74180149797229</v>
      </c>
      <c r="G56" s="36" t="str">
        <f t="shared" si="2"/>
        <v>2022-03</v>
      </c>
    </row>
    <row r="57" spans="1:7" x14ac:dyDescent="0.25">
      <c r="A57" s="37">
        <v>44643</v>
      </c>
      <c r="B57" s="38">
        <v>98828.389720000006</v>
      </c>
      <c r="C57" s="39">
        <f t="shared" si="3"/>
        <v>-9.6014572139245802E-3</v>
      </c>
      <c r="D57" s="38">
        <f>MAX($B$2:B57)</f>
        <v>109967.49430000001</v>
      </c>
      <c r="E57" s="40">
        <f t="shared" si="0"/>
        <v>-0.1012945202662493</v>
      </c>
      <c r="F57" s="41">
        <f t="shared" si="1"/>
        <v>89.870547973375068</v>
      </c>
      <c r="G57" s="42" t="str">
        <f t="shared" si="2"/>
        <v>2022-03</v>
      </c>
    </row>
    <row r="58" spans="1:7" x14ac:dyDescent="0.25">
      <c r="A58" s="31">
        <v>44644</v>
      </c>
      <c r="B58" s="32">
        <v>100556.22440000001</v>
      </c>
      <c r="C58" s="33">
        <f t="shared" si="3"/>
        <v>1.7483181552338189E-2</v>
      </c>
      <c r="D58" s="32">
        <f>MAX($B$2:B58)</f>
        <v>109967.49430000001</v>
      </c>
      <c r="E58" s="34">
        <f t="shared" si="0"/>
        <v>-8.5582289201982853E-2</v>
      </c>
      <c r="F58" s="35">
        <f t="shared" si="1"/>
        <v>91.441771079801711</v>
      </c>
      <c r="G58" s="36" t="str">
        <f t="shared" si="2"/>
        <v>2022-03</v>
      </c>
    </row>
    <row r="59" spans="1:7" x14ac:dyDescent="0.25">
      <c r="A59" s="37">
        <v>44645</v>
      </c>
      <c r="B59" s="38">
        <v>100640.0018</v>
      </c>
      <c r="C59" s="39">
        <f t="shared" si="3"/>
        <v>8.3313987274169499E-4</v>
      </c>
      <c r="D59" s="38">
        <f>MAX($B$2:B59)</f>
        <v>109967.49430000001</v>
      </c>
      <c r="E59" s="40">
        <f t="shared" si="0"/>
        <v>-8.482045134677596E-2</v>
      </c>
      <c r="F59" s="41">
        <f t="shared" si="1"/>
        <v>91.517954865322409</v>
      </c>
      <c r="G59" s="42" t="str">
        <f t="shared" si="2"/>
        <v>2022-03</v>
      </c>
    </row>
    <row r="60" spans="1:7" x14ac:dyDescent="0.25">
      <c r="A60" s="31">
        <v>44648</v>
      </c>
      <c r="B60" s="32">
        <v>102711.7711</v>
      </c>
      <c r="C60" s="33">
        <f t="shared" si="3"/>
        <v>2.0585942596833329E-2</v>
      </c>
      <c r="D60" s="32">
        <f>MAX($B$2:B60)</f>
        <v>109967.49430000001</v>
      </c>
      <c r="E60" s="34">
        <f t="shared" si="0"/>
        <v>-6.5980617692404819E-2</v>
      </c>
      <c r="F60" s="35">
        <f t="shared" si="1"/>
        <v>93.401938230759512</v>
      </c>
      <c r="G60" s="36" t="str">
        <f t="shared" si="2"/>
        <v>2022-03</v>
      </c>
    </row>
    <row r="61" spans="1:7" x14ac:dyDescent="0.25">
      <c r="A61" s="37">
        <v>44649</v>
      </c>
      <c r="B61" s="38">
        <v>104290.82610000001</v>
      </c>
      <c r="C61" s="39">
        <f t="shared" si="3"/>
        <v>1.5373651754701401E-2</v>
      </c>
      <c r="D61" s="38">
        <f>MAX($B$2:B61)</f>
        <v>109967.49430000001</v>
      </c>
      <c r="E61" s="40">
        <f t="shared" si="0"/>
        <v>-5.1621328976666492E-2</v>
      </c>
      <c r="F61" s="41">
        <f t="shared" si="1"/>
        <v>94.837867102333348</v>
      </c>
      <c r="G61" s="42" t="str">
        <f t="shared" si="2"/>
        <v>2022-03</v>
      </c>
    </row>
    <row r="62" spans="1:7" x14ac:dyDescent="0.25">
      <c r="A62" s="31">
        <v>44650</v>
      </c>
      <c r="B62" s="32">
        <v>103299.6955</v>
      </c>
      <c r="C62" s="33">
        <f t="shared" si="3"/>
        <v>-9.5035262166746071E-3</v>
      </c>
      <c r="D62" s="32">
        <f>MAX($B$2:B62)</f>
        <v>109967.49430000001</v>
      </c>
      <c r="E62" s="34">
        <f t="shared" si="0"/>
        <v>-6.0634270540071755E-2</v>
      </c>
      <c r="F62" s="35">
        <f t="shared" si="1"/>
        <v>93.936572945992822</v>
      </c>
      <c r="G62" s="36" t="str">
        <f t="shared" si="2"/>
        <v>2022-03</v>
      </c>
    </row>
    <row r="63" spans="1:7" x14ac:dyDescent="0.25">
      <c r="A63" s="37">
        <v>44651</v>
      </c>
      <c r="B63" s="38">
        <v>101508.21580000001</v>
      </c>
      <c r="C63" s="39">
        <f t="shared" si="3"/>
        <v>-1.7342545796758868E-2</v>
      </c>
      <c r="D63" s="38">
        <f>MAX($B$2:B63)</f>
        <v>109967.49430000001</v>
      </c>
      <c r="E63" s="40">
        <f t="shared" si="0"/>
        <v>-7.6925263723136461E-2</v>
      </c>
      <c r="F63" s="41">
        <f t="shared" si="1"/>
        <v>92.307473627686349</v>
      </c>
      <c r="G63" s="42" t="str">
        <f t="shared" si="2"/>
        <v>2022-03</v>
      </c>
    </row>
    <row r="64" spans="1:7" x14ac:dyDescent="0.25">
      <c r="A64" s="31">
        <v>44652</v>
      </c>
      <c r="B64" s="32">
        <v>101641.7675</v>
      </c>
      <c r="C64" s="33">
        <f t="shared" si="3"/>
        <v>1.315673799873851E-3</v>
      </c>
      <c r="D64" s="32">
        <f>MAX($B$2:B64)</f>
        <v>109967.49430000001</v>
      </c>
      <c r="E64" s="34">
        <f t="shared" si="0"/>
        <v>-7.5710798477291563E-2</v>
      </c>
      <c r="F64" s="35">
        <f t="shared" si="1"/>
        <v>92.428920152270848</v>
      </c>
      <c r="G64" s="36" t="str">
        <f t="shared" si="2"/>
        <v>2022-04</v>
      </c>
    </row>
    <row r="65" spans="1:7" x14ac:dyDescent="0.25">
      <c r="A65" s="37">
        <v>44655</v>
      </c>
      <c r="B65" s="38">
        <v>103838.899</v>
      </c>
      <c r="C65" s="39">
        <f t="shared" si="3"/>
        <v>2.1616423582952793E-2</v>
      </c>
      <c r="D65" s="38">
        <f>MAX($B$2:B65)</f>
        <v>109967.49430000001</v>
      </c>
      <c r="E65" s="40">
        <f t="shared" si="0"/>
        <v>-5.57309715840274E-2</v>
      </c>
      <c r="F65" s="41">
        <f t="shared" si="1"/>
        <v>94.426902841597254</v>
      </c>
      <c r="G65" s="42" t="str">
        <f t="shared" si="2"/>
        <v>2022-04</v>
      </c>
    </row>
    <row r="66" spans="1:7" x14ac:dyDescent="0.25">
      <c r="A66" s="31">
        <v>44656</v>
      </c>
      <c r="B66" s="32">
        <v>101541.1581</v>
      </c>
      <c r="C66" s="33">
        <f t="shared" si="3"/>
        <v>-2.2127939742504488E-2</v>
      </c>
      <c r="D66" s="32">
        <f>MAX($B$2:B66)</f>
        <v>109967.49430000001</v>
      </c>
      <c r="E66" s="34">
        <f t="shared" ref="E66:E129" si="4">B66/D66-1</f>
        <v>-7.6625699745529352E-2</v>
      </c>
      <c r="F66" s="35">
        <f t="shared" ref="F66:F129" si="5">B66/$B$2*100</f>
        <v>92.337430025447063</v>
      </c>
      <c r="G66" s="36" t="str">
        <f t="shared" ref="G66:G129" si="6">TEXT(A66,"YYYY-MM")</f>
        <v>2022-04</v>
      </c>
    </row>
    <row r="67" spans="1:7" x14ac:dyDescent="0.25">
      <c r="A67" s="37">
        <v>44657</v>
      </c>
      <c r="B67" s="38">
        <v>99286.812359999996</v>
      </c>
      <c r="C67" s="39">
        <f t="shared" ref="C67:C130" si="7">B67/B66-1</f>
        <v>-2.2201300262696178E-2</v>
      </c>
      <c r="D67" s="38">
        <f>MAX($B$2:B67)</f>
        <v>109967.49430000001</v>
      </c>
      <c r="E67" s="40">
        <f t="shared" si="4"/>
        <v>-9.7125809840335808E-2</v>
      </c>
      <c r="F67" s="41">
        <f t="shared" si="5"/>
        <v>90.287419015966421</v>
      </c>
      <c r="G67" s="42" t="str">
        <f t="shared" si="6"/>
        <v>2022-04</v>
      </c>
    </row>
    <row r="68" spans="1:7" x14ac:dyDescent="0.25">
      <c r="A68" s="31">
        <v>44658</v>
      </c>
      <c r="B68" s="32">
        <v>99611.48401</v>
      </c>
      <c r="C68" s="33">
        <f t="shared" si="7"/>
        <v>3.2700380068884094E-3</v>
      </c>
      <c r="D68" s="32">
        <f>MAX($B$2:B68)</f>
        <v>109967.49430000001</v>
      </c>
      <c r="E68" s="34">
        <f t="shared" si="4"/>
        <v>-9.4173376923075036E-2</v>
      </c>
      <c r="F68" s="35">
        <f t="shared" si="5"/>
        <v>90.582662307692502</v>
      </c>
      <c r="G68" s="36" t="str">
        <f t="shared" si="6"/>
        <v>2022-04</v>
      </c>
    </row>
    <row r="69" spans="1:7" x14ac:dyDescent="0.25">
      <c r="A69" s="37">
        <v>44659</v>
      </c>
      <c r="B69" s="38">
        <v>98316.846919999996</v>
      </c>
      <c r="C69" s="39">
        <f t="shared" si="7"/>
        <v>-1.2996865801839008E-2</v>
      </c>
      <c r="D69" s="38">
        <f>MAX($B$2:B69)</f>
        <v>109967.49430000001</v>
      </c>
      <c r="E69" s="40">
        <f t="shared" si="4"/>
        <v>-0.10594628398293882</v>
      </c>
      <c r="F69" s="41">
        <f t="shared" si="5"/>
        <v>89.405371601706122</v>
      </c>
      <c r="G69" s="42" t="str">
        <f t="shared" si="6"/>
        <v>2022-04</v>
      </c>
    </row>
    <row r="70" spans="1:7" x14ac:dyDescent="0.25">
      <c r="A70" s="31">
        <v>44662</v>
      </c>
      <c r="B70" s="32">
        <v>95745.561140000005</v>
      </c>
      <c r="C70" s="33">
        <f t="shared" si="7"/>
        <v>-2.6153053729359721E-2</v>
      </c>
      <c r="D70" s="32">
        <f>MAX($B$2:B70)</f>
        <v>109967.49430000001</v>
      </c>
      <c r="E70" s="34">
        <f t="shared" si="4"/>
        <v>-0.12932851885486674</v>
      </c>
      <c r="F70" s="35">
        <f t="shared" si="5"/>
        <v>87.06714811451333</v>
      </c>
      <c r="G70" s="36" t="str">
        <f t="shared" si="6"/>
        <v>2022-04</v>
      </c>
    </row>
    <row r="71" spans="1:7" x14ac:dyDescent="0.25">
      <c r="A71" s="37">
        <v>44663</v>
      </c>
      <c r="B71" s="38">
        <v>95673.518679999994</v>
      </c>
      <c r="C71" s="39">
        <f t="shared" si="7"/>
        <v>-7.5243655311263424E-4</v>
      </c>
      <c r="D71" s="38">
        <f>MAX($B$2:B71)</f>
        <v>109967.49430000001</v>
      </c>
      <c r="E71" s="40">
        <f t="shared" si="4"/>
        <v>-0.12998364390303296</v>
      </c>
      <c r="F71" s="41">
        <f t="shared" si="5"/>
        <v>87.001635609696706</v>
      </c>
      <c r="G71" s="42" t="str">
        <f t="shared" si="6"/>
        <v>2022-04</v>
      </c>
    </row>
    <row r="72" spans="1:7" x14ac:dyDescent="0.25">
      <c r="A72" s="31">
        <v>44664</v>
      </c>
      <c r="B72" s="32">
        <v>97569.087469999999</v>
      </c>
      <c r="C72" s="33">
        <f t="shared" si="7"/>
        <v>1.98128888343716E-2</v>
      </c>
      <c r="D72" s="32">
        <f>MAX($B$2:B72)</f>
        <v>109967.49430000001</v>
      </c>
      <c r="E72" s="34">
        <f t="shared" si="4"/>
        <v>-0.1127461065555988</v>
      </c>
      <c r="F72" s="35">
        <f t="shared" si="5"/>
        <v>88.725389344440117</v>
      </c>
      <c r="G72" s="36" t="str">
        <f t="shared" si="6"/>
        <v>2022-04</v>
      </c>
    </row>
    <row r="73" spans="1:7" x14ac:dyDescent="0.25">
      <c r="A73" s="37">
        <v>44665</v>
      </c>
      <c r="B73" s="38">
        <v>95324.513569999996</v>
      </c>
      <c r="C73" s="39">
        <f t="shared" si="7"/>
        <v>-2.3004969690734844E-2</v>
      </c>
      <c r="D73" s="38">
        <f>MAX($B$2:B73)</f>
        <v>109967.49430000001</v>
      </c>
      <c r="E73" s="40">
        <f t="shared" si="4"/>
        <v>-0.1331573554822737</v>
      </c>
      <c r="F73" s="41">
        <f t="shared" si="5"/>
        <v>86.684264451772634</v>
      </c>
      <c r="G73" s="42" t="str">
        <f t="shared" si="6"/>
        <v>2022-04</v>
      </c>
    </row>
    <row r="74" spans="1:7" x14ac:dyDescent="0.25">
      <c r="A74" s="31">
        <v>44669</v>
      </c>
      <c r="B74" s="32">
        <v>95765.749609999999</v>
      </c>
      <c r="C74" s="33">
        <f t="shared" si="7"/>
        <v>4.6287783013545525E-3</v>
      </c>
      <c r="D74" s="32">
        <f>MAX($B$2:B74)</f>
        <v>109967.49430000001</v>
      </c>
      <c r="E74" s="34">
        <f t="shared" si="4"/>
        <v>-0.12914493305864116</v>
      </c>
      <c r="F74" s="35">
        <f t="shared" si="5"/>
        <v>87.085506694135887</v>
      </c>
      <c r="G74" s="36" t="str">
        <f t="shared" si="6"/>
        <v>2022-04</v>
      </c>
    </row>
    <row r="75" spans="1:7" x14ac:dyDescent="0.25">
      <c r="A75" s="37">
        <v>44670</v>
      </c>
      <c r="B75" s="38">
        <v>97516.271670000002</v>
      </c>
      <c r="C75" s="39">
        <f t="shared" si="7"/>
        <v>1.8279208037621952E-2</v>
      </c>
      <c r="D75" s="38">
        <f>MAX($B$2:B75)</f>
        <v>109967.49430000001</v>
      </c>
      <c r="E75" s="40">
        <f t="shared" si="4"/>
        <v>-0.11322639211940289</v>
      </c>
      <c r="F75" s="41">
        <f t="shared" si="5"/>
        <v>88.677360788059715</v>
      </c>
      <c r="G75" s="42" t="str">
        <f t="shared" si="6"/>
        <v>2022-04</v>
      </c>
    </row>
    <row r="76" spans="1:7" x14ac:dyDescent="0.25">
      <c r="A76" s="31">
        <v>44671</v>
      </c>
      <c r="B76" s="32">
        <v>96452.100430000006</v>
      </c>
      <c r="C76" s="33">
        <f t="shared" si="7"/>
        <v>-1.0912755602482505E-2</v>
      </c>
      <c r="D76" s="32">
        <f>MAX($B$2:B76)</f>
        <v>109967.49430000001</v>
      </c>
      <c r="E76" s="34">
        <f t="shared" si="4"/>
        <v>-0.12290353577693547</v>
      </c>
      <c r="F76" s="35">
        <f t="shared" si="5"/>
        <v>87.709646422306449</v>
      </c>
      <c r="G76" s="36" t="str">
        <f t="shared" si="6"/>
        <v>2022-04</v>
      </c>
    </row>
    <row r="77" spans="1:7" x14ac:dyDescent="0.25">
      <c r="A77" s="37">
        <v>44672</v>
      </c>
      <c r="B77" s="38">
        <v>95508.330820000003</v>
      </c>
      <c r="C77" s="39">
        <f t="shared" si="7"/>
        <v>-9.784852852270931E-3</v>
      </c>
      <c r="D77" s="38">
        <f>MAX($B$2:B77)</f>
        <v>109967.49430000001</v>
      </c>
      <c r="E77" s="40">
        <f t="shared" si="4"/>
        <v>-0.13148579561660523</v>
      </c>
      <c r="F77" s="41">
        <f t="shared" si="5"/>
        <v>86.851420438339474</v>
      </c>
      <c r="G77" s="42" t="str">
        <f t="shared" si="6"/>
        <v>2022-04</v>
      </c>
    </row>
    <row r="78" spans="1:7" x14ac:dyDescent="0.25">
      <c r="A78" s="31">
        <v>44673</v>
      </c>
      <c r="B78" s="32">
        <v>93277.575700000001</v>
      </c>
      <c r="C78" s="33">
        <f t="shared" si="7"/>
        <v>-2.3356654868193605E-2</v>
      </c>
      <c r="D78" s="32">
        <f>MAX($B$2:B78)</f>
        <v>109967.49430000001</v>
      </c>
      <c r="E78" s="34">
        <f t="shared" si="4"/>
        <v>-0.15177138213651198</v>
      </c>
      <c r="F78" s="35">
        <f t="shared" si="5"/>
        <v>84.822861786348795</v>
      </c>
      <c r="G78" s="36" t="str">
        <f t="shared" si="6"/>
        <v>2022-04</v>
      </c>
    </row>
    <row r="79" spans="1:7" x14ac:dyDescent="0.25">
      <c r="A79" s="37">
        <v>44676</v>
      </c>
      <c r="B79" s="38">
        <v>93984.862250000006</v>
      </c>
      <c r="C79" s="39">
        <f t="shared" si="7"/>
        <v>7.582600048212873E-3</v>
      </c>
      <c r="D79" s="38">
        <f>MAX($B$2:B79)</f>
        <v>109967.49430000001</v>
      </c>
      <c r="E79" s="40">
        <f t="shared" si="4"/>
        <v>-0.14533960377780475</v>
      </c>
      <c r="F79" s="41">
        <f t="shared" si="5"/>
        <v>85.466039622219526</v>
      </c>
      <c r="G79" s="42" t="str">
        <f t="shared" si="6"/>
        <v>2022-04</v>
      </c>
    </row>
    <row r="80" spans="1:7" x14ac:dyDescent="0.25">
      <c r="A80" s="31">
        <v>44677</v>
      </c>
      <c r="B80" s="32">
        <v>89489.047160000002</v>
      </c>
      <c r="C80" s="33">
        <f t="shared" si="7"/>
        <v>-4.7835523534003999E-2</v>
      </c>
      <c r="D80" s="32">
        <f>MAX($B$2:B80)</f>
        <v>109967.49430000001</v>
      </c>
      <c r="E80" s="34">
        <f t="shared" si="4"/>
        <v>-0.18622273127487277</v>
      </c>
      <c r="F80" s="35">
        <f t="shared" si="5"/>
        <v>81.377726872512724</v>
      </c>
      <c r="G80" s="36" t="str">
        <f t="shared" si="6"/>
        <v>2022-04</v>
      </c>
    </row>
    <row r="81" spans="1:7" x14ac:dyDescent="0.25">
      <c r="A81" s="37">
        <v>44678</v>
      </c>
      <c r="B81" s="38">
        <v>89765.839559999993</v>
      </c>
      <c r="C81" s="39">
        <f t="shared" si="7"/>
        <v>3.09303103322911E-3</v>
      </c>
      <c r="D81" s="38">
        <f>MAX($B$2:B81)</f>
        <v>109967.49430000001</v>
      </c>
      <c r="E81" s="40">
        <f t="shared" si="4"/>
        <v>-0.18370569292856942</v>
      </c>
      <c r="F81" s="41">
        <f t="shared" si="5"/>
        <v>81.629430707143058</v>
      </c>
      <c r="G81" s="42" t="str">
        <f t="shared" si="6"/>
        <v>2022-04</v>
      </c>
    </row>
    <row r="82" spans="1:7" x14ac:dyDescent="0.25">
      <c r="A82" s="31">
        <v>44679</v>
      </c>
      <c r="B82" s="32">
        <v>92217.550929999998</v>
      </c>
      <c r="C82" s="33">
        <f t="shared" si="7"/>
        <v>2.7312298108249422E-2</v>
      </c>
      <c r="D82" s="32">
        <f>MAX($B$2:B82)</f>
        <v>109967.49430000001</v>
      </c>
      <c r="E82" s="34">
        <f t="shared" si="4"/>
        <v>-0.16141081946976765</v>
      </c>
      <c r="F82" s="35">
        <f t="shared" si="5"/>
        <v>83.858918053023231</v>
      </c>
      <c r="G82" s="36" t="str">
        <f t="shared" si="6"/>
        <v>2022-04</v>
      </c>
    </row>
    <row r="83" spans="1:7" x14ac:dyDescent="0.25">
      <c r="A83" s="37">
        <v>44680</v>
      </c>
      <c r="B83" s="38">
        <v>88762.220799999996</v>
      </c>
      <c r="C83" s="39">
        <f t="shared" si="7"/>
        <v>-3.7469333062454147E-2</v>
      </c>
      <c r="D83" s="38">
        <f>MAX($B$2:B83)</f>
        <v>109967.49430000001</v>
      </c>
      <c r="E83" s="40">
        <f t="shared" si="4"/>
        <v>-0.19283219677762553</v>
      </c>
      <c r="F83" s="41">
        <f t="shared" si="5"/>
        <v>80.71678032223744</v>
      </c>
      <c r="G83" s="42" t="str">
        <f t="shared" si="6"/>
        <v>2022-04</v>
      </c>
    </row>
    <row r="84" spans="1:7" x14ac:dyDescent="0.25">
      <c r="A84" s="31">
        <v>44683</v>
      </c>
      <c r="B84" s="32">
        <v>90098.088040000002</v>
      </c>
      <c r="C84" s="33">
        <f t="shared" si="7"/>
        <v>1.5049952873644301E-2</v>
      </c>
      <c r="D84" s="32">
        <f>MAX($B$2:B84)</f>
        <v>109967.49430000001</v>
      </c>
      <c r="E84" s="34">
        <f t="shared" si="4"/>
        <v>-0.18068435937800575</v>
      </c>
      <c r="F84" s="35">
        <f t="shared" si="5"/>
        <v>81.931564062199428</v>
      </c>
      <c r="G84" s="36" t="str">
        <f t="shared" si="6"/>
        <v>2022-05</v>
      </c>
    </row>
    <row r="85" spans="1:7" x14ac:dyDescent="0.25">
      <c r="A85" s="37">
        <v>44684</v>
      </c>
      <c r="B85" s="38">
        <v>90368.339420000004</v>
      </c>
      <c r="C85" s="39">
        <f t="shared" si="7"/>
        <v>2.999524028523437E-3</v>
      </c>
      <c r="D85" s="38">
        <f>MAX($B$2:B85)</f>
        <v>109967.49430000001</v>
      </c>
      <c r="E85" s="40">
        <f t="shared" si="4"/>
        <v>-0.17822680242701505</v>
      </c>
      <c r="F85" s="41">
        <f t="shared" si="5"/>
        <v>82.177319757298491</v>
      </c>
      <c r="G85" s="42" t="str">
        <f t="shared" si="6"/>
        <v>2022-05</v>
      </c>
    </row>
    <row r="86" spans="1:7" x14ac:dyDescent="0.25">
      <c r="A86" s="31">
        <v>44685</v>
      </c>
      <c r="B86" s="32">
        <v>93451.717950000006</v>
      </c>
      <c r="C86" s="33">
        <f t="shared" si="7"/>
        <v>3.4120119389043468E-2</v>
      </c>
      <c r="D86" s="32">
        <f>MAX($B$2:B86)</f>
        <v>109967.49430000001</v>
      </c>
      <c r="E86" s="34">
        <f t="shared" si="4"/>
        <v>-0.1501878028151088</v>
      </c>
      <c r="F86" s="35">
        <f t="shared" si="5"/>
        <v>84.981219718489115</v>
      </c>
      <c r="G86" s="36" t="str">
        <f t="shared" si="6"/>
        <v>2022-05</v>
      </c>
    </row>
    <row r="87" spans="1:7" x14ac:dyDescent="0.25">
      <c r="A87" s="37">
        <v>44686</v>
      </c>
      <c r="B87" s="38">
        <v>88920.035080000001</v>
      </c>
      <c r="C87" s="39">
        <f t="shared" si="7"/>
        <v>-4.8492237161703255E-2</v>
      </c>
      <c r="D87" s="38">
        <f>MAX($B$2:B87)</f>
        <v>109967.49430000001</v>
      </c>
      <c r="E87" s="40">
        <f t="shared" si="4"/>
        <v>-0.19139709742390665</v>
      </c>
      <c r="F87" s="41">
        <f t="shared" si="5"/>
        <v>80.860290257609336</v>
      </c>
      <c r="G87" s="42" t="str">
        <f t="shared" si="6"/>
        <v>2022-05</v>
      </c>
    </row>
    <row r="88" spans="1:7" x14ac:dyDescent="0.25">
      <c r="A88" s="31">
        <v>44687</v>
      </c>
      <c r="B88" s="32">
        <v>88328.314780000001</v>
      </c>
      <c r="C88" s="33">
        <f t="shared" si="7"/>
        <v>-6.6545216662098339E-3</v>
      </c>
      <c r="D88" s="32">
        <f>MAX($B$2:B88)</f>
        <v>109967.49430000001</v>
      </c>
      <c r="E88" s="34">
        <f t="shared" si="4"/>
        <v>-0.19677796295845951</v>
      </c>
      <c r="F88" s="35">
        <f t="shared" si="5"/>
        <v>80.322203704154049</v>
      </c>
      <c r="G88" s="36" t="str">
        <f t="shared" si="6"/>
        <v>2022-05</v>
      </c>
    </row>
    <row r="89" spans="1:7" x14ac:dyDescent="0.25">
      <c r="A89" s="37">
        <v>44690</v>
      </c>
      <c r="B89" s="38">
        <v>84463.701709999994</v>
      </c>
      <c r="C89" s="39">
        <f t="shared" si="7"/>
        <v>-4.3752822406106451E-2</v>
      </c>
      <c r="D89" s="38">
        <f>MAX($B$2:B89)</f>
        <v>109967.49430000001</v>
      </c>
      <c r="E89" s="40">
        <f t="shared" si="4"/>
        <v>-0.23192119409780909</v>
      </c>
      <c r="F89" s="41">
        <f t="shared" si="5"/>
        <v>76.807880590219085</v>
      </c>
      <c r="G89" s="42" t="str">
        <f t="shared" si="6"/>
        <v>2022-05</v>
      </c>
    </row>
    <row r="90" spans="1:7" x14ac:dyDescent="0.25">
      <c r="A90" s="31">
        <v>44691</v>
      </c>
      <c r="B90" s="32">
        <v>85276.236690000005</v>
      </c>
      <c r="C90" s="33">
        <f t="shared" si="7"/>
        <v>9.6199309709370517E-3</v>
      </c>
      <c r="D90" s="32">
        <f>MAX($B$2:B90)</f>
        <v>109967.49430000001</v>
      </c>
      <c r="E90" s="34">
        <f t="shared" si="4"/>
        <v>-0.22453232900479025</v>
      </c>
      <c r="F90" s="35">
        <f t="shared" si="5"/>
        <v>77.546767099520977</v>
      </c>
      <c r="G90" s="36" t="str">
        <f t="shared" si="6"/>
        <v>2022-05</v>
      </c>
    </row>
    <row r="91" spans="1:7" x14ac:dyDescent="0.25">
      <c r="A91" s="37">
        <v>44692</v>
      </c>
      <c r="B91" s="38">
        <v>82473.498989999993</v>
      </c>
      <c r="C91" s="39">
        <f t="shared" si="7"/>
        <v>-3.2866573488563366E-2</v>
      </c>
      <c r="D91" s="38">
        <f>MAX($B$2:B91)</f>
        <v>109967.49430000001</v>
      </c>
      <c r="E91" s="40">
        <f t="shared" si="4"/>
        <v>-0.25001929420155944</v>
      </c>
      <c r="F91" s="41">
        <f t="shared" si="5"/>
        <v>74.998070579844054</v>
      </c>
      <c r="G91" s="42" t="str">
        <f t="shared" si="6"/>
        <v>2022-05</v>
      </c>
    </row>
    <row r="92" spans="1:7" x14ac:dyDescent="0.25">
      <c r="A92" s="31">
        <v>44693</v>
      </c>
      <c r="B92" s="32">
        <v>81965.01152</v>
      </c>
      <c r="C92" s="33">
        <f t="shared" si="7"/>
        <v>-6.1654649824138819E-3</v>
      </c>
      <c r="D92" s="32">
        <f>MAX($B$2:B92)</f>
        <v>109967.49430000001</v>
      </c>
      <c r="E92" s="34">
        <f t="shared" si="4"/>
        <v>-0.25464327398064579</v>
      </c>
      <c r="F92" s="35">
        <f t="shared" si="5"/>
        <v>74.535672601935417</v>
      </c>
      <c r="G92" s="36" t="str">
        <f t="shared" si="6"/>
        <v>2022-05</v>
      </c>
    </row>
    <row r="93" spans="1:7" x14ac:dyDescent="0.25">
      <c r="A93" s="37">
        <v>44694</v>
      </c>
      <c r="B93" s="38">
        <v>84839.132670000006</v>
      </c>
      <c r="C93" s="39">
        <f t="shared" si="7"/>
        <v>3.5065219862730146E-2</v>
      </c>
      <c r="D93" s="38">
        <f>MAX($B$2:B93)</f>
        <v>109967.49430000001</v>
      </c>
      <c r="E93" s="40">
        <f t="shared" si="4"/>
        <v>-0.22850717650661245</v>
      </c>
      <c r="F93" s="41">
        <f t="shared" si="5"/>
        <v>77.149282349338762</v>
      </c>
      <c r="G93" s="42" t="str">
        <f t="shared" si="6"/>
        <v>2022-05</v>
      </c>
    </row>
    <row r="94" spans="1:7" x14ac:dyDescent="0.25">
      <c r="A94" s="31">
        <v>44697</v>
      </c>
      <c r="B94" s="32">
        <v>83652.802160000007</v>
      </c>
      <c r="C94" s="33">
        <f t="shared" si="7"/>
        <v>-1.3983293707332978E-2</v>
      </c>
      <c r="D94" s="32">
        <f>MAX($B$2:B94)</f>
        <v>109967.49430000001</v>
      </c>
      <c r="E94" s="34">
        <f t="shared" si="4"/>
        <v>-0.23929518725062005</v>
      </c>
      <c r="F94" s="35">
        <f t="shared" si="5"/>
        <v>76.07048127493799</v>
      </c>
      <c r="G94" s="36" t="str">
        <f t="shared" si="6"/>
        <v>2022-05</v>
      </c>
    </row>
    <row r="95" spans="1:7" x14ac:dyDescent="0.25">
      <c r="A95" s="37">
        <v>44698</v>
      </c>
      <c r="B95" s="38">
        <v>85966.351739999998</v>
      </c>
      <c r="C95" s="39">
        <f t="shared" si="7"/>
        <v>2.7656570016326931E-2</v>
      </c>
      <c r="D95" s="38">
        <f>MAX($B$2:B95)</f>
        <v>109967.49430000001</v>
      </c>
      <c r="E95" s="40">
        <f t="shared" si="4"/>
        <v>-0.21825670133505992</v>
      </c>
      <c r="F95" s="41">
        <f t="shared" si="5"/>
        <v>78.174329866494006</v>
      </c>
      <c r="G95" s="42" t="str">
        <f t="shared" si="6"/>
        <v>2022-05</v>
      </c>
    </row>
    <row r="96" spans="1:7" x14ac:dyDescent="0.25">
      <c r="A96" s="31">
        <v>44699</v>
      </c>
      <c r="B96" s="32">
        <v>81899.325700000001</v>
      </c>
      <c r="C96" s="33">
        <f t="shared" si="7"/>
        <v>-4.7309510729273141E-2</v>
      </c>
      <c r="D96" s="32">
        <f>MAX($B$2:B96)</f>
        <v>109967.49430000001</v>
      </c>
      <c r="E96" s="34">
        <f t="shared" si="4"/>
        <v>-0.25524059431078627</v>
      </c>
      <c r="F96" s="35">
        <f t="shared" si="5"/>
        <v>74.475940568921374</v>
      </c>
      <c r="G96" s="36" t="str">
        <f t="shared" si="6"/>
        <v>2022-05</v>
      </c>
    </row>
    <row r="97" spans="1:7" x14ac:dyDescent="0.25">
      <c r="A97" s="37">
        <v>44700</v>
      </c>
      <c r="B97" s="38">
        <v>81346.716400000005</v>
      </c>
      <c r="C97" s="39">
        <f t="shared" si="7"/>
        <v>-6.7474218533156716E-3</v>
      </c>
      <c r="D97" s="38">
        <f>MAX($B$2:B97)</f>
        <v>109967.49430000001</v>
      </c>
      <c r="E97" s="40">
        <f t="shared" si="4"/>
        <v>-0.26026580020019607</v>
      </c>
      <c r="F97" s="41">
        <f t="shared" si="5"/>
        <v>73.973419979980392</v>
      </c>
      <c r="G97" s="42" t="str">
        <f t="shared" si="6"/>
        <v>2022-05</v>
      </c>
    </row>
    <row r="98" spans="1:7" x14ac:dyDescent="0.25">
      <c r="A98" s="31">
        <v>44701</v>
      </c>
      <c r="B98" s="32">
        <v>80606.446360000002</v>
      </c>
      <c r="C98" s="33">
        <f t="shared" si="7"/>
        <v>-9.1001834217859789E-3</v>
      </c>
      <c r="D98" s="32">
        <f>MAX($B$2:B98)</f>
        <v>109967.49430000001</v>
      </c>
      <c r="E98" s="34">
        <f t="shared" si="4"/>
        <v>-0.26699751710174235</v>
      </c>
      <c r="F98" s="35">
        <f t="shared" si="5"/>
        <v>73.30024828982576</v>
      </c>
      <c r="G98" s="36" t="str">
        <f t="shared" si="6"/>
        <v>2022-05</v>
      </c>
    </row>
    <row r="99" spans="1:7" x14ac:dyDescent="0.25">
      <c r="A99" s="37">
        <v>44704</v>
      </c>
      <c r="B99" s="38">
        <v>82258.332139999999</v>
      </c>
      <c r="C99" s="39">
        <f t="shared" si="7"/>
        <v>2.0493221753288049E-2</v>
      </c>
      <c r="D99" s="38">
        <f>MAX($B$2:B99)</f>
        <v>109967.49430000001</v>
      </c>
      <c r="E99" s="40">
        <f t="shared" si="4"/>
        <v>-0.25197593467399759</v>
      </c>
      <c r="F99" s="41">
        <f t="shared" si="5"/>
        <v>74.802406532600244</v>
      </c>
      <c r="G99" s="42" t="str">
        <f t="shared" si="6"/>
        <v>2022-05</v>
      </c>
    </row>
    <row r="100" spans="1:7" x14ac:dyDescent="0.25">
      <c r="A100" s="31">
        <v>44705</v>
      </c>
      <c r="B100" s="32">
        <v>80402.306880000004</v>
      </c>
      <c r="C100" s="33">
        <f t="shared" si="7"/>
        <v>-2.2563370928079585E-2</v>
      </c>
      <c r="D100" s="32">
        <f>MAX($B$2:B100)</f>
        <v>109967.49430000001</v>
      </c>
      <c r="E100" s="34">
        <f t="shared" si="4"/>
        <v>-0.26885387912307823</v>
      </c>
      <c r="F100" s="35">
        <f t="shared" si="5"/>
        <v>73.11461208769218</v>
      </c>
      <c r="G100" s="36" t="str">
        <f t="shared" si="6"/>
        <v>2022-05</v>
      </c>
    </row>
    <row r="101" spans="1:7" x14ac:dyDescent="0.25">
      <c r="A101" s="37">
        <v>44706</v>
      </c>
      <c r="B101" s="38">
        <v>81572.821309999999</v>
      </c>
      <c r="C101" s="39">
        <f t="shared" si="7"/>
        <v>1.4558219476799028E-2</v>
      </c>
      <c r="D101" s="38">
        <f>MAX($B$2:B101)</f>
        <v>109967.49430000001</v>
      </c>
      <c r="E101" s="40">
        <f t="shared" si="4"/>
        <v>-0.25820969342574174</v>
      </c>
      <c r="F101" s="41">
        <f t="shared" si="5"/>
        <v>74.179030657425827</v>
      </c>
      <c r="G101" s="42" t="str">
        <f t="shared" si="6"/>
        <v>2022-05</v>
      </c>
    </row>
    <row r="102" spans="1:7" x14ac:dyDescent="0.25">
      <c r="A102" s="31">
        <v>44707</v>
      </c>
      <c r="B102" s="32">
        <v>83761.645149999997</v>
      </c>
      <c r="C102" s="33">
        <f t="shared" si="7"/>
        <v>2.6832758814137936E-2</v>
      </c>
      <c r="D102" s="32">
        <f>MAX($B$2:B102)</f>
        <v>109967.49430000001</v>
      </c>
      <c r="E102" s="34">
        <f t="shared" si="4"/>
        <v>-0.23830541303876929</v>
      </c>
      <c r="F102" s="35">
        <f t="shared" si="5"/>
        <v>76.169458696123073</v>
      </c>
      <c r="G102" s="36" t="str">
        <f t="shared" si="6"/>
        <v>2022-05</v>
      </c>
    </row>
    <row r="103" spans="1:7" x14ac:dyDescent="0.25">
      <c r="A103" s="37">
        <v>44708</v>
      </c>
      <c r="B103" s="38">
        <v>86771.698550000001</v>
      </c>
      <c r="C103" s="39">
        <f t="shared" si="7"/>
        <v>3.5935939350398627E-2</v>
      </c>
      <c r="D103" s="38">
        <f>MAX($B$2:B103)</f>
        <v>109967.49430000001</v>
      </c>
      <c r="E103" s="40">
        <f t="shared" si="4"/>
        <v>-0.21093320255820358</v>
      </c>
      <c r="F103" s="41">
        <f t="shared" si="5"/>
        <v>78.906679744179641</v>
      </c>
      <c r="G103" s="42" t="str">
        <f t="shared" si="6"/>
        <v>2022-05</v>
      </c>
    </row>
    <row r="104" spans="1:7" x14ac:dyDescent="0.25">
      <c r="A104" s="31">
        <v>44712</v>
      </c>
      <c r="B104" s="32">
        <v>86699.615460000001</v>
      </c>
      <c r="C104" s="33">
        <f t="shared" si="7"/>
        <v>-8.3072120523797199E-4</v>
      </c>
      <c r="D104" s="32">
        <f>MAX($B$2:B104)</f>
        <v>109967.49430000001</v>
      </c>
      <c r="E104" s="34">
        <f t="shared" si="4"/>
        <v>-0.2115886970791877</v>
      </c>
      <c r="F104" s="35">
        <f t="shared" si="5"/>
        <v>78.841130292081232</v>
      </c>
      <c r="G104" s="36" t="str">
        <f t="shared" si="6"/>
        <v>2022-05</v>
      </c>
    </row>
    <row r="105" spans="1:7" x14ac:dyDescent="0.25">
      <c r="A105" s="37">
        <v>44713</v>
      </c>
      <c r="B105" s="38">
        <v>86066.050889999999</v>
      </c>
      <c r="C105" s="39">
        <f t="shared" si="7"/>
        <v>-7.3075822382661082E-3</v>
      </c>
      <c r="D105" s="38">
        <f>MAX($B$2:B105)</f>
        <v>109967.49430000001</v>
      </c>
      <c r="E105" s="40">
        <f t="shared" si="4"/>
        <v>-0.21735007751286017</v>
      </c>
      <c r="F105" s="41">
        <f t="shared" si="5"/>
        <v>78.26499224871398</v>
      </c>
      <c r="G105" s="42" t="str">
        <f t="shared" si="6"/>
        <v>2022-06</v>
      </c>
    </row>
    <row r="106" spans="1:7" x14ac:dyDescent="0.25">
      <c r="A106" s="31">
        <v>44714</v>
      </c>
      <c r="B106" s="32">
        <v>88039.324189999999</v>
      </c>
      <c r="C106" s="33">
        <f t="shared" si="7"/>
        <v>2.2927429335894756E-2</v>
      </c>
      <c r="D106" s="32">
        <f>MAX($B$2:B106)</f>
        <v>109967.49430000001</v>
      </c>
      <c r="E106" s="34">
        <f t="shared" si="4"/>
        <v>-0.19940592672029267</v>
      </c>
      <c r="F106" s="35">
        <f t="shared" si="5"/>
        <v>80.059407327970732</v>
      </c>
      <c r="G106" s="36" t="str">
        <f t="shared" si="6"/>
        <v>2022-06</v>
      </c>
    </row>
    <row r="107" spans="1:7" x14ac:dyDescent="0.25">
      <c r="A107" s="37">
        <v>44715</v>
      </c>
      <c r="B107" s="38">
        <v>85169.391520000005</v>
      </c>
      <c r="C107" s="39">
        <f t="shared" si="7"/>
        <v>-3.2598304182870796E-2</v>
      </c>
      <c r="D107" s="38">
        <f>MAX($B$2:B107)</f>
        <v>109967.49430000001</v>
      </c>
      <c r="E107" s="40">
        <f t="shared" si="4"/>
        <v>-0.22550393584806816</v>
      </c>
      <c r="F107" s="41">
        <f t="shared" si="5"/>
        <v>77.449606415193188</v>
      </c>
      <c r="G107" s="42" t="str">
        <f t="shared" si="6"/>
        <v>2022-06</v>
      </c>
    </row>
    <row r="108" spans="1:7" x14ac:dyDescent="0.25">
      <c r="A108" s="31">
        <v>44718</v>
      </c>
      <c r="B108" s="32">
        <v>85589.121299999999</v>
      </c>
      <c r="C108" s="33">
        <f t="shared" si="7"/>
        <v>4.9281763378741239E-3</v>
      </c>
      <c r="D108" s="32">
        <f>MAX($B$2:B108)</f>
        <v>109967.49430000001</v>
      </c>
      <c r="E108" s="34">
        <f t="shared" si="4"/>
        <v>-0.22168708267093806</v>
      </c>
      <c r="F108" s="35">
        <f t="shared" si="5"/>
        <v>77.831291732906195</v>
      </c>
      <c r="G108" s="36" t="str">
        <f t="shared" si="6"/>
        <v>2022-06</v>
      </c>
    </row>
    <row r="109" spans="1:7" x14ac:dyDescent="0.25">
      <c r="A109" s="37">
        <v>44719</v>
      </c>
      <c r="B109" s="38">
        <v>86268.662930000006</v>
      </c>
      <c r="C109" s="39">
        <f t="shared" si="7"/>
        <v>7.9395794661583086E-3</v>
      </c>
      <c r="D109" s="38">
        <f>MAX($B$2:B109)</f>
        <v>109967.49430000001</v>
      </c>
      <c r="E109" s="40">
        <f t="shared" si="4"/>
        <v>-0.2155076054142665</v>
      </c>
      <c r="F109" s="41">
        <f t="shared" si="5"/>
        <v>78.449239458573345</v>
      </c>
      <c r="G109" s="42" t="str">
        <f t="shared" si="6"/>
        <v>2022-06</v>
      </c>
    </row>
    <row r="110" spans="1:7" x14ac:dyDescent="0.25">
      <c r="A110" s="31">
        <v>44720</v>
      </c>
      <c r="B110" s="32">
        <v>85653.635559999995</v>
      </c>
      <c r="C110" s="33">
        <f t="shared" si="7"/>
        <v>-7.1292094847819065E-3</v>
      </c>
      <c r="D110" s="32">
        <f>MAX($B$2:B110)</f>
        <v>109967.49430000001</v>
      </c>
      <c r="E110" s="34">
        <f t="shared" si="4"/>
        <v>-0.22110041603448638</v>
      </c>
      <c r="F110" s="35">
        <f t="shared" si="5"/>
        <v>77.889958396551364</v>
      </c>
      <c r="G110" s="36" t="str">
        <f t="shared" si="6"/>
        <v>2022-06</v>
      </c>
    </row>
    <row r="111" spans="1:7" x14ac:dyDescent="0.25">
      <c r="A111" s="37">
        <v>44721</v>
      </c>
      <c r="B111" s="38">
        <v>83576.686530000006</v>
      </c>
      <c r="C111" s="39">
        <f t="shared" si="7"/>
        <v>-2.4248229703514368E-2</v>
      </c>
      <c r="D111" s="38">
        <f>MAX($B$2:B111)</f>
        <v>109967.49430000001</v>
      </c>
      <c r="E111" s="40">
        <f t="shared" si="4"/>
        <v>-0.23998735206245392</v>
      </c>
      <c r="F111" s="41">
        <f t="shared" si="5"/>
        <v>76.001264793754615</v>
      </c>
      <c r="G111" s="42" t="str">
        <f t="shared" si="6"/>
        <v>2022-06</v>
      </c>
    </row>
    <row r="112" spans="1:7" x14ac:dyDescent="0.25">
      <c r="A112" s="31">
        <v>44722</v>
      </c>
      <c r="B112" s="32">
        <v>80722.614119999998</v>
      </c>
      <c r="C112" s="33">
        <f t="shared" si="7"/>
        <v>-3.4149145276003878E-2</v>
      </c>
      <c r="D112" s="32">
        <f>MAX($B$2:B112)</f>
        <v>109967.49430000001</v>
      </c>
      <c r="E112" s="34">
        <f t="shared" si="4"/>
        <v>-0.26594113438847367</v>
      </c>
      <c r="F112" s="35">
        <f t="shared" si="5"/>
        <v>73.405886561152627</v>
      </c>
      <c r="G112" s="36" t="str">
        <f t="shared" si="6"/>
        <v>2022-06</v>
      </c>
    </row>
    <row r="113" spans="1:7" x14ac:dyDescent="0.25">
      <c r="A113" s="37">
        <v>44725</v>
      </c>
      <c r="B113" s="38">
        <v>77093.244980000003</v>
      </c>
      <c r="C113" s="39">
        <f t="shared" si="7"/>
        <v>-4.4960996116957697E-2</v>
      </c>
      <c r="D113" s="38">
        <f>MAX($B$2:B113)</f>
        <v>109967.49430000001</v>
      </c>
      <c r="E113" s="40">
        <f t="shared" si="4"/>
        <v>-0.29894515219485185</v>
      </c>
      <c r="F113" s="41">
        <f t="shared" si="5"/>
        <v>70.105484780514814</v>
      </c>
      <c r="G113" s="42" t="str">
        <f t="shared" si="6"/>
        <v>2022-06</v>
      </c>
    </row>
    <row r="114" spans="1:7" x14ac:dyDescent="0.25">
      <c r="A114" s="31">
        <v>44726</v>
      </c>
      <c r="B114" s="32">
        <v>77415.142389999994</v>
      </c>
      <c r="C114" s="33">
        <f t="shared" si="7"/>
        <v>4.1754295085580928E-3</v>
      </c>
      <c r="D114" s="32">
        <f>MAX($B$2:B114)</f>
        <v>109967.49430000001</v>
      </c>
      <c r="E114" s="34">
        <f t="shared" si="4"/>
        <v>-0.29601794709620854</v>
      </c>
      <c r="F114" s="35">
        <f t="shared" si="5"/>
        <v>70.398205290379138</v>
      </c>
      <c r="G114" s="36" t="str">
        <f t="shared" si="6"/>
        <v>2022-06</v>
      </c>
    </row>
    <row r="115" spans="1:7" x14ac:dyDescent="0.25">
      <c r="A115" s="37">
        <v>44727</v>
      </c>
      <c r="B115" s="38">
        <v>79304.295180000001</v>
      </c>
      <c r="C115" s="39">
        <f t="shared" si="7"/>
        <v>2.4402884651207879E-2</v>
      </c>
      <c r="D115" s="38">
        <f>MAX($B$2:B115)</f>
        <v>109967.49430000001</v>
      </c>
      <c r="E115" s="40">
        <f t="shared" si="4"/>
        <v>-0.27883875426267668</v>
      </c>
      <c r="F115" s="41">
        <f t="shared" si="5"/>
        <v>72.116124573732336</v>
      </c>
      <c r="G115" s="42" t="str">
        <f t="shared" si="6"/>
        <v>2022-06</v>
      </c>
    </row>
    <row r="116" spans="1:7" x14ac:dyDescent="0.25">
      <c r="A116" s="31">
        <v>44728</v>
      </c>
      <c r="B116" s="32">
        <v>75962.039950000006</v>
      </c>
      <c r="C116" s="33">
        <f t="shared" si="7"/>
        <v>-4.2144693706866021E-2</v>
      </c>
      <c r="D116" s="32">
        <f>MAX($B$2:B116)</f>
        <v>109967.49430000001</v>
      </c>
      <c r="E116" s="34">
        <f t="shared" si="4"/>
        <v>-0.30923187407753816</v>
      </c>
      <c r="F116" s="35">
        <f t="shared" si="5"/>
        <v>69.076812592246185</v>
      </c>
      <c r="G116" s="36" t="str">
        <f t="shared" si="6"/>
        <v>2022-06</v>
      </c>
    </row>
    <row r="117" spans="1:7" x14ac:dyDescent="0.25">
      <c r="A117" s="37">
        <v>44729</v>
      </c>
      <c r="B117" s="38">
        <v>76600.277400000006</v>
      </c>
      <c r="C117" s="39">
        <f t="shared" si="7"/>
        <v>8.402057796500717E-3</v>
      </c>
      <c r="D117" s="38">
        <f>MAX($B$2:B117)</f>
        <v>109967.49430000001</v>
      </c>
      <c r="E117" s="40">
        <f t="shared" si="4"/>
        <v>-0.30342800035955719</v>
      </c>
      <c r="F117" s="41">
        <f t="shared" si="5"/>
        <v>69.657199964044281</v>
      </c>
      <c r="G117" s="42" t="str">
        <f t="shared" si="6"/>
        <v>2022-06</v>
      </c>
    </row>
    <row r="118" spans="1:7" x14ac:dyDescent="0.25">
      <c r="A118" s="31">
        <v>44733</v>
      </c>
      <c r="B118" s="32">
        <v>79306.237110000002</v>
      </c>
      <c r="C118" s="33">
        <f t="shared" si="7"/>
        <v>3.53257168491663E-2</v>
      </c>
      <c r="D118" s="32">
        <f>MAX($B$2:B118)</f>
        <v>109967.49430000001</v>
      </c>
      <c r="E118" s="34">
        <f t="shared" si="4"/>
        <v>-0.27882109513520126</v>
      </c>
      <c r="F118" s="35">
        <f t="shared" si="5"/>
        <v>72.11789048647988</v>
      </c>
      <c r="G118" s="36" t="str">
        <f t="shared" si="6"/>
        <v>2022-06</v>
      </c>
    </row>
    <row r="119" spans="1:7" x14ac:dyDescent="0.25">
      <c r="A119" s="37">
        <v>44734</v>
      </c>
      <c r="B119" s="38">
        <v>79012.558749999997</v>
      </c>
      <c r="C119" s="39">
        <f t="shared" si="7"/>
        <v>-3.7030928550130238E-3</v>
      </c>
      <c r="D119" s="38">
        <f>MAX($B$2:B119)</f>
        <v>109967.49430000001</v>
      </c>
      <c r="E119" s="40">
        <f t="shared" si="4"/>
        <v>-0.28149168758499221</v>
      </c>
      <c r="F119" s="41">
        <f t="shared" si="5"/>
        <v>71.850831241500785</v>
      </c>
      <c r="G119" s="42" t="str">
        <f t="shared" si="6"/>
        <v>2022-06</v>
      </c>
    </row>
    <row r="120" spans="1:7" x14ac:dyDescent="0.25">
      <c r="A120" s="31">
        <v>44735</v>
      </c>
      <c r="B120" s="32">
        <v>79826.05343</v>
      </c>
      <c r="C120" s="33">
        <f t="shared" si="7"/>
        <v>1.0295764279371733E-2</v>
      </c>
      <c r="D120" s="32">
        <f>MAX($B$2:B120)</f>
        <v>109967.49430000001</v>
      </c>
      <c r="E120" s="34">
        <f t="shared" si="4"/>
        <v>-0.2740940953675981</v>
      </c>
      <c r="F120" s="35">
        <f t="shared" si="5"/>
        <v>72.59059046324019</v>
      </c>
      <c r="G120" s="36" t="str">
        <f t="shared" si="6"/>
        <v>2022-06</v>
      </c>
    </row>
    <row r="121" spans="1:7" x14ac:dyDescent="0.25">
      <c r="A121" s="37">
        <v>44736</v>
      </c>
      <c r="B121" s="38">
        <v>82531.516459999999</v>
      </c>
      <c r="C121" s="39">
        <f t="shared" si="7"/>
        <v>3.3891980296538726E-2</v>
      </c>
      <c r="D121" s="38">
        <f>MAX($B$2:B121)</f>
        <v>109967.49430000001</v>
      </c>
      <c r="E121" s="40">
        <f t="shared" si="4"/>
        <v>-0.24949170675065568</v>
      </c>
      <c r="F121" s="41">
        <f t="shared" si="5"/>
        <v>75.050829324934426</v>
      </c>
      <c r="G121" s="42" t="str">
        <f t="shared" si="6"/>
        <v>2022-06</v>
      </c>
    </row>
    <row r="122" spans="1:7" x14ac:dyDescent="0.25">
      <c r="A122" s="31">
        <v>44739</v>
      </c>
      <c r="B122" s="32">
        <v>82161.636809999996</v>
      </c>
      <c r="C122" s="33">
        <f t="shared" si="7"/>
        <v>-4.4816776168079553E-3</v>
      </c>
      <c r="D122" s="32">
        <f>MAX($B$2:B122)</f>
        <v>109967.49430000001</v>
      </c>
      <c r="E122" s="34">
        <f t="shared" si="4"/>
        <v>-0.25285524296974005</v>
      </c>
      <c r="F122" s="35">
        <f t="shared" si="5"/>
        <v>74.714475703025997</v>
      </c>
      <c r="G122" s="36" t="str">
        <f t="shared" si="6"/>
        <v>2022-06</v>
      </c>
    </row>
    <row r="123" spans="1:7" x14ac:dyDescent="0.25">
      <c r="A123" s="37">
        <v>44740</v>
      </c>
      <c r="B123" s="38">
        <v>79797.273230000006</v>
      </c>
      <c r="C123" s="39">
        <f t="shared" si="7"/>
        <v>-2.8776977574918816E-2</v>
      </c>
      <c r="D123" s="38">
        <f>MAX($B$2:B123)</f>
        <v>109967.49430000001</v>
      </c>
      <c r="E123" s="40">
        <f t="shared" si="4"/>
        <v>-0.27435581088801797</v>
      </c>
      <c r="F123" s="41">
        <f t="shared" si="5"/>
        <v>72.564418911198203</v>
      </c>
      <c r="G123" s="42" t="str">
        <f t="shared" si="6"/>
        <v>2022-06</v>
      </c>
    </row>
    <row r="124" spans="1:7" x14ac:dyDescent="0.25">
      <c r="A124" s="31">
        <v>44741</v>
      </c>
      <c r="B124" s="32">
        <v>79705.424700000003</v>
      </c>
      <c r="C124" s="33">
        <f t="shared" si="7"/>
        <v>-1.1510234157409149E-3</v>
      </c>
      <c r="D124" s="32">
        <f>MAX($B$2:B124)</f>
        <v>109967.49430000001</v>
      </c>
      <c r="E124" s="34">
        <f t="shared" si="4"/>
        <v>-0.27519104434118224</v>
      </c>
      <c r="F124" s="35">
        <f t="shared" si="5"/>
        <v>72.480895565881781</v>
      </c>
      <c r="G124" s="36" t="str">
        <f t="shared" si="6"/>
        <v>2022-06</v>
      </c>
    </row>
    <row r="125" spans="1:7" x14ac:dyDescent="0.25">
      <c r="A125" s="37">
        <v>44742</v>
      </c>
      <c r="B125" s="38">
        <v>78608.896110000001</v>
      </c>
      <c r="C125" s="39">
        <f t="shared" si="7"/>
        <v>-1.3757264253056567E-2</v>
      </c>
      <c r="D125" s="38">
        <f>MAX($B$2:B125)</f>
        <v>109967.49430000001</v>
      </c>
      <c r="E125" s="40">
        <f t="shared" si="4"/>
        <v>-0.28516243267716257</v>
      </c>
      <c r="F125" s="41">
        <f t="shared" si="5"/>
        <v>71.483756732283737</v>
      </c>
      <c r="G125" s="42" t="str">
        <f t="shared" si="6"/>
        <v>2022-06</v>
      </c>
    </row>
    <row r="126" spans="1:7" x14ac:dyDescent="0.25">
      <c r="A126" s="31">
        <v>44743</v>
      </c>
      <c r="B126" s="32">
        <v>79097.751900000003</v>
      </c>
      <c r="C126" s="33">
        <f t="shared" si="7"/>
        <v>6.2188354523631251E-3</v>
      </c>
      <c r="D126" s="32">
        <f>MAX($B$2:B126)</f>
        <v>109967.49430000001</v>
      </c>
      <c r="E126" s="34">
        <f t="shared" si="4"/>
        <v>-0.2807169754708142</v>
      </c>
      <c r="F126" s="35">
        <f t="shared" si="5"/>
        <v>71.928302452918587</v>
      </c>
      <c r="G126" s="36" t="str">
        <f t="shared" si="6"/>
        <v>2022-07</v>
      </c>
    </row>
    <row r="127" spans="1:7" x14ac:dyDescent="0.25">
      <c r="A127" s="37">
        <v>44747</v>
      </c>
      <c r="B127" s="38">
        <v>80097.845289999997</v>
      </c>
      <c r="C127" s="39">
        <f t="shared" si="7"/>
        <v>1.2643765037271493E-2</v>
      </c>
      <c r="D127" s="38">
        <f>MAX($B$2:B127)</f>
        <v>109967.49430000001</v>
      </c>
      <c r="E127" s="40">
        <f t="shared" si="4"/>
        <v>-0.27162252991336922</v>
      </c>
      <c r="F127" s="41">
        <f t="shared" si="5"/>
        <v>72.837747008663072</v>
      </c>
      <c r="G127" s="42" t="str">
        <f t="shared" si="6"/>
        <v>2022-07</v>
      </c>
    </row>
    <row r="128" spans="1:7" x14ac:dyDescent="0.25">
      <c r="A128" s="31">
        <v>44748</v>
      </c>
      <c r="B128" s="32">
        <v>80463.814530000003</v>
      </c>
      <c r="C128" s="33">
        <f t="shared" si="7"/>
        <v>4.5690272775127383E-3</v>
      </c>
      <c r="D128" s="32">
        <f>MAX($B$2:B128)</f>
        <v>109967.49430000001</v>
      </c>
      <c r="E128" s="34">
        <f t="shared" si="4"/>
        <v>-0.2682945533842177</v>
      </c>
      <c r="F128" s="35">
        <f t="shared" si="5"/>
        <v>73.170544661578234</v>
      </c>
      <c r="G128" s="36" t="str">
        <f t="shared" si="6"/>
        <v>2022-07</v>
      </c>
    </row>
    <row r="129" spans="1:7" x14ac:dyDescent="0.25">
      <c r="A129" s="37">
        <v>44749</v>
      </c>
      <c r="B129" s="38">
        <v>82465.250450000007</v>
      </c>
      <c r="C129" s="39">
        <f t="shared" si="7"/>
        <v>2.4873738980567328E-2</v>
      </c>
      <c r="D129" s="38">
        <f>MAX($B$2:B129)</f>
        <v>109967.49430000001</v>
      </c>
      <c r="E129" s="40">
        <f t="shared" si="4"/>
        <v>-0.25009430309443725</v>
      </c>
      <c r="F129" s="41">
        <f t="shared" si="5"/>
        <v>74.990569690556271</v>
      </c>
      <c r="G129" s="42" t="str">
        <f t="shared" si="6"/>
        <v>2022-07</v>
      </c>
    </row>
    <row r="130" spans="1:7" x14ac:dyDescent="0.25">
      <c r="A130" s="31">
        <v>44750</v>
      </c>
      <c r="B130" s="32">
        <v>82780.560079999996</v>
      </c>
      <c r="C130" s="33">
        <f t="shared" si="7"/>
        <v>3.8235454119086576E-3</v>
      </c>
      <c r="D130" s="32">
        <f>MAX($B$2:B130)</f>
        <v>109967.49430000001</v>
      </c>
      <c r="E130" s="34">
        <f t="shared" ref="E130:E193" si="8">B130/D130-1</f>
        <v>-0.24722700460766989</v>
      </c>
      <c r="F130" s="35">
        <f t="shared" ref="F130:F193" si="9">B130/$B$2*100</f>
        <v>75.277299539233013</v>
      </c>
      <c r="G130" s="36" t="str">
        <f t="shared" ref="G130:G193" si="10">TEXT(A130,"YYYY-MM")</f>
        <v>2022-07</v>
      </c>
    </row>
    <row r="131" spans="1:7" x14ac:dyDescent="0.25">
      <c r="A131" s="37">
        <v>44753</v>
      </c>
      <c r="B131" s="38">
        <v>80866.853090000004</v>
      </c>
      <c r="C131" s="39">
        <f t="shared" ref="C131:C194" si="11">B131/B130-1</f>
        <v>-2.3117830903180203E-2</v>
      </c>
      <c r="D131" s="38">
        <f>MAX($B$2:B131)</f>
        <v>109967.49430000001</v>
      </c>
      <c r="E131" s="40">
        <f t="shared" si="8"/>
        <v>-0.26462948342363024</v>
      </c>
      <c r="F131" s="41">
        <f t="shared" si="9"/>
        <v>73.537051657636979</v>
      </c>
      <c r="G131" s="42" t="str">
        <f t="shared" si="10"/>
        <v>2022-07</v>
      </c>
    </row>
    <row r="132" spans="1:7" x14ac:dyDescent="0.25">
      <c r="A132" s="31">
        <v>44754</v>
      </c>
      <c r="B132" s="32">
        <v>80047.159339999998</v>
      </c>
      <c r="C132" s="33">
        <f t="shared" si="11"/>
        <v>-1.0136337926835548E-2</v>
      </c>
      <c r="D132" s="32">
        <f>MAX($B$2:B132)</f>
        <v>109967.49430000001</v>
      </c>
      <c r="E132" s="34">
        <f t="shared" si="8"/>
        <v>-0.27208344748107993</v>
      </c>
      <c r="F132" s="35">
        <f t="shared" si="9"/>
        <v>72.79165525189201</v>
      </c>
      <c r="G132" s="36" t="str">
        <f t="shared" si="10"/>
        <v>2022-07</v>
      </c>
    </row>
    <row r="133" spans="1:7" x14ac:dyDescent="0.25">
      <c r="A133" s="37">
        <v>44755</v>
      </c>
      <c r="B133" s="38">
        <v>80021.990900000004</v>
      </c>
      <c r="C133" s="39">
        <f t="shared" si="11"/>
        <v>-3.144201519142964E-4</v>
      </c>
      <c r="D133" s="38">
        <f>MAX($B$2:B133)</f>
        <v>109967.49430000001</v>
      </c>
      <c r="E133" s="40">
        <f t="shared" si="8"/>
        <v>-0.27231231911410392</v>
      </c>
      <c r="F133" s="41">
        <f t="shared" si="9"/>
        <v>72.76876808858961</v>
      </c>
      <c r="G133" s="42" t="str">
        <f t="shared" si="10"/>
        <v>2022-07</v>
      </c>
    </row>
    <row r="134" spans="1:7" x14ac:dyDescent="0.25">
      <c r="A134" s="31">
        <v>44756</v>
      </c>
      <c r="B134" s="32">
        <v>80335.580589999998</v>
      </c>
      <c r="C134" s="33">
        <f t="shared" si="11"/>
        <v>3.9187939024396545E-3</v>
      </c>
      <c r="D134" s="32">
        <f>MAX($B$2:B134)</f>
        <v>109967.49430000001</v>
      </c>
      <c r="E134" s="34">
        <f t="shared" si="8"/>
        <v>-0.26946066106736788</v>
      </c>
      <c r="F134" s="35">
        <f t="shared" si="9"/>
        <v>73.053933893263206</v>
      </c>
      <c r="G134" s="36" t="str">
        <f t="shared" si="10"/>
        <v>2022-07</v>
      </c>
    </row>
    <row r="135" spans="1:7" x14ac:dyDescent="0.25">
      <c r="A135" s="37">
        <v>44757</v>
      </c>
      <c r="B135" s="38">
        <v>81657.345990000002</v>
      </c>
      <c r="C135" s="39">
        <f t="shared" si="11"/>
        <v>1.6453050943214809E-2</v>
      </c>
      <c r="D135" s="38">
        <f>MAX($B$2:B135)</f>
        <v>109967.49430000001</v>
      </c>
      <c r="E135" s="40">
        <f t="shared" si="8"/>
        <v>-0.25744106010788681</v>
      </c>
      <c r="F135" s="41">
        <f t="shared" si="9"/>
        <v>74.255893989211316</v>
      </c>
      <c r="G135" s="42" t="str">
        <f t="shared" si="10"/>
        <v>2022-07</v>
      </c>
    </row>
    <row r="136" spans="1:7" x14ac:dyDescent="0.25">
      <c r="A136" s="31">
        <v>44760</v>
      </c>
      <c r="B136" s="32">
        <v>80896.032999999996</v>
      </c>
      <c r="C136" s="33">
        <f t="shared" si="11"/>
        <v>-9.3232639485152369E-3</v>
      </c>
      <c r="D136" s="32">
        <f>MAX($B$2:B136)</f>
        <v>109967.49430000001</v>
      </c>
      <c r="E136" s="34">
        <f t="shared" si="8"/>
        <v>-0.26436413310183071</v>
      </c>
      <c r="F136" s="35">
        <f t="shared" si="9"/>
        <v>73.56358668981693</v>
      </c>
      <c r="G136" s="36" t="str">
        <f t="shared" si="10"/>
        <v>2022-07</v>
      </c>
    </row>
    <row r="137" spans="1:7" x14ac:dyDescent="0.25">
      <c r="A137" s="37">
        <v>44761</v>
      </c>
      <c r="B137" s="38">
        <v>83119.811549999999</v>
      </c>
      <c r="C137" s="39">
        <f t="shared" si="11"/>
        <v>2.7489339928448597E-2</v>
      </c>
      <c r="D137" s="38">
        <f>MAX($B$2:B137)</f>
        <v>109967.49430000001</v>
      </c>
      <c r="E137" s="40">
        <f t="shared" si="8"/>
        <v>-0.24414198869310788</v>
      </c>
      <c r="F137" s="41">
        <f t="shared" si="9"/>
        <v>75.585801130689205</v>
      </c>
      <c r="G137" s="42" t="str">
        <f t="shared" si="10"/>
        <v>2022-07</v>
      </c>
    </row>
    <row r="138" spans="1:7" x14ac:dyDescent="0.25">
      <c r="A138" s="31">
        <v>44762</v>
      </c>
      <c r="B138" s="32">
        <v>83938.912930000006</v>
      </c>
      <c r="C138" s="33">
        <f t="shared" si="11"/>
        <v>9.8544662785633452E-3</v>
      </c>
      <c r="D138" s="32">
        <f>MAX($B$2:B138)</f>
        <v>109967.49430000001</v>
      </c>
      <c r="E138" s="34">
        <f t="shared" si="8"/>
        <v>-0.23669341140930222</v>
      </c>
      <c r="F138" s="35">
        <f t="shared" si="9"/>
        <v>76.330658859069771</v>
      </c>
      <c r="G138" s="36" t="str">
        <f t="shared" si="10"/>
        <v>2022-07</v>
      </c>
    </row>
    <row r="139" spans="1:7" x14ac:dyDescent="0.25">
      <c r="A139" s="37">
        <v>44763</v>
      </c>
      <c r="B139" s="38">
        <v>85804.647540000005</v>
      </c>
      <c r="C139" s="39">
        <f t="shared" si="11"/>
        <v>2.2227290595911109E-2</v>
      </c>
      <c r="D139" s="38">
        <f>MAX($B$2:B139)</f>
        <v>109967.49430000001</v>
      </c>
      <c r="E139" s="40">
        <f t="shared" si="8"/>
        <v>-0.21972717405092312</v>
      </c>
      <c r="F139" s="41">
        <f t="shared" si="9"/>
        <v>78.027282594907689</v>
      </c>
      <c r="G139" s="42" t="str">
        <f t="shared" si="10"/>
        <v>2022-07</v>
      </c>
    </row>
    <row r="140" spans="1:7" x14ac:dyDescent="0.25">
      <c r="A140" s="31">
        <v>44764</v>
      </c>
      <c r="B140" s="32">
        <v>84709.888940000004</v>
      </c>
      <c r="C140" s="33">
        <f t="shared" si="11"/>
        <v>-1.2758733138431122E-2</v>
      </c>
      <c r="D140" s="32">
        <f>MAX($B$2:B140)</f>
        <v>109967.49430000001</v>
      </c>
      <c r="E140" s="34">
        <f t="shared" si="8"/>
        <v>-0.22968246681237692</v>
      </c>
      <c r="F140" s="35">
        <f t="shared" si="9"/>
        <v>77.031753318762313</v>
      </c>
      <c r="G140" s="36" t="str">
        <f t="shared" si="10"/>
        <v>2022-07</v>
      </c>
    </row>
    <row r="141" spans="1:7" x14ac:dyDescent="0.25">
      <c r="A141" s="37">
        <v>44767</v>
      </c>
      <c r="B141" s="38">
        <v>84330.08064</v>
      </c>
      <c r="C141" s="39">
        <f t="shared" si="11"/>
        <v>-4.4836359101948497E-3</v>
      </c>
      <c r="D141" s="38">
        <f>MAX($B$2:B141)</f>
        <v>109967.49430000001</v>
      </c>
      <c r="E141" s="40">
        <f t="shared" si="8"/>
        <v>-0.23313629016642967</v>
      </c>
      <c r="F141" s="41">
        <f t="shared" si="9"/>
        <v>76.686370983357037</v>
      </c>
      <c r="G141" s="42" t="str">
        <f t="shared" si="10"/>
        <v>2022-07</v>
      </c>
    </row>
    <row r="142" spans="1:7" x14ac:dyDescent="0.25">
      <c r="A142" s="31">
        <v>44768</v>
      </c>
      <c r="B142" s="32">
        <v>82654.182069999995</v>
      </c>
      <c r="C142" s="33">
        <f t="shared" si="11"/>
        <v>-1.9873081553832717E-2</v>
      </c>
      <c r="D142" s="32">
        <f>MAX($B$2:B142)</f>
        <v>109967.49430000001</v>
      </c>
      <c r="E142" s="34">
        <f t="shared" si="8"/>
        <v>-0.24837623521262686</v>
      </c>
      <c r="F142" s="35">
        <f t="shared" si="9"/>
        <v>75.162376478737315</v>
      </c>
      <c r="G142" s="36" t="str">
        <f t="shared" si="10"/>
        <v>2022-07</v>
      </c>
    </row>
    <row r="143" spans="1:7" x14ac:dyDescent="0.25">
      <c r="A143" s="37">
        <v>44769</v>
      </c>
      <c r="B143" s="38">
        <v>86108.764169999995</v>
      </c>
      <c r="C143" s="39">
        <f t="shared" si="11"/>
        <v>4.1795611709935176E-2</v>
      </c>
      <c r="D143" s="38">
        <f>MAX($B$2:B143)</f>
        <v>109967.49430000001</v>
      </c>
      <c r="E143" s="40">
        <f t="shared" si="8"/>
        <v>-0.21696166018761431</v>
      </c>
      <c r="F143" s="41">
        <f t="shared" si="9"/>
        <v>78.303833981238569</v>
      </c>
      <c r="G143" s="42" t="str">
        <f t="shared" si="10"/>
        <v>2022-07</v>
      </c>
    </row>
    <row r="144" spans="1:7" x14ac:dyDescent="0.25">
      <c r="A144" s="31">
        <v>44770</v>
      </c>
      <c r="B144" s="32">
        <v>87352.638380000004</v>
      </c>
      <c r="C144" s="33">
        <f t="shared" si="11"/>
        <v>1.4445384531872829E-2</v>
      </c>
      <c r="D144" s="32">
        <f>MAX($B$2:B144)</f>
        <v>109967.49430000001</v>
      </c>
      <c r="E144" s="34">
        <f t="shared" si="8"/>
        <v>-0.205650370265825</v>
      </c>
      <c r="F144" s="35">
        <f t="shared" si="9"/>
        <v>79.434962973417498</v>
      </c>
      <c r="G144" s="36" t="str">
        <f t="shared" si="10"/>
        <v>2022-07</v>
      </c>
    </row>
    <row r="145" spans="1:7" x14ac:dyDescent="0.25">
      <c r="A145" s="37">
        <v>44771</v>
      </c>
      <c r="B145" s="38">
        <v>89558.257500000007</v>
      </c>
      <c r="C145" s="39">
        <f t="shared" si="11"/>
        <v>2.5249599335570805E-2</v>
      </c>
      <c r="D145" s="38">
        <f>MAX($B$2:B145)</f>
        <v>109967.49430000001</v>
      </c>
      <c r="E145" s="40">
        <f t="shared" si="8"/>
        <v>-0.18559336038267804</v>
      </c>
      <c r="F145" s="41">
        <f t="shared" si="9"/>
        <v>81.440663961732199</v>
      </c>
      <c r="G145" s="42" t="str">
        <f t="shared" si="10"/>
        <v>2022-07</v>
      </c>
    </row>
    <row r="146" spans="1:7" x14ac:dyDescent="0.25">
      <c r="A146" s="31">
        <v>44774</v>
      </c>
      <c r="B146" s="32">
        <v>89174.08365</v>
      </c>
      <c r="C146" s="33">
        <f t="shared" si="11"/>
        <v>-4.2896530227825025E-3</v>
      </c>
      <c r="D146" s="32">
        <f>MAX($B$2:B146)</f>
        <v>109967.49430000001</v>
      </c>
      <c r="E146" s="34">
        <f t="shared" si="8"/>
        <v>-0.18908688228608661</v>
      </c>
      <c r="F146" s="35">
        <f t="shared" si="9"/>
        <v>81.091311771391332</v>
      </c>
      <c r="G146" s="36" t="str">
        <f t="shared" si="10"/>
        <v>2022-08</v>
      </c>
    </row>
    <row r="147" spans="1:7" x14ac:dyDescent="0.25">
      <c r="A147" s="37">
        <v>44775</v>
      </c>
      <c r="B147" s="38">
        <v>88830.190910000005</v>
      </c>
      <c r="C147" s="39">
        <f t="shared" si="11"/>
        <v>-3.856420227986268E-3</v>
      </c>
      <c r="D147" s="38">
        <f>MAX($B$2:B147)</f>
        <v>109967.49430000001</v>
      </c>
      <c r="E147" s="40">
        <f t="shared" si="8"/>
        <v>-0.19221410403637795</v>
      </c>
      <c r="F147" s="41">
        <f t="shared" si="9"/>
        <v>80.77858959636221</v>
      </c>
      <c r="G147" s="42" t="str">
        <f t="shared" si="10"/>
        <v>2022-08</v>
      </c>
    </row>
    <row r="148" spans="1:7" x14ac:dyDescent="0.25">
      <c r="A148" s="31">
        <v>44776</v>
      </c>
      <c r="B148" s="32">
        <v>90859.840830000001</v>
      </c>
      <c r="C148" s="33">
        <f t="shared" si="11"/>
        <v>2.28486497575624E-2</v>
      </c>
      <c r="D148" s="32">
        <f>MAX($B$2:B148)</f>
        <v>109967.49430000001</v>
      </c>
      <c r="E148" s="34">
        <f t="shared" si="8"/>
        <v>-0.17375728702040638</v>
      </c>
      <c r="F148" s="35">
        <f t="shared" si="9"/>
        <v>82.624271297959368</v>
      </c>
      <c r="G148" s="36" t="str">
        <f t="shared" si="10"/>
        <v>2022-08</v>
      </c>
    </row>
    <row r="149" spans="1:7" x14ac:dyDescent="0.25">
      <c r="A149" s="37">
        <v>44777</v>
      </c>
      <c r="B149" s="38">
        <v>91194.939310000002</v>
      </c>
      <c r="C149" s="39">
        <f t="shared" si="11"/>
        <v>3.6880813012536429E-3</v>
      </c>
      <c r="D149" s="38">
        <f>MAX($B$2:B149)</f>
        <v>109967.49430000001</v>
      </c>
      <c r="E149" s="40">
        <f t="shared" si="8"/>
        <v>-0.17071003672036933</v>
      </c>
      <c r="F149" s="41">
        <f t="shared" si="9"/>
        <v>82.928996327963063</v>
      </c>
      <c r="G149" s="42" t="str">
        <f t="shared" si="10"/>
        <v>2022-08</v>
      </c>
    </row>
    <row r="150" spans="1:7" x14ac:dyDescent="0.25">
      <c r="A150" s="31">
        <v>44778</v>
      </c>
      <c r="B150" s="32">
        <v>90013.724189999994</v>
      </c>
      <c r="C150" s="33">
        <f t="shared" si="11"/>
        <v>-1.2952638917656301E-2</v>
      </c>
      <c r="D150" s="32">
        <f>MAX($B$2:B150)</f>
        <v>109967.49430000001</v>
      </c>
      <c r="E150" s="34">
        <f t="shared" si="8"/>
        <v>-0.18145153017276683</v>
      </c>
      <c r="F150" s="35">
        <f t="shared" si="9"/>
        <v>81.854846982723316</v>
      </c>
      <c r="G150" s="36" t="str">
        <f t="shared" si="10"/>
        <v>2022-08</v>
      </c>
    </row>
    <row r="151" spans="1:7" x14ac:dyDescent="0.25">
      <c r="A151" s="37">
        <v>44781</v>
      </c>
      <c r="B151" s="38">
        <v>89722.155530000004</v>
      </c>
      <c r="C151" s="39">
        <f t="shared" si="11"/>
        <v>-3.239157835360218E-3</v>
      </c>
      <c r="D151" s="38">
        <f>MAX($B$2:B151)</f>
        <v>109967.49430000001</v>
      </c>
      <c r="E151" s="40">
        <f t="shared" si="8"/>
        <v>-0.18410293786242982</v>
      </c>
      <c r="F151" s="41">
        <f t="shared" si="9"/>
        <v>81.589706213757012</v>
      </c>
      <c r="G151" s="42" t="str">
        <f t="shared" si="10"/>
        <v>2022-08</v>
      </c>
    </row>
    <row r="152" spans="1:7" x14ac:dyDescent="0.25">
      <c r="A152" s="31">
        <v>44782</v>
      </c>
      <c r="B152" s="32">
        <v>88943.717799999999</v>
      </c>
      <c r="C152" s="33">
        <f t="shared" si="11"/>
        <v>-8.6760926039023412E-3</v>
      </c>
      <c r="D152" s="32">
        <f>MAX($B$2:B152)</f>
        <v>109967.49430000001</v>
      </c>
      <c r="E152" s="34">
        <f t="shared" si="8"/>
        <v>-0.19118173632878721</v>
      </c>
      <c r="F152" s="35">
        <f t="shared" si="9"/>
        <v>80.881826367121278</v>
      </c>
      <c r="G152" s="36" t="str">
        <f t="shared" si="10"/>
        <v>2022-08</v>
      </c>
    </row>
    <row r="153" spans="1:7" x14ac:dyDescent="0.25">
      <c r="A153" s="37">
        <v>44783</v>
      </c>
      <c r="B153" s="38">
        <v>91386.766510000001</v>
      </c>
      <c r="C153" s="39">
        <f t="shared" si="11"/>
        <v>2.746735542912071E-2</v>
      </c>
      <c r="D153" s="38">
        <f>MAX($B$2:B153)</f>
        <v>109967.49430000001</v>
      </c>
      <c r="E153" s="40">
        <f t="shared" si="8"/>
        <v>-0.16896563760296579</v>
      </c>
      <c r="F153" s="41">
        <f t="shared" si="9"/>
        <v>83.103436239703427</v>
      </c>
      <c r="G153" s="42" t="str">
        <f t="shared" si="10"/>
        <v>2022-08</v>
      </c>
    </row>
    <row r="154" spans="1:7" x14ac:dyDescent="0.25">
      <c r="A154" s="31">
        <v>44784</v>
      </c>
      <c r="B154" s="32">
        <v>90887.397039999996</v>
      </c>
      <c r="C154" s="33">
        <f t="shared" si="11"/>
        <v>-5.464352105568393E-3</v>
      </c>
      <c r="D154" s="32">
        <f>MAX($B$2:B154)</f>
        <v>109967.49430000001</v>
      </c>
      <c r="E154" s="34">
        <f t="shared" si="8"/>
        <v>-0.17350670197092966</v>
      </c>
      <c r="F154" s="35">
        <f t="shared" si="9"/>
        <v>82.649329802907033</v>
      </c>
      <c r="G154" s="36" t="str">
        <f t="shared" si="10"/>
        <v>2022-08</v>
      </c>
    </row>
    <row r="155" spans="1:7" x14ac:dyDescent="0.25">
      <c r="A155" s="37">
        <v>44785</v>
      </c>
      <c r="B155" s="38">
        <v>92999.842210000003</v>
      </c>
      <c r="C155" s="39">
        <f t="shared" si="11"/>
        <v>2.3242443273739033E-2</v>
      </c>
      <c r="D155" s="38">
        <f>MAX($B$2:B155)</f>
        <v>109967.49430000001</v>
      </c>
      <c r="E155" s="40">
        <f t="shared" si="8"/>
        <v>-0.15429697837536349</v>
      </c>
      <c r="F155" s="41">
        <f t="shared" si="9"/>
        <v>84.570302162463648</v>
      </c>
      <c r="G155" s="42" t="str">
        <f t="shared" si="10"/>
        <v>2022-08</v>
      </c>
    </row>
    <row r="156" spans="1:7" x14ac:dyDescent="0.25">
      <c r="A156" s="31">
        <v>44788</v>
      </c>
      <c r="B156" s="32">
        <v>93757.896460000004</v>
      </c>
      <c r="C156" s="33">
        <f t="shared" si="11"/>
        <v>8.1511347975007364E-3</v>
      </c>
      <c r="D156" s="32">
        <f>MAX($B$2:B156)</f>
        <v>109967.49430000001</v>
      </c>
      <c r="E156" s="34">
        <f t="shared" si="8"/>
        <v>-0.14740353904744741</v>
      </c>
      <c r="F156" s="35">
        <f t="shared" si="9"/>
        <v>85.259646095255263</v>
      </c>
      <c r="G156" s="36" t="str">
        <f t="shared" si="10"/>
        <v>2022-08</v>
      </c>
    </row>
    <row r="157" spans="1:7" x14ac:dyDescent="0.25">
      <c r="A157" s="37">
        <v>44789</v>
      </c>
      <c r="B157" s="38">
        <v>93576.423150000002</v>
      </c>
      <c r="C157" s="39">
        <f t="shared" si="11"/>
        <v>-1.9355522772145362E-3</v>
      </c>
      <c r="D157" s="38">
        <f>MAX($B$2:B157)</f>
        <v>109967.49430000001</v>
      </c>
      <c r="E157" s="40">
        <f t="shared" si="8"/>
        <v>-0.14905378406898917</v>
      </c>
      <c r="F157" s="41">
        <f t="shared" si="9"/>
        <v>85.094621593101081</v>
      </c>
      <c r="G157" s="42" t="str">
        <f t="shared" si="10"/>
        <v>2022-08</v>
      </c>
    </row>
    <row r="158" spans="1:7" x14ac:dyDescent="0.25">
      <c r="A158" s="31">
        <v>44790</v>
      </c>
      <c r="B158" s="32">
        <v>92884.344020000004</v>
      </c>
      <c r="C158" s="33">
        <f t="shared" si="11"/>
        <v>-7.3958707407593138E-3</v>
      </c>
      <c r="D158" s="32">
        <f>MAX($B$2:B158)</f>
        <v>109967.49430000001</v>
      </c>
      <c r="E158" s="34">
        <f t="shared" si="8"/>
        <v>-0.15534727228935319</v>
      </c>
      <c r="F158" s="35">
        <f t="shared" si="9"/>
        <v>84.465272771064676</v>
      </c>
      <c r="G158" s="36" t="str">
        <f t="shared" si="10"/>
        <v>2022-08</v>
      </c>
    </row>
    <row r="159" spans="1:7" x14ac:dyDescent="0.25">
      <c r="A159" s="37">
        <v>44791</v>
      </c>
      <c r="B159" s="38">
        <v>92969.337790000005</v>
      </c>
      <c r="C159" s="39">
        <f t="shared" si="11"/>
        <v>9.1504947251075386E-4</v>
      </c>
      <c r="D159" s="38">
        <f>MAX($B$2:B159)</f>
        <v>109967.49430000001</v>
      </c>
      <c r="E159" s="40">
        <f t="shared" si="8"/>
        <v>-0.15457437325640688</v>
      </c>
      <c r="F159" s="41">
        <f t="shared" si="9"/>
        <v>84.542562674359317</v>
      </c>
      <c r="G159" s="42" t="str">
        <f t="shared" si="10"/>
        <v>2022-08</v>
      </c>
    </row>
    <row r="160" spans="1:7" x14ac:dyDescent="0.25">
      <c r="A160" s="31">
        <v>44792</v>
      </c>
      <c r="B160" s="32">
        <v>91286.85961</v>
      </c>
      <c r="C160" s="33">
        <f t="shared" si="11"/>
        <v>-1.8097129870930151E-2</v>
      </c>
      <c r="D160" s="32">
        <f>MAX($B$2:B160)</f>
        <v>109967.49430000001</v>
      </c>
      <c r="E160" s="34">
        <f t="shared" si="8"/>
        <v>-0.16987415061979827</v>
      </c>
      <c r="F160" s="35">
        <f t="shared" si="9"/>
        <v>83.012584938020169</v>
      </c>
      <c r="G160" s="36" t="str">
        <f t="shared" si="10"/>
        <v>2022-08</v>
      </c>
    </row>
    <row r="161" spans="1:7" x14ac:dyDescent="0.25">
      <c r="A161" s="37">
        <v>44795</v>
      </c>
      <c r="B161" s="38">
        <v>89092.195640000005</v>
      </c>
      <c r="C161" s="39">
        <f t="shared" si="11"/>
        <v>-2.4041400694208792E-2</v>
      </c>
      <c r="D161" s="38">
        <f>MAX($B$2:B161)</f>
        <v>109967.49430000001</v>
      </c>
      <c r="E161" s="40">
        <f t="shared" si="8"/>
        <v>-0.18983153879136805</v>
      </c>
      <c r="F161" s="41">
        <f t="shared" si="9"/>
        <v>81.016846120863192</v>
      </c>
      <c r="G161" s="42" t="str">
        <f t="shared" si="10"/>
        <v>2022-08</v>
      </c>
    </row>
    <row r="162" spans="1:7" x14ac:dyDescent="0.25">
      <c r="A162" s="31">
        <v>44796</v>
      </c>
      <c r="B162" s="32">
        <v>89261.357000000004</v>
      </c>
      <c r="C162" s="33">
        <f t="shared" si="11"/>
        <v>1.898722540002673E-3</v>
      </c>
      <c r="D162" s="32">
        <f>MAX($B$2:B162)</f>
        <v>109967.49430000001</v>
      </c>
      <c r="E162" s="34">
        <f t="shared" si="8"/>
        <v>-0.18829325367287197</v>
      </c>
      <c r="F162" s="35">
        <f t="shared" si="9"/>
        <v>81.170674632712803</v>
      </c>
      <c r="G162" s="36" t="str">
        <f t="shared" si="10"/>
        <v>2022-08</v>
      </c>
    </row>
    <row r="163" spans="1:7" x14ac:dyDescent="0.25">
      <c r="A163" s="37">
        <v>44797</v>
      </c>
      <c r="B163" s="38">
        <v>89414.025540000002</v>
      </c>
      <c r="C163" s="39">
        <f t="shared" si="11"/>
        <v>1.7103542353720247E-3</v>
      </c>
      <c r="D163" s="38">
        <f>MAX($B$2:B163)</f>
        <v>109967.49430000001</v>
      </c>
      <c r="E163" s="40">
        <f t="shared" si="8"/>
        <v>-0.18690494760141141</v>
      </c>
      <c r="F163" s="41">
        <f t="shared" si="9"/>
        <v>81.309505239858865</v>
      </c>
      <c r="G163" s="42" t="str">
        <f t="shared" si="10"/>
        <v>2022-08</v>
      </c>
    </row>
    <row r="164" spans="1:7" x14ac:dyDescent="0.25">
      <c r="A164" s="31">
        <v>44798</v>
      </c>
      <c r="B164" s="32">
        <v>90685.263879999999</v>
      </c>
      <c r="C164" s="33">
        <f t="shared" si="11"/>
        <v>1.4217437726604665E-2</v>
      </c>
      <c r="D164" s="32">
        <f>MAX($B$2:B164)</f>
        <v>109967.49430000001</v>
      </c>
      <c r="E164" s="34">
        <f t="shared" si="8"/>
        <v>-0.17534481932812396</v>
      </c>
      <c r="F164" s="35">
        <f t="shared" si="9"/>
        <v>82.465518067187602</v>
      </c>
      <c r="G164" s="36" t="str">
        <f t="shared" si="10"/>
        <v>2022-08</v>
      </c>
    </row>
    <row r="165" spans="1:7" x14ac:dyDescent="0.25">
      <c r="A165" s="37">
        <v>44799</v>
      </c>
      <c r="B165" s="38">
        <v>87367.415890000004</v>
      </c>
      <c r="C165" s="39">
        <f t="shared" si="11"/>
        <v>-3.6586407185078773E-2</v>
      </c>
      <c r="D165" s="38">
        <f>MAX($B$2:B165)</f>
        <v>109967.49430000001</v>
      </c>
      <c r="E165" s="40">
        <f t="shared" si="8"/>
        <v>-0.2055159895554699</v>
      </c>
      <c r="F165" s="41">
        <f t="shared" si="9"/>
        <v>79.448401044453007</v>
      </c>
      <c r="G165" s="42" t="str">
        <f t="shared" si="10"/>
        <v>2022-08</v>
      </c>
    </row>
    <row r="166" spans="1:7" x14ac:dyDescent="0.25">
      <c r="A166" s="31">
        <v>44802</v>
      </c>
      <c r="B166" s="32">
        <v>86517.855779999998</v>
      </c>
      <c r="C166" s="33">
        <f t="shared" si="11"/>
        <v>-9.723992650413793E-3</v>
      </c>
      <c r="D166" s="32">
        <f>MAX($B$2:B166)</f>
        <v>109967.49430000001</v>
      </c>
      <c r="E166" s="34">
        <f t="shared" si="8"/>
        <v>-0.21324154623390379</v>
      </c>
      <c r="F166" s="35">
        <f t="shared" si="9"/>
        <v>78.675845376609615</v>
      </c>
      <c r="G166" s="36" t="str">
        <f t="shared" si="10"/>
        <v>2022-08</v>
      </c>
    </row>
    <row r="167" spans="1:7" x14ac:dyDescent="0.25">
      <c r="A167" s="37">
        <v>44803</v>
      </c>
      <c r="B167" s="38">
        <v>85456.521460000004</v>
      </c>
      <c r="C167" s="39">
        <f t="shared" si="11"/>
        <v>-1.2267228659697538E-2</v>
      </c>
      <c r="D167" s="38">
        <f>MAX($B$2:B167)</f>
        <v>109967.49430000001</v>
      </c>
      <c r="E167" s="40">
        <f t="shared" si="8"/>
        <v>-0.22289289208620267</v>
      </c>
      <c r="F167" s="41">
        <f t="shared" si="9"/>
        <v>77.710710791379739</v>
      </c>
      <c r="G167" s="42" t="str">
        <f t="shared" si="10"/>
        <v>2022-08</v>
      </c>
    </row>
    <row r="168" spans="1:7" x14ac:dyDescent="0.25">
      <c r="A168" s="31">
        <v>44804</v>
      </c>
      <c r="B168" s="32">
        <v>84859.43965</v>
      </c>
      <c r="C168" s="33">
        <f t="shared" si="11"/>
        <v>-6.9869660009445056E-3</v>
      </c>
      <c r="D168" s="32">
        <f>MAX($B$2:B168)</f>
        <v>109967.49430000001</v>
      </c>
      <c r="E168" s="34">
        <f t="shared" si="8"/>
        <v>-0.22832251302828865</v>
      </c>
      <c r="F168" s="35">
        <f t="shared" si="9"/>
        <v>77.167748697171135</v>
      </c>
      <c r="G168" s="36" t="str">
        <f t="shared" si="10"/>
        <v>2022-08</v>
      </c>
    </row>
    <row r="169" spans="1:7" x14ac:dyDescent="0.25">
      <c r="A169" s="37">
        <v>44805</v>
      </c>
      <c r="B169" s="38">
        <v>85024.079159999994</v>
      </c>
      <c r="C169" s="39">
        <f t="shared" si="11"/>
        <v>1.9401437327308813E-3</v>
      </c>
      <c r="D169" s="38">
        <f>MAX($B$2:B169)</f>
        <v>109967.49430000001</v>
      </c>
      <c r="E169" s="40">
        <f t="shared" si="8"/>
        <v>-0.22682534778825103</v>
      </c>
      <c r="F169" s="41">
        <f t="shared" si="9"/>
        <v>77.317465221174899</v>
      </c>
      <c r="G169" s="42" t="str">
        <f t="shared" si="10"/>
        <v>2022-09</v>
      </c>
    </row>
    <row r="170" spans="1:7" x14ac:dyDescent="0.25">
      <c r="A170" s="31">
        <v>44806</v>
      </c>
      <c r="B170" s="32">
        <v>83839.749280000004</v>
      </c>
      <c r="C170" s="33">
        <f t="shared" si="11"/>
        <v>-1.3929346741542448E-2</v>
      </c>
      <c r="D170" s="32">
        <f>MAX($B$2:B170)</f>
        <v>109967.49430000001</v>
      </c>
      <c r="E170" s="34">
        <f t="shared" si="8"/>
        <v>-0.23759516561067995</v>
      </c>
      <c r="F170" s="35">
        <f t="shared" si="9"/>
        <v>76.240483438932003</v>
      </c>
      <c r="G170" s="36" t="str">
        <f t="shared" si="10"/>
        <v>2022-09</v>
      </c>
    </row>
    <row r="171" spans="1:7" x14ac:dyDescent="0.25">
      <c r="A171" s="37">
        <v>44810</v>
      </c>
      <c r="B171" s="38">
        <v>83538.891669999997</v>
      </c>
      <c r="C171" s="39">
        <f t="shared" si="11"/>
        <v>-3.588484132928782E-3</v>
      </c>
      <c r="D171" s="38">
        <f>MAX($B$2:B171)</f>
        <v>109967.49430000001</v>
      </c>
      <c r="E171" s="40">
        <f t="shared" si="8"/>
        <v>-0.24033104326175414</v>
      </c>
      <c r="F171" s="41">
        <f t="shared" si="9"/>
        <v>75.966895673824581</v>
      </c>
      <c r="G171" s="42" t="str">
        <f t="shared" si="10"/>
        <v>2022-09</v>
      </c>
    </row>
    <row r="172" spans="1:7" x14ac:dyDescent="0.25">
      <c r="A172" s="31">
        <v>44811</v>
      </c>
      <c r="B172" s="32">
        <v>85108.421239999996</v>
      </c>
      <c r="C172" s="33">
        <f t="shared" si="11"/>
        <v>1.8788010453862025E-2</v>
      </c>
      <c r="D172" s="32">
        <f>MAX($B$2:B172)</f>
        <v>109967.49430000001</v>
      </c>
      <c r="E172" s="34">
        <f t="shared" si="8"/>
        <v>-0.22605837496108161</v>
      </c>
      <c r="F172" s="35">
        <f t="shared" si="9"/>
        <v>77.394162503891835</v>
      </c>
      <c r="G172" s="36" t="str">
        <f t="shared" si="10"/>
        <v>2022-09</v>
      </c>
    </row>
    <row r="173" spans="1:7" x14ac:dyDescent="0.25">
      <c r="A173" s="37">
        <v>44812</v>
      </c>
      <c r="B173" s="38">
        <v>85570.527350000004</v>
      </c>
      <c r="C173" s="39">
        <f t="shared" si="11"/>
        <v>5.4296167555134556E-3</v>
      </c>
      <c r="D173" s="38">
        <f>MAX($B$2:B173)</f>
        <v>109967.49430000001</v>
      </c>
      <c r="E173" s="40">
        <f t="shared" si="8"/>
        <v>-0.221856168545981</v>
      </c>
      <c r="F173" s="41">
        <f t="shared" si="9"/>
        <v>77.814383145401905</v>
      </c>
      <c r="G173" s="42" t="str">
        <f t="shared" si="10"/>
        <v>2022-09</v>
      </c>
    </row>
    <row r="174" spans="1:7" x14ac:dyDescent="0.25">
      <c r="A174" s="31">
        <v>44813</v>
      </c>
      <c r="B174" s="32">
        <v>87419.904380000007</v>
      </c>
      <c r="C174" s="33">
        <f t="shared" si="11"/>
        <v>2.1612313109111714E-2</v>
      </c>
      <c r="D174" s="32">
        <f>MAX($B$2:B174)</f>
        <v>109967.49430000001</v>
      </c>
      <c r="E174" s="34">
        <f t="shared" si="8"/>
        <v>-0.20503868041667284</v>
      </c>
      <c r="F174" s="35">
        <f t="shared" si="9"/>
        <v>79.496131958332711</v>
      </c>
      <c r="G174" s="36" t="str">
        <f t="shared" si="10"/>
        <v>2022-09</v>
      </c>
    </row>
    <row r="175" spans="1:7" x14ac:dyDescent="0.25">
      <c r="A175" s="37">
        <v>44816</v>
      </c>
      <c r="B175" s="38">
        <v>88682.33253</v>
      </c>
      <c r="C175" s="39">
        <f t="shared" si="11"/>
        <v>1.4440969238680657E-2</v>
      </c>
      <c r="D175" s="38">
        <f>MAX($B$2:B175)</f>
        <v>109967.49430000001</v>
      </c>
      <c r="E175" s="40">
        <f t="shared" si="8"/>
        <v>-0.19355866845462899</v>
      </c>
      <c r="F175" s="41">
        <f t="shared" si="9"/>
        <v>80.644133154537101</v>
      </c>
      <c r="G175" s="42" t="str">
        <f t="shared" si="10"/>
        <v>2022-09</v>
      </c>
    </row>
    <row r="176" spans="1:7" x14ac:dyDescent="0.25">
      <c r="A176" s="31">
        <v>44817</v>
      </c>
      <c r="B176" s="32">
        <v>84327.634860000006</v>
      </c>
      <c r="C176" s="33">
        <f t="shared" si="11"/>
        <v>-4.9104455710238137E-2</v>
      </c>
      <c r="D176" s="32">
        <f>MAX($B$2:B176)</f>
        <v>109967.49430000001</v>
      </c>
      <c r="E176" s="34">
        <f t="shared" si="8"/>
        <v>-0.23315853110240414</v>
      </c>
      <c r="F176" s="35">
        <f t="shared" si="9"/>
        <v>76.684146889759589</v>
      </c>
      <c r="G176" s="36" t="str">
        <f t="shared" si="10"/>
        <v>2022-09</v>
      </c>
    </row>
    <row r="177" spans="1:7" x14ac:dyDescent="0.25">
      <c r="A177" s="37">
        <v>44818</v>
      </c>
      <c r="B177" s="38">
        <v>85165.753370000006</v>
      </c>
      <c r="C177" s="39">
        <f t="shared" si="11"/>
        <v>9.9388357255771886E-3</v>
      </c>
      <c r="D177" s="38">
        <f>MAX($B$2:B177)</f>
        <v>109967.49430000001</v>
      </c>
      <c r="E177" s="40">
        <f t="shared" si="8"/>
        <v>-0.22553701971547058</v>
      </c>
      <c r="F177" s="41">
        <f t="shared" si="9"/>
        <v>77.446298028452944</v>
      </c>
      <c r="G177" s="42" t="str">
        <f t="shared" si="10"/>
        <v>2022-09</v>
      </c>
    </row>
    <row r="178" spans="1:7" x14ac:dyDescent="0.25">
      <c r="A178" s="31">
        <v>44819</v>
      </c>
      <c r="B178" s="32">
        <v>84160.546560000003</v>
      </c>
      <c r="C178" s="33">
        <f t="shared" si="11"/>
        <v>-1.1802946257434166E-2</v>
      </c>
      <c r="D178" s="32">
        <f>MAX($B$2:B178)</f>
        <v>109967.49430000001</v>
      </c>
      <c r="E178" s="34">
        <f t="shared" si="8"/>
        <v>-0.23467796465014124</v>
      </c>
      <c r="F178" s="35">
        <f t="shared" si="9"/>
        <v>76.532203534985882</v>
      </c>
      <c r="G178" s="36" t="str">
        <f t="shared" si="10"/>
        <v>2022-09</v>
      </c>
    </row>
    <row r="179" spans="1:7" x14ac:dyDescent="0.25">
      <c r="A179" s="37">
        <v>44820</v>
      </c>
      <c r="B179" s="38">
        <v>83585.946309999999</v>
      </c>
      <c r="C179" s="39">
        <f t="shared" si="11"/>
        <v>-6.8274301140660576E-3</v>
      </c>
      <c r="D179" s="38">
        <f>MAX($B$2:B179)</f>
        <v>109967.49430000001</v>
      </c>
      <c r="E179" s="40">
        <f t="shared" si="8"/>
        <v>-0.23990314736124718</v>
      </c>
      <c r="F179" s="41">
        <f t="shared" si="9"/>
        <v>76.009685263875284</v>
      </c>
      <c r="G179" s="42" t="str">
        <f t="shared" si="10"/>
        <v>2022-09</v>
      </c>
    </row>
    <row r="180" spans="1:7" x14ac:dyDescent="0.25">
      <c r="A180" s="31">
        <v>44823</v>
      </c>
      <c r="B180" s="32">
        <v>84383.521580000001</v>
      </c>
      <c r="C180" s="33">
        <f t="shared" si="11"/>
        <v>9.5419781100758438E-3</v>
      </c>
      <c r="D180" s="32">
        <f>MAX($B$2:B180)</f>
        <v>109967.49430000001</v>
      </c>
      <c r="E180" s="34">
        <f t="shared" si="8"/>
        <v>-0.2326503198318306</v>
      </c>
      <c r="F180" s="35">
        <f t="shared" si="9"/>
        <v>76.734968016816936</v>
      </c>
      <c r="G180" s="36" t="str">
        <f t="shared" si="10"/>
        <v>2022-09</v>
      </c>
    </row>
    <row r="181" spans="1:7" x14ac:dyDescent="0.25">
      <c r="A181" s="37">
        <v>44824</v>
      </c>
      <c r="B181" s="38">
        <v>83773.881389999995</v>
      </c>
      <c r="C181" s="39">
        <f t="shared" si="11"/>
        <v>-7.2246355518835736E-3</v>
      </c>
      <c r="D181" s="38">
        <f>MAX($B$2:B181)</f>
        <v>109967.49430000001</v>
      </c>
      <c r="E181" s="40">
        <f t="shared" si="8"/>
        <v>-0.2381941416119</v>
      </c>
      <c r="F181" s="41">
        <f t="shared" si="9"/>
        <v>76.180585838810003</v>
      </c>
      <c r="G181" s="42" t="str">
        <f t="shared" si="10"/>
        <v>2022-09</v>
      </c>
    </row>
    <row r="182" spans="1:7" x14ac:dyDescent="0.25">
      <c r="A182" s="31">
        <v>44825</v>
      </c>
      <c r="B182" s="32">
        <v>82204.969559999998</v>
      </c>
      <c r="C182" s="33">
        <f t="shared" si="11"/>
        <v>-1.8727935294010067E-2</v>
      </c>
      <c r="D182" s="32">
        <f>MAX($B$2:B182)</f>
        <v>109967.49430000001</v>
      </c>
      <c r="E182" s="34">
        <f t="shared" si="8"/>
        <v>-0.25246119243439025</v>
      </c>
      <c r="F182" s="35">
        <f t="shared" si="9"/>
        <v>74.753880756560974</v>
      </c>
      <c r="G182" s="36" t="str">
        <f t="shared" si="10"/>
        <v>2022-09</v>
      </c>
    </row>
    <row r="183" spans="1:7" x14ac:dyDescent="0.25">
      <c r="A183" s="37">
        <v>44826</v>
      </c>
      <c r="B183" s="38">
        <v>81215.549679999996</v>
      </c>
      <c r="C183" s="39">
        <f t="shared" si="11"/>
        <v>-1.2036010539214881E-2</v>
      </c>
      <c r="D183" s="38">
        <f>MAX($B$2:B183)</f>
        <v>109967.49430000001</v>
      </c>
      <c r="E183" s="40">
        <f t="shared" si="8"/>
        <v>-0.26145857740072198</v>
      </c>
      <c r="F183" s="41">
        <f t="shared" si="9"/>
        <v>73.854142259927798</v>
      </c>
      <c r="G183" s="42" t="str">
        <f t="shared" si="10"/>
        <v>2022-09</v>
      </c>
    </row>
    <row r="184" spans="1:7" x14ac:dyDescent="0.25">
      <c r="A184" s="31">
        <v>44827</v>
      </c>
      <c r="B184" s="32">
        <v>79519.681049999999</v>
      </c>
      <c r="C184" s="33">
        <f t="shared" si="11"/>
        <v>-2.0881082953719377E-2</v>
      </c>
      <c r="D184" s="32">
        <f>MAX($B$2:B184)</f>
        <v>109967.49430000001</v>
      </c>
      <c r="E184" s="34">
        <f t="shared" si="8"/>
        <v>-0.27688012211077551</v>
      </c>
      <c r="F184" s="35">
        <f t="shared" si="9"/>
        <v>72.311987788922451</v>
      </c>
      <c r="G184" s="36" t="str">
        <f t="shared" si="10"/>
        <v>2022-09</v>
      </c>
    </row>
    <row r="185" spans="1:7" x14ac:dyDescent="0.25">
      <c r="A185" s="37">
        <v>44830</v>
      </c>
      <c r="B185" s="38">
        <v>79104.049950000001</v>
      </c>
      <c r="C185" s="39">
        <f t="shared" si="11"/>
        <v>-5.2267702097379409E-3</v>
      </c>
      <c r="D185" s="38">
        <f>MAX($B$2:B185)</f>
        <v>109967.49430000001</v>
      </c>
      <c r="E185" s="40">
        <f t="shared" si="8"/>
        <v>-0.2806597035465962</v>
      </c>
      <c r="F185" s="41">
        <f t="shared" si="9"/>
        <v>71.934029645340374</v>
      </c>
      <c r="G185" s="42" t="str">
        <f t="shared" si="10"/>
        <v>2022-09</v>
      </c>
    </row>
    <row r="186" spans="1:7" x14ac:dyDescent="0.25">
      <c r="A186" s="31">
        <v>44831</v>
      </c>
      <c r="B186" s="32">
        <v>79406.487040000007</v>
      </c>
      <c r="C186" s="33">
        <f t="shared" si="11"/>
        <v>3.8232819961958597E-3</v>
      </c>
      <c r="D186" s="32">
        <f>MAX($B$2:B186)</f>
        <v>109967.49430000001</v>
      </c>
      <c r="E186" s="34">
        <f t="shared" si="8"/>
        <v>-0.27790946274202777</v>
      </c>
      <c r="F186" s="35">
        <f t="shared" si="9"/>
        <v>72.209053725797219</v>
      </c>
      <c r="G186" s="36" t="str">
        <f t="shared" si="10"/>
        <v>2022-09</v>
      </c>
    </row>
    <row r="187" spans="1:7" x14ac:dyDescent="0.25">
      <c r="A187" s="37">
        <v>44832</v>
      </c>
      <c r="B187" s="38">
        <v>80588.151389999999</v>
      </c>
      <c r="C187" s="39">
        <f t="shared" si="11"/>
        <v>1.4881206738244668E-2</v>
      </c>
      <c r="D187" s="38">
        <f>MAX($B$2:B187)</f>
        <v>109967.49430000001</v>
      </c>
      <c r="E187" s="40">
        <f t="shared" si="8"/>
        <v>-0.26716388417336168</v>
      </c>
      <c r="F187" s="41">
        <f t="shared" si="9"/>
        <v>73.283611582663838</v>
      </c>
      <c r="G187" s="42" t="str">
        <f t="shared" si="10"/>
        <v>2022-09</v>
      </c>
    </row>
    <row r="188" spans="1:7" x14ac:dyDescent="0.25">
      <c r="A188" s="31">
        <v>44833</v>
      </c>
      <c r="B188" s="32">
        <v>77978.159140000003</v>
      </c>
      <c r="C188" s="33">
        <f t="shared" si="11"/>
        <v>-3.2386798865370992E-2</v>
      </c>
      <c r="D188" s="32">
        <f>MAX($B$2:B188)</f>
        <v>109967.49430000001</v>
      </c>
      <c r="E188" s="34">
        <f t="shared" si="8"/>
        <v>-0.29089810005791872</v>
      </c>
      <c r="F188" s="35">
        <f t="shared" si="9"/>
        <v>70.910189994208125</v>
      </c>
      <c r="G188" s="36" t="str">
        <f t="shared" si="10"/>
        <v>2022-09</v>
      </c>
    </row>
    <row r="189" spans="1:7" x14ac:dyDescent="0.25">
      <c r="A189" s="37">
        <v>44834</v>
      </c>
      <c r="B189" s="38">
        <v>76753.594110000005</v>
      </c>
      <c r="C189" s="39">
        <f t="shared" si="11"/>
        <v>-1.5703948945517521E-2</v>
      </c>
      <c r="D189" s="38">
        <f>MAX($B$2:B189)</f>
        <v>109967.49430000001</v>
      </c>
      <c r="E189" s="40">
        <f t="shared" si="8"/>
        <v>-0.3020338000917786</v>
      </c>
      <c r="F189" s="41">
        <f t="shared" si="9"/>
        <v>69.796619990822137</v>
      </c>
      <c r="G189" s="42" t="str">
        <f t="shared" si="10"/>
        <v>2022-09</v>
      </c>
    </row>
    <row r="190" spans="1:7" x14ac:dyDescent="0.25">
      <c r="A190" s="31">
        <v>44837</v>
      </c>
      <c r="B190" s="32">
        <v>77485.415219999995</v>
      </c>
      <c r="C190" s="33">
        <f t="shared" si="11"/>
        <v>9.5346819713897357E-3</v>
      </c>
      <c r="D190" s="32">
        <f>MAX($B$2:B190)</f>
        <v>109967.49430000001</v>
      </c>
      <c r="E190" s="34">
        <f t="shared" si="8"/>
        <v>-0.2953789143488742</v>
      </c>
      <c r="F190" s="35">
        <f t="shared" si="9"/>
        <v>70.462108565112587</v>
      </c>
      <c r="G190" s="36" t="str">
        <f t="shared" si="10"/>
        <v>2022-10</v>
      </c>
    </row>
    <row r="191" spans="1:7" x14ac:dyDescent="0.25">
      <c r="A191" s="37">
        <v>44838</v>
      </c>
      <c r="B191" s="38">
        <v>80037.571110000004</v>
      </c>
      <c r="C191" s="39">
        <f t="shared" si="11"/>
        <v>3.2937242224924779E-2</v>
      </c>
      <c r="D191" s="38">
        <f>MAX($B$2:B191)</f>
        <v>109967.49430000001</v>
      </c>
      <c r="E191" s="40">
        <f t="shared" si="8"/>
        <v>-0.27217063897399363</v>
      </c>
      <c r="F191" s="41">
        <f t="shared" si="9"/>
        <v>72.782936102600644</v>
      </c>
      <c r="G191" s="42" t="str">
        <f t="shared" si="10"/>
        <v>2022-10</v>
      </c>
    </row>
    <row r="192" spans="1:7" x14ac:dyDescent="0.25">
      <c r="A192" s="31">
        <v>44839</v>
      </c>
      <c r="B192" s="32">
        <v>79698.280010000002</v>
      </c>
      <c r="C192" s="33">
        <f t="shared" si="11"/>
        <v>-4.2391478813580408E-3</v>
      </c>
      <c r="D192" s="32">
        <f>MAX($B$2:B192)</f>
        <v>109967.49430000001</v>
      </c>
      <c r="E192" s="34">
        <f t="shared" si="8"/>
        <v>-0.27525601526777721</v>
      </c>
      <c r="F192" s="35">
        <f t="shared" si="9"/>
        <v>72.47439847322228</v>
      </c>
      <c r="G192" s="36" t="str">
        <f t="shared" si="10"/>
        <v>2022-10</v>
      </c>
    </row>
    <row r="193" spans="1:7" x14ac:dyDescent="0.25">
      <c r="A193" s="37">
        <v>44840</v>
      </c>
      <c r="B193" s="38">
        <v>79054.76526</v>
      </c>
      <c r="C193" s="39">
        <f t="shared" si="11"/>
        <v>-8.074386924275645E-3</v>
      </c>
      <c r="D193" s="38">
        <f>MAX($B$2:B193)</f>
        <v>109967.49430000001</v>
      </c>
      <c r="E193" s="40">
        <f t="shared" si="8"/>
        <v>-0.28110787862154651</v>
      </c>
      <c r="F193" s="41">
        <f t="shared" si="9"/>
        <v>71.889212137845348</v>
      </c>
      <c r="G193" s="42" t="str">
        <f t="shared" si="10"/>
        <v>2022-10</v>
      </c>
    </row>
    <row r="194" spans="1:7" x14ac:dyDescent="0.25">
      <c r="A194" s="31">
        <v>44841</v>
      </c>
      <c r="B194" s="32">
        <v>75933.956709999999</v>
      </c>
      <c r="C194" s="33">
        <f t="shared" si="11"/>
        <v>-3.9476539329869609E-2</v>
      </c>
      <c r="D194" s="32">
        <f>MAX($B$2:B194)</f>
        <v>109967.49430000001</v>
      </c>
      <c r="E194" s="34">
        <f t="shared" ref="E194:E257" si="12">B194/D194-1</f>
        <v>-0.30948725172507641</v>
      </c>
      <c r="F194" s="35">
        <f t="shared" ref="F194:F257" si="13">B194/$B$2*100</f>
        <v>69.051274827492364</v>
      </c>
      <c r="G194" s="36" t="str">
        <f t="shared" ref="G194:G257" si="14">TEXT(A194,"YYYY-MM")</f>
        <v>2022-10</v>
      </c>
    </row>
    <row r="195" spans="1:7" x14ac:dyDescent="0.25">
      <c r="A195" s="37">
        <v>44844</v>
      </c>
      <c r="B195" s="38">
        <v>75213.360199999996</v>
      </c>
      <c r="C195" s="39">
        <f t="shared" ref="C195:C258" si="15">B195/B194-1</f>
        <v>-9.4897795560955345E-3</v>
      </c>
      <c r="D195" s="38">
        <f>MAX($B$2:B195)</f>
        <v>109967.49430000001</v>
      </c>
      <c r="E195" s="40">
        <f t="shared" si="12"/>
        <v>-0.31604006548687913</v>
      </c>
      <c r="F195" s="41">
        <f t="shared" si="13"/>
        <v>68.39599345131208</v>
      </c>
      <c r="G195" s="42" t="str">
        <f t="shared" si="14"/>
        <v>2022-10</v>
      </c>
    </row>
    <row r="196" spans="1:7" x14ac:dyDescent="0.25">
      <c r="A196" s="31">
        <v>44845</v>
      </c>
      <c r="B196" s="32">
        <v>74278.340230000002</v>
      </c>
      <c r="C196" s="33">
        <f t="shared" si="15"/>
        <v>-1.2431567576740132E-2</v>
      </c>
      <c r="D196" s="32">
        <f>MAX($B$2:B196)</f>
        <v>109967.49430000001</v>
      </c>
      <c r="E196" s="34">
        <f t="shared" si="12"/>
        <v>-0.32454275963256174</v>
      </c>
      <c r="F196" s="35">
        <f t="shared" si="13"/>
        <v>67.54572403674382</v>
      </c>
      <c r="G196" s="36" t="str">
        <f t="shared" si="14"/>
        <v>2022-10</v>
      </c>
    </row>
    <row r="197" spans="1:7" x14ac:dyDescent="0.25">
      <c r="A197" s="37">
        <v>44846</v>
      </c>
      <c r="B197" s="38">
        <v>74218.532389999993</v>
      </c>
      <c r="C197" s="39">
        <f t="shared" si="15"/>
        <v>-8.0518546611052511E-4</v>
      </c>
      <c r="D197" s="38">
        <f>MAX($B$2:B197)</f>
        <v>109967.49430000001</v>
      </c>
      <c r="E197" s="40">
        <f t="shared" si="12"/>
        <v>-0.32508662798548471</v>
      </c>
      <c r="F197" s="41">
        <f t="shared" si="13"/>
        <v>67.491337201451529</v>
      </c>
      <c r="G197" s="42" t="str">
        <f t="shared" si="14"/>
        <v>2022-10</v>
      </c>
    </row>
    <row r="198" spans="1:7" x14ac:dyDescent="0.25">
      <c r="A198" s="31">
        <v>44847</v>
      </c>
      <c r="B198" s="32">
        <v>76193.74007</v>
      </c>
      <c r="C198" s="33">
        <f t="shared" si="15"/>
        <v>2.6613402561246779E-2</v>
      </c>
      <c r="D198" s="32">
        <f>MAX($B$2:B198)</f>
        <v>109967.49430000001</v>
      </c>
      <c r="E198" s="34">
        <f t="shared" si="12"/>
        <v>-0.30712488672209393</v>
      </c>
      <c r="F198" s="35">
        <f t="shared" si="13"/>
        <v>69.287511327790611</v>
      </c>
      <c r="G198" s="36" t="str">
        <f t="shared" si="14"/>
        <v>2022-10</v>
      </c>
    </row>
    <row r="199" spans="1:7" x14ac:dyDescent="0.25">
      <c r="A199" s="37">
        <v>44848</v>
      </c>
      <c r="B199" s="38">
        <v>73579.517529999997</v>
      </c>
      <c r="C199" s="39">
        <f t="shared" si="15"/>
        <v>-3.4310201042740407E-2</v>
      </c>
      <c r="D199" s="38">
        <f>MAX($B$2:B199)</f>
        <v>109967.49430000001</v>
      </c>
      <c r="E199" s="40">
        <f t="shared" si="12"/>
        <v>-0.33089757115617036</v>
      </c>
      <c r="F199" s="41">
        <f t="shared" si="13"/>
        <v>66.910242884382967</v>
      </c>
      <c r="G199" s="42" t="str">
        <f t="shared" si="14"/>
        <v>2022-10</v>
      </c>
    </row>
    <row r="200" spans="1:7" x14ac:dyDescent="0.25">
      <c r="A200" s="31">
        <v>44851</v>
      </c>
      <c r="B200" s="32">
        <v>76150.296839999995</v>
      </c>
      <c r="C200" s="33">
        <f t="shared" si="15"/>
        <v>3.4938789982576823E-2</v>
      </c>
      <c r="D200" s="32">
        <f>MAX($B$2:B200)</f>
        <v>109967.49430000001</v>
      </c>
      <c r="E200" s="34">
        <f t="shared" si="12"/>
        <v>-0.30751994191796372</v>
      </c>
      <c r="F200" s="35">
        <f t="shared" si="13"/>
        <v>69.248005808203629</v>
      </c>
      <c r="G200" s="36" t="str">
        <f t="shared" si="14"/>
        <v>2022-10</v>
      </c>
    </row>
    <row r="201" spans="1:7" x14ac:dyDescent="0.25">
      <c r="A201" s="37">
        <v>44852</v>
      </c>
      <c r="B201" s="38">
        <v>76743.443929999994</v>
      </c>
      <c r="C201" s="39">
        <f t="shared" si="15"/>
        <v>7.7891632024267299E-3</v>
      </c>
      <c r="D201" s="38">
        <f>MAX($B$2:B201)</f>
        <v>109967.49430000001</v>
      </c>
      <c r="E201" s="40">
        <f t="shared" si="12"/>
        <v>-0.30212610173113685</v>
      </c>
      <c r="F201" s="41">
        <f t="shared" si="13"/>
        <v>69.787389826886312</v>
      </c>
      <c r="G201" s="42" t="str">
        <f t="shared" si="14"/>
        <v>2022-10</v>
      </c>
    </row>
    <row r="202" spans="1:7" x14ac:dyDescent="0.25">
      <c r="A202" s="31">
        <v>44853</v>
      </c>
      <c r="B202" s="32">
        <v>76420.316619999998</v>
      </c>
      <c r="C202" s="33">
        <f t="shared" si="15"/>
        <v>-4.2104874820932947E-3</v>
      </c>
      <c r="D202" s="32">
        <f>MAX($B$2:B202)</f>
        <v>109967.49430000001</v>
      </c>
      <c r="E202" s="34">
        <f t="shared" si="12"/>
        <v>-0.30506449104387756</v>
      </c>
      <c r="F202" s="35">
        <f t="shared" si="13"/>
        <v>69.493550895612245</v>
      </c>
      <c r="G202" s="36" t="str">
        <f t="shared" si="14"/>
        <v>2022-10</v>
      </c>
    </row>
    <row r="203" spans="1:7" x14ac:dyDescent="0.25">
      <c r="A203" s="37">
        <v>44854</v>
      </c>
      <c r="B203" s="38">
        <v>75445.650269999998</v>
      </c>
      <c r="C203" s="39">
        <f t="shared" si="15"/>
        <v>-1.27540213533337E-2</v>
      </c>
      <c r="D203" s="38">
        <f>MAX($B$2:B203)</f>
        <v>109967.49430000001</v>
      </c>
      <c r="E203" s="40">
        <f t="shared" si="12"/>
        <v>-0.3139277133642937</v>
      </c>
      <c r="F203" s="41">
        <f t="shared" si="13"/>
        <v>68.607228663570623</v>
      </c>
      <c r="G203" s="42" t="str">
        <f t="shared" si="14"/>
        <v>2022-10</v>
      </c>
    </row>
    <row r="204" spans="1:7" x14ac:dyDescent="0.25">
      <c r="A204" s="31">
        <v>44855</v>
      </c>
      <c r="B204" s="32">
        <v>77375.070200000002</v>
      </c>
      <c r="C204" s="33">
        <f t="shared" si="15"/>
        <v>2.5573640403325104E-2</v>
      </c>
      <c r="D204" s="32">
        <f>MAX($B$2:B204)</f>
        <v>109967.49430000001</v>
      </c>
      <c r="E204" s="34">
        <f t="shared" si="12"/>
        <v>-0.29638234741518521</v>
      </c>
      <c r="F204" s="35">
        <f t="shared" si="13"/>
        <v>70.361765258481483</v>
      </c>
      <c r="G204" s="36" t="str">
        <f t="shared" si="14"/>
        <v>2022-10</v>
      </c>
    </row>
    <row r="205" spans="1:7" x14ac:dyDescent="0.25">
      <c r="A205" s="37">
        <v>44858</v>
      </c>
      <c r="B205" s="38">
        <v>77949.998170000006</v>
      </c>
      <c r="C205" s="39">
        <f t="shared" si="15"/>
        <v>7.4304032101544237E-3</v>
      </c>
      <c r="D205" s="38">
        <f>MAX($B$2:B205)</f>
        <v>109967.49430000001</v>
      </c>
      <c r="E205" s="40">
        <f t="shared" si="12"/>
        <v>-0.29115418455069775</v>
      </c>
      <c r="F205" s="41">
        <f t="shared" si="13"/>
        <v>70.884581544930228</v>
      </c>
      <c r="G205" s="42" t="str">
        <f t="shared" si="14"/>
        <v>2022-10</v>
      </c>
    </row>
    <row r="206" spans="1:7" x14ac:dyDescent="0.25">
      <c r="A206" s="31">
        <v>44859</v>
      </c>
      <c r="B206" s="32">
        <v>79482.650810000006</v>
      </c>
      <c r="C206" s="33">
        <f t="shared" si="15"/>
        <v>1.9661997126125152E-2</v>
      </c>
      <c r="D206" s="32">
        <f>MAX($B$2:B206)</f>
        <v>109967.49430000001</v>
      </c>
      <c r="E206" s="34">
        <f t="shared" si="12"/>
        <v>-0.27721686016446767</v>
      </c>
      <c r="F206" s="35">
        <f t="shared" si="13"/>
        <v>72.278313983553232</v>
      </c>
      <c r="G206" s="36" t="str">
        <f t="shared" si="14"/>
        <v>2022-10</v>
      </c>
    </row>
    <row r="207" spans="1:7" x14ac:dyDescent="0.25">
      <c r="A207" s="37">
        <v>44860</v>
      </c>
      <c r="B207" s="38">
        <v>77870.526620000004</v>
      </c>
      <c r="C207" s="39">
        <f t="shared" si="15"/>
        <v>-2.0282717971418895E-2</v>
      </c>
      <c r="D207" s="38">
        <f>MAX($B$2:B207)</f>
        <v>109967.49430000001</v>
      </c>
      <c r="E207" s="40">
        <f t="shared" si="12"/>
        <v>-0.2918768667442484</v>
      </c>
      <c r="F207" s="41">
        <f t="shared" si="13"/>
        <v>70.812313325575161</v>
      </c>
      <c r="G207" s="42" t="str">
        <f t="shared" si="14"/>
        <v>2022-10</v>
      </c>
    </row>
    <row r="208" spans="1:7" x14ac:dyDescent="0.25">
      <c r="A208" s="31">
        <v>44861</v>
      </c>
      <c r="B208" s="32">
        <v>76915.032380000004</v>
      </c>
      <c r="C208" s="33">
        <f t="shared" si="15"/>
        <v>-1.2270293800152543E-2</v>
      </c>
      <c r="D208" s="32">
        <f>MAX($B$2:B208)</f>
        <v>109967.49430000001</v>
      </c>
      <c r="E208" s="34">
        <f t="shared" si="12"/>
        <v>-0.30056574563598104</v>
      </c>
      <c r="F208" s="35">
        <f t="shared" si="13"/>
        <v>69.943425436401895</v>
      </c>
      <c r="G208" s="36" t="str">
        <f t="shared" si="14"/>
        <v>2022-10</v>
      </c>
    </row>
    <row r="209" spans="1:7" x14ac:dyDescent="0.25">
      <c r="A209" s="37">
        <v>44862</v>
      </c>
      <c r="B209" s="38">
        <v>79029.617490000004</v>
      </c>
      <c r="C209" s="39">
        <f t="shared" si="15"/>
        <v>2.7492481567879423E-2</v>
      </c>
      <c r="D209" s="38">
        <f>MAX($B$2:B209)</f>
        <v>109967.49430000001</v>
      </c>
      <c r="E209" s="40">
        <f t="shared" si="12"/>
        <v>-0.28133656228993476</v>
      </c>
      <c r="F209" s="41">
        <f t="shared" si="13"/>
        <v>71.866343771006527</v>
      </c>
      <c r="G209" s="42" t="str">
        <f t="shared" si="14"/>
        <v>2022-10</v>
      </c>
    </row>
    <row r="210" spans="1:7" x14ac:dyDescent="0.25">
      <c r="A210" s="31">
        <v>44865</v>
      </c>
      <c r="B210" s="32">
        <v>78316.852679999996</v>
      </c>
      <c r="C210" s="33">
        <f t="shared" si="15"/>
        <v>-9.018958115167397E-3</v>
      </c>
      <c r="D210" s="32">
        <f>MAX($B$2:B210)</f>
        <v>109967.49430000001</v>
      </c>
      <c r="E210" s="34">
        <f t="shared" si="12"/>
        <v>-0.28781815773354402</v>
      </c>
      <c r="F210" s="35">
        <f t="shared" si="13"/>
        <v>71.218184226645604</v>
      </c>
      <c r="G210" s="36" t="str">
        <f t="shared" si="14"/>
        <v>2022-10</v>
      </c>
    </row>
    <row r="211" spans="1:7" x14ac:dyDescent="0.25">
      <c r="A211" s="37">
        <v>44866</v>
      </c>
      <c r="B211" s="38">
        <v>77599.859370000006</v>
      </c>
      <c r="C211" s="39">
        <f t="shared" si="15"/>
        <v>-9.155032224412829E-3</v>
      </c>
      <c r="D211" s="38">
        <f>MAX($B$2:B211)</f>
        <v>109967.49430000001</v>
      </c>
      <c r="E211" s="40">
        <f t="shared" si="12"/>
        <v>-0.29433820544913514</v>
      </c>
      <c r="F211" s="41">
        <f t="shared" si="13"/>
        <v>70.566179455086484</v>
      </c>
      <c r="G211" s="42" t="str">
        <f t="shared" si="14"/>
        <v>2022-11</v>
      </c>
    </row>
    <row r="212" spans="1:7" x14ac:dyDescent="0.25">
      <c r="A212" s="31">
        <v>44867</v>
      </c>
      <c r="B212" s="32">
        <v>75029.779290000006</v>
      </c>
      <c r="C212" s="33">
        <f t="shared" si="15"/>
        <v>-3.3119648680621006E-2</v>
      </c>
      <c r="D212" s="32">
        <f>MAX($B$2:B212)</f>
        <v>109967.49430000001</v>
      </c>
      <c r="E212" s="34">
        <f t="shared" si="12"/>
        <v>-0.31770947617199641</v>
      </c>
      <c r="F212" s="35">
        <f t="shared" si="13"/>
        <v>68.229052382800361</v>
      </c>
      <c r="G212" s="36" t="str">
        <f t="shared" si="14"/>
        <v>2022-11</v>
      </c>
    </row>
    <row r="213" spans="1:7" x14ac:dyDescent="0.25">
      <c r="A213" s="37">
        <v>44868</v>
      </c>
      <c r="B213" s="38">
        <v>73953.886589999995</v>
      </c>
      <c r="C213" s="39">
        <f t="shared" si="15"/>
        <v>-1.4339542381452852E-2</v>
      </c>
      <c r="D213" s="38">
        <f>MAX($B$2:B213)</f>
        <v>109967.49430000001</v>
      </c>
      <c r="E213" s="40">
        <f t="shared" si="12"/>
        <v>-0.32749321005489174</v>
      </c>
      <c r="F213" s="41">
        <f t="shared" si="13"/>
        <v>67.250678994510821</v>
      </c>
      <c r="G213" s="42" t="str">
        <f t="shared" si="14"/>
        <v>2022-11</v>
      </c>
    </row>
    <row r="214" spans="1:7" x14ac:dyDescent="0.25">
      <c r="A214" s="31">
        <v>44869</v>
      </c>
      <c r="B214" s="32">
        <v>74782.305680000005</v>
      </c>
      <c r="C214" s="33">
        <f t="shared" si="15"/>
        <v>1.1201833036751152E-2</v>
      </c>
      <c r="D214" s="32">
        <f>MAX($B$2:B214)</f>
        <v>109967.49430000001</v>
      </c>
      <c r="E214" s="34">
        <f t="shared" si="12"/>
        <v>-0.31995990127784513</v>
      </c>
      <c r="F214" s="35">
        <f t="shared" si="13"/>
        <v>68.004009872215491</v>
      </c>
      <c r="G214" s="36" t="str">
        <f t="shared" si="14"/>
        <v>2022-11</v>
      </c>
    </row>
    <row r="215" spans="1:7" x14ac:dyDescent="0.25">
      <c r="A215" s="37">
        <v>44872</v>
      </c>
      <c r="B215" s="38">
        <v>75010.837140000003</v>
      </c>
      <c r="C215" s="39">
        <f t="shared" si="15"/>
        <v>3.0559563244534349E-3</v>
      </c>
      <c r="D215" s="38">
        <f>MAX($B$2:B215)</f>
        <v>109967.49430000001</v>
      </c>
      <c r="E215" s="40">
        <f t="shared" si="12"/>
        <v>-0.31788172843727336</v>
      </c>
      <c r="F215" s="41">
        <f t="shared" si="13"/>
        <v>68.211827156272662</v>
      </c>
      <c r="G215" s="42" t="str">
        <f t="shared" si="14"/>
        <v>2022-11</v>
      </c>
    </row>
    <row r="216" spans="1:7" x14ac:dyDescent="0.25">
      <c r="A216" s="31">
        <v>44873</v>
      </c>
      <c r="B216" s="32">
        <v>75002.316560000007</v>
      </c>
      <c r="C216" s="33">
        <f t="shared" si="15"/>
        <v>-1.1359131993282645E-4</v>
      </c>
      <c r="D216" s="32">
        <f>MAX($B$2:B216)</f>
        <v>109967.49430000001</v>
      </c>
      <c r="E216" s="34">
        <f t="shared" si="12"/>
        <v>-0.31795921115209036</v>
      </c>
      <c r="F216" s="35">
        <f t="shared" si="13"/>
        <v>68.20407888479096</v>
      </c>
      <c r="G216" s="36" t="str">
        <f t="shared" si="14"/>
        <v>2022-11</v>
      </c>
    </row>
    <row r="217" spans="1:7" x14ac:dyDescent="0.25">
      <c r="A217" s="37">
        <v>44874</v>
      </c>
      <c r="B217" s="38">
        <v>72814.820510000005</v>
      </c>
      <c r="C217" s="39">
        <f t="shared" si="15"/>
        <v>-2.9165713145007488E-2</v>
      </c>
      <c r="D217" s="38">
        <f>MAX($B$2:B217)</f>
        <v>109967.49430000001</v>
      </c>
      <c r="E217" s="40">
        <f t="shared" si="12"/>
        <v>-0.33785141715282307</v>
      </c>
      <c r="F217" s="41">
        <f t="shared" si="13"/>
        <v>66.214858284717693</v>
      </c>
      <c r="G217" s="42" t="str">
        <f t="shared" si="14"/>
        <v>2022-11</v>
      </c>
    </row>
    <row r="218" spans="1:7" x14ac:dyDescent="0.25">
      <c r="A218" s="31">
        <v>44875</v>
      </c>
      <c r="B218" s="32">
        <v>77971.656419999999</v>
      </c>
      <c r="C218" s="33">
        <f t="shared" si="15"/>
        <v>7.0821240427170862E-2</v>
      </c>
      <c r="D218" s="32">
        <f>MAX($B$2:B218)</f>
        <v>109967.49430000001</v>
      </c>
      <c r="E218" s="34">
        <f t="shared" si="12"/>
        <v>-0.29095723316849287</v>
      </c>
      <c r="F218" s="35">
        <f t="shared" si="13"/>
        <v>70.904276683150712</v>
      </c>
      <c r="G218" s="36" t="str">
        <f t="shared" si="14"/>
        <v>2022-11</v>
      </c>
    </row>
    <row r="219" spans="1:7" x14ac:dyDescent="0.25">
      <c r="A219" s="37">
        <v>44876</v>
      </c>
      <c r="B219" s="38">
        <v>79477.6535</v>
      </c>
      <c r="C219" s="39">
        <f t="shared" si="15"/>
        <v>1.9314673422965889E-2</v>
      </c>
      <c r="D219" s="38">
        <f>MAX($B$2:B219)</f>
        <v>109967.49430000001</v>
      </c>
      <c r="E219" s="40">
        <f t="shared" si="12"/>
        <v>-0.27726230368422611</v>
      </c>
      <c r="F219" s="41">
        <f t="shared" si="13"/>
        <v>72.273769631577395</v>
      </c>
      <c r="G219" s="42" t="str">
        <f t="shared" si="14"/>
        <v>2022-11</v>
      </c>
    </row>
    <row r="220" spans="1:7" x14ac:dyDescent="0.25">
      <c r="A220" s="31">
        <v>44879</v>
      </c>
      <c r="B220" s="32">
        <v>78379.064710000006</v>
      </c>
      <c r="C220" s="33">
        <f t="shared" si="15"/>
        <v>-1.3822612289377645E-2</v>
      </c>
      <c r="D220" s="32">
        <f>MAX($B$2:B220)</f>
        <v>109967.49430000001</v>
      </c>
      <c r="E220" s="34">
        <f t="shared" si="12"/>
        <v>-0.28725242664731698</v>
      </c>
      <c r="F220" s="35">
        <f t="shared" si="13"/>
        <v>71.274757335268305</v>
      </c>
      <c r="G220" s="36" t="str">
        <f t="shared" si="14"/>
        <v>2022-11</v>
      </c>
    </row>
    <row r="221" spans="1:7" x14ac:dyDescent="0.25">
      <c r="A221" s="37">
        <v>44880</v>
      </c>
      <c r="B221" s="38">
        <v>79600.017430000007</v>
      </c>
      <c r="C221" s="39">
        <f t="shared" si="15"/>
        <v>1.5577536227530775E-2</v>
      </c>
      <c r="D221" s="38">
        <f>MAX($B$2:B221)</f>
        <v>109967.49430000001</v>
      </c>
      <c r="E221" s="40">
        <f t="shared" si="12"/>
        <v>-0.27614957550233099</v>
      </c>
      <c r="F221" s="41">
        <f t="shared" si="13"/>
        <v>72.3850424497669</v>
      </c>
      <c r="G221" s="42" t="str">
        <f t="shared" si="14"/>
        <v>2022-11</v>
      </c>
    </row>
    <row r="222" spans="1:7" x14ac:dyDescent="0.25">
      <c r="A222" s="31">
        <v>44881</v>
      </c>
      <c r="B222" s="32">
        <v>78553.284939999998</v>
      </c>
      <c r="C222" s="33">
        <f t="shared" si="15"/>
        <v>-1.314990277383421E-2</v>
      </c>
      <c r="D222" s="32">
        <f>MAX($B$2:B222)</f>
        <v>109967.49430000001</v>
      </c>
      <c r="E222" s="34">
        <f t="shared" si="12"/>
        <v>-0.28566813820727388</v>
      </c>
      <c r="F222" s="35">
        <f t="shared" si="13"/>
        <v>71.43318617927261</v>
      </c>
      <c r="G222" s="36" t="str">
        <f t="shared" si="14"/>
        <v>2022-11</v>
      </c>
    </row>
    <row r="223" spans="1:7" x14ac:dyDescent="0.25">
      <c r="A223" s="37">
        <v>44882</v>
      </c>
      <c r="B223" s="38">
        <v>78396.860960000005</v>
      </c>
      <c r="C223" s="39">
        <f t="shared" si="15"/>
        <v>-1.9913104858628738E-3</v>
      </c>
      <c r="D223" s="38">
        <f>MAX($B$2:B223)</f>
        <v>109967.49430000001</v>
      </c>
      <c r="E223" s="40">
        <f t="shared" si="12"/>
        <v>-0.28709059473404763</v>
      </c>
      <c r="F223" s="41">
        <f t="shared" si="13"/>
        <v>71.290940526595236</v>
      </c>
      <c r="G223" s="42" t="str">
        <f t="shared" si="14"/>
        <v>2022-11</v>
      </c>
    </row>
    <row r="224" spans="1:7" x14ac:dyDescent="0.25">
      <c r="A224" s="31">
        <v>44883</v>
      </c>
      <c r="B224" s="32">
        <v>78394.281059999994</v>
      </c>
      <c r="C224" s="33">
        <f t="shared" si="15"/>
        <v>-3.2908205359505338E-5</v>
      </c>
      <c r="D224" s="32">
        <f>MAX($B$2:B224)</f>
        <v>109967.49430000001</v>
      </c>
      <c r="E224" s="34">
        <f t="shared" si="12"/>
        <v>-0.28711405530315892</v>
      </c>
      <c r="F224" s="35">
        <f t="shared" si="13"/>
        <v>71.288594469684114</v>
      </c>
      <c r="G224" s="36" t="str">
        <f t="shared" si="14"/>
        <v>2022-11</v>
      </c>
    </row>
    <row r="225" spans="1:7" x14ac:dyDescent="0.25">
      <c r="A225" s="37">
        <v>44886</v>
      </c>
      <c r="B225" s="38">
        <v>77218.562239999999</v>
      </c>
      <c r="C225" s="39">
        <f t="shared" si="15"/>
        <v>-1.4997507523541675E-2</v>
      </c>
      <c r="D225" s="38">
        <f>MAX($B$2:B225)</f>
        <v>109967.49430000001</v>
      </c>
      <c r="E225" s="40">
        <f t="shared" si="12"/>
        <v>-0.29780556762217691</v>
      </c>
      <c r="F225" s="41">
        <f t="shared" si="13"/>
        <v>70.219443237782315</v>
      </c>
      <c r="G225" s="42" t="str">
        <f t="shared" si="14"/>
        <v>2022-11</v>
      </c>
    </row>
    <row r="226" spans="1:7" x14ac:dyDescent="0.25">
      <c r="A226" s="31">
        <v>44887</v>
      </c>
      <c r="B226" s="32">
        <v>78380.304149999996</v>
      </c>
      <c r="C226" s="33">
        <f t="shared" si="15"/>
        <v>1.5044852899348538E-2</v>
      </c>
      <c r="D226" s="32">
        <f>MAX($B$2:B226)</f>
        <v>109967.49430000001</v>
      </c>
      <c r="E226" s="34">
        <f t="shared" si="12"/>
        <v>-0.28724115568031094</v>
      </c>
      <c r="F226" s="35">
        <f t="shared" si="13"/>
        <v>71.275884431968905</v>
      </c>
      <c r="G226" s="36" t="str">
        <f t="shared" si="14"/>
        <v>2022-11</v>
      </c>
    </row>
    <row r="227" spans="1:7" x14ac:dyDescent="0.25">
      <c r="A227" s="37">
        <v>44888</v>
      </c>
      <c r="B227" s="38">
        <v>79482.886870000002</v>
      </c>
      <c r="C227" s="39">
        <f t="shared" si="15"/>
        <v>1.406708907240195E-2</v>
      </c>
      <c r="D227" s="38">
        <f>MAX($B$2:B227)</f>
        <v>109967.49430000001</v>
      </c>
      <c r="E227" s="40">
        <f t="shared" si="12"/>
        <v>-0.27721471353012361</v>
      </c>
      <c r="F227" s="41">
        <f t="shared" si="13"/>
        <v>72.278528646987638</v>
      </c>
      <c r="G227" s="42" t="str">
        <f t="shared" si="14"/>
        <v>2022-11</v>
      </c>
    </row>
    <row r="228" spans="1:7" x14ac:dyDescent="0.25">
      <c r="A228" s="31">
        <v>44890</v>
      </c>
      <c r="B228" s="32">
        <v>79156.533049999998</v>
      </c>
      <c r="C228" s="33">
        <f t="shared" si="15"/>
        <v>-4.1059633444590071E-3</v>
      </c>
      <c r="D228" s="32">
        <f>MAX($B$2:B228)</f>
        <v>109967.49430000001</v>
      </c>
      <c r="E228" s="34">
        <f t="shared" si="12"/>
        <v>-0.28018244342228327</v>
      </c>
      <c r="F228" s="35">
        <f t="shared" si="13"/>
        <v>71.981755657771672</v>
      </c>
      <c r="G228" s="36" t="str">
        <f t="shared" si="14"/>
        <v>2022-11</v>
      </c>
    </row>
    <row r="229" spans="1:7" x14ac:dyDescent="0.25">
      <c r="A229" s="37">
        <v>44893</v>
      </c>
      <c r="B229" s="38">
        <v>77807.212320000006</v>
      </c>
      <c r="C229" s="39">
        <f t="shared" si="15"/>
        <v>-1.7046233305186287E-2</v>
      </c>
      <c r="D229" s="38">
        <f>MAX($B$2:B229)</f>
        <v>109967.49430000001</v>
      </c>
      <c r="E229" s="40">
        <f t="shared" si="12"/>
        <v>-0.29245262142887618</v>
      </c>
      <c r="F229" s="41">
        <f t="shared" si="13"/>
        <v>70.754737857112389</v>
      </c>
      <c r="G229" s="42" t="str">
        <f t="shared" si="14"/>
        <v>2022-11</v>
      </c>
    </row>
    <row r="230" spans="1:7" x14ac:dyDescent="0.25">
      <c r="A230" s="31">
        <v>44894</v>
      </c>
      <c r="B230" s="32">
        <v>77307.904970000003</v>
      </c>
      <c r="C230" s="33">
        <f t="shared" si="15"/>
        <v>-6.4172373628614832E-3</v>
      </c>
      <c r="D230" s="32">
        <f>MAX($B$2:B230)</f>
        <v>109967.49430000001</v>
      </c>
      <c r="E230" s="34">
        <f t="shared" si="12"/>
        <v>-0.29699312090263752</v>
      </c>
      <c r="F230" s="35">
        <f t="shared" si="13"/>
        <v>70.300687909736254</v>
      </c>
      <c r="G230" s="36" t="str">
        <f t="shared" si="14"/>
        <v>2022-11</v>
      </c>
    </row>
    <row r="231" spans="1:7" x14ac:dyDescent="0.25">
      <c r="A231" s="37">
        <v>44895</v>
      </c>
      <c r="B231" s="38">
        <v>80808.672139999995</v>
      </c>
      <c r="C231" s="39">
        <f t="shared" si="15"/>
        <v>4.5283430864650809E-2</v>
      </c>
      <c r="D231" s="38">
        <f>MAX($B$2:B231)</f>
        <v>109967.49430000001</v>
      </c>
      <c r="E231" s="40">
        <f t="shared" si="12"/>
        <v>-0.2651585574956582</v>
      </c>
      <c r="F231" s="41">
        <f t="shared" si="13"/>
        <v>73.484144250434184</v>
      </c>
      <c r="G231" s="42" t="str">
        <f t="shared" si="14"/>
        <v>2022-11</v>
      </c>
    </row>
    <row r="232" spans="1:7" x14ac:dyDescent="0.25">
      <c r="A232" s="31">
        <v>44896</v>
      </c>
      <c r="B232" s="32">
        <v>80680.407980000004</v>
      </c>
      <c r="C232" s="33">
        <f t="shared" si="15"/>
        <v>-1.5872573648750832E-3</v>
      </c>
      <c r="D232" s="32">
        <f>MAX($B$2:B232)</f>
        <v>109967.49430000001</v>
      </c>
      <c r="E232" s="34">
        <f t="shared" si="12"/>
        <v>-0.26632493998728857</v>
      </c>
      <c r="F232" s="35">
        <f t="shared" si="13"/>
        <v>73.367506001271138</v>
      </c>
      <c r="G232" s="36" t="str">
        <f t="shared" si="14"/>
        <v>2022-12</v>
      </c>
    </row>
    <row r="233" spans="1:7" x14ac:dyDescent="0.25">
      <c r="A233" s="37">
        <v>44897</v>
      </c>
      <c r="B233" s="38">
        <v>80469.574720000004</v>
      </c>
      <c r="C233" s="39">
        <f t="shared" si="15"/>
        <v>-2.6131903057835526E-3</v>
      </c>
      <c r="D233" s="38">
        <f>MAX($B$2:B233)</f>
        <v>109967.49430000001</v>
      </c>
      <c r="E233" s="40">
        <f t="shared" si="12"/>
        <v>-0.26824217254170901</v>
      </c>
      <c r="F233" s="41">
        <f t="shared" si="13"/>
        <v>73.175782745829096</v>
      </c>
      <c r="G233" s="42" t="str">
        <f t="shared" si="14"/>
        <v>2022-12</v>
      </c>
    </row>
    <row r="234" spans="1:7" x14ac:dyDescent="0.25">
      <c r="A234" s="31">
        <v>44900</v>
      </c>
      <c r="B234" s="32">
        <v>78772.612420000005</v>
      </c>
      <c r="C234" s="33">
        <f t="shared" si="15"/>
        <v>-2.1088247401638505E-2</v>
      </c>
      <c r="D234" s="32">
        <f>MAX($B$2:B234)</f>
        <v>109967.49430000001</v>
      </c>
      <c r="E234" s="34">
        <f t="shared" si="12"/>
        <v>-0.28367366264523497</v>
      </c>
      <c r="F234" s="35">
        <f t="shared" si="13"/>
        <v>71.632633735476503</v>
      </c>
      <c r="G234" s="36" t="str">
        <f t="shared" si="14"/>
        <v>2022-12</v>
      </c>
    </row>
    <row r="235" spans="1:7" x14ac:dyDescent="0.25">
      <c r="A235" s="37">
        <v>44901</v>
      </c>
      <c r="B235" s="38">
        <v>77344.827399999995</v>
      </c>
      <c r="C235" s="39">
        <f t="shared" si="15"/>
        <v>-1.8125398868166775E-2</v>
      </c>
      <c r="D235" s="38">
        <f>MAX($B$2:B235)</f>
        <v>109967.49430000001</v>
      </c>
      <c r="E235" s="40">
        <f t="shared" si="12"/>
        <v>-0.29665736322956304</v>
      </c>
      <c r="F235" s="41">
        <f t="shared" si="13"/>
        <v>70.334263677043694</v>
      </c>
      <c r="G235" s="42" t="str">
        <f t="shared" si="14"/>
        <v>2022-12</v>
      </c>
    </row>
    <row r="236" spans="1:7" x14ac:dyDescent="0.25">
      <c r="A236" s="31">
        <v>44902</v>
      </c>
      <c r="B236" s="32">
        <v>76796.210399999996</v>
      </c>
      <c r="C236" s="33">
        <f t="shared" si="15"/>
        <v>-7.0931310915304246E-3</v>
      </c>
      <c r="D236" s="32">
        <f>MAX($B$2:B236)</f>
        <v>109967.49430000001</v>
      </c>
      <c r="E236" s="34">
        <f t="shared" si="12"/>
        <v>-0.30164626475443856</v>
      </c>
      <c r="F236" s="35">
        <f t="shared" si="13"/>
        <v>69.835373524556147</v>
      </c>
      <c r="G236" s="36" t="str">
        <f t="shared" si="14"/>
        <v>2022-12</v>
      </c>
    </row>
    <row r="237" spans="1:7" x14ac:dyDescent="0.25">
      <c r="A237" s="37">
        <v>44903</v>
      </c>
      <c r="B237" s="38">
        <v>77503.532659999997</v>
      </c>
      <c r="C237" s="39">
        <f t="shared" si="15"/>
        <v>9.210379735091756E-3</v>
      </c>
      <c r="D237" s="38">
        <f>MAX($B$2:B237)</f>
        <v>109967.49430000001</v>
      </c>
      <c r="E237" s="40">
        <f t="shared" si="12"/>
        <v>-0.29521416166340719</v>
      </c>
      <c r="F237" s="41">
        <f t="shared" si="13"/>
        <v>70.478583833659286</v>
      </c>
      <c r="G237" s="42" t="str">
        <f t="shared" si="14"/>
        <v>2022-12</v>
      </c>
    </row>
    <row r="238" spans="1:7" x14ac:dyDescent="0.25">
      <c r="A238" s="31">
        <v>44904</v>
      </c>
      <c r="B238" s="32">
        <v>77256.132979999995</v>
      </c>
      <c r="C238" s="33">
        <f t="shared" si="15"/>
        <v>-3.1921084305320813E-3</v>
      </c>
      <c r="D238" s="32">
        <f>MAX($B$2:B238)</f>
        <v>109967.49430000001</v>
      </c>
      <c r="E238" s="34">
        <f t="shared" si="12"/>
        <v>-0.29746391447968101</v>
      </c>
      <c r="F238" s="35">
        <f t="shared" si="13"/>
        <v>70.253608552031892</v>
      </c>
      <c r="G238" s="36" t="str">
        <f t="shared" si="14"/>
        <v>2022-12</v>
      </c>
    </row>
    <row r="239" spans="1:7" x14ac:dyDescent="0.25">
      <c r="A239" s="37">
        <v>44907</v>
      </c>
      <c r="B239" s="38">
        <v>77817.746729999999</v>
      </c>
      <c r="C239" s="39">
        <f t="shared" si="15"/>
        <v>7.269503770598984E-3</v>
      </c>
      <c r="D239" s="38">
        <f>MAX($B$2:B239)</f>
        <v>109967.49430000001</v>
      </c>
      <c r="E239" s="40">
        <f t="shared" si="12"/>
        <v>-0.29235682575700928</v>
      </c>
      <c r="F239" s="41">
        <f t="shared" si="13"/>
        <v>70.764317424299065</v>
      </c>
      <c r="G239" s="42" t="str">
        <f t="shared" si="14"/>
        <v>2022-12</v>
      </c>
    </row>
    <row r="240" spans="1:7" x14ac:dyDescent="0.25">
      <c r="A240" s="31">
        <v>44908</v>
      </c>
      <c r="B240" s="32">
        <v>78172.283779999998</v>
      </c>
      <c r="C240" s="33">
        <f t="shared" si="15"/>
        <v>4.5559922369651229E-3</v>
      </c>
      <c r="D240" s="32">
        <f>MAX($B$2:B240)</f>
        <v>109967.49430000001</v>
      </c>
      <c r="E240" s="34">
        <f t="shared" si="12"/>
        <v>-0.28913280894861682</v>
      </c>
      <c r="F240" s="35">
        <f t="shared" si="13"/>
        <v>71.086719105138314</v>
      </c>
      <c r="G240" s="36" t="str">
        <f t="shared" si="14"/>
        <v>2022-12</v>
      </c>
    </row>
    <row r="241" spans="1:7" x14ac:dyDescent="0.25">
      <c r="A241" s="37">
        <v>44909</v>
      </c>
      <c r="B241" s="38">
        <v>77480.85901</v>
      </c>
      <c r="C241" s="39">
        <f t="shared" si="15"/>
        <v>-8.8448838458636825E-3</v>
      </c>
      <c r="D241" s="38">
        <f>MAX($B$2:B241)</f>
        <v>109967.49430000001</v>
      </c>
      <c r="E241" s="40">
        <f t="shared" si="12"/>
        <v>-0.29542034668330175</v>
      </c>
      <c r="F241" s="41">
        <f t="shared" si="13"/>
        <v>70.457965331669826</v>
      </c>
      <c r="G241" s="42" t="str">
        <f t="shared" si="14"/>
        <v>2022-12</v>
      </c>
    </row>
    <row r="242" spans="1:7" x14ac:dyDescent="0.25">
      <c r="A242" s="31">
        <v>44910</v>
      </c>
      <c r="B242" s="32">
        <v>75362.754570000005</v>
      </c>
      <c r="C242" s="33">
        <f t="shared" si="15"/>
        <v>-2.7337131609842191E-2</v>
      </c>
      <c r="D242" s="32">
        <f>MAX($B$2:B242)</f>
        <v>109967.49430000001</v>
      </c>
      <c r="E242" s="34">
        <f t="shared" si="12"/>
        <v>-0.3146815333956372</v>
      </c>
      <c r="F242" s="35">
        <f t="shared" si="13"/>
        <v>68.531846660436287</v>
      </c>
      <c r="G242" s="36" t="str">
        <f t="shared" si="14"/>
        <v>2022-12</v>
      </c>
    </row>
    <row r="243" spans="1:7" x14ac:dyDescent="0.25">
      <c r="A243" s="37">
        <v>44911</v>
      </c>
      <c r="B243" s="38">
        <v>74175.143200000006</v>
      </c>
      <c r="C243" s="39">
        <f t="shared" si="15"/>
        <v>-1.5758598219720032E-2</v>
      </c>
      <c r="D243" s="38">
        <f>MAX($B$2:B243)</f>
        <v>109967.49430000001</v>
      </c>
      <c r="E243" s="40">
        <f t="shared" si="12"/>
        <v>-0.32548119176341006</v>
      </c>
      <c r="F243" s="41">
        <f t="shared" si="13"/>
        <v>67.451880823658996</v>
      </c>
      <c r="G243" s="42" t="str">
        <f t="shared" si="14"/>
        <v>2022-12</v>
      </c>
    </row>
    <row r="244" spans="1:7" x14ac:dyDescent="0.25">
      <c r="A244" s="31">
        <v>44914</v>
      </c>
      <c r="B244" s="32">
        <v>73332.85282</v>
      </c>
      <c r="C244" s="33">
        <f t="shared" si="15"/>
        <v>-1.135542640920717E-2</v>
      </c>
      <c r="D244" s="32">
        <f>MAX($B$2:B244)</f>
        <v>109967.49430000001</v>
      </c>
      <c r="E244" s="34">
        <f t="shared" si="12"/>
        <v>-0.33314064045196679</v>
      </c>
      <c r="F244" s="35">
        <f t="shared" si="13"/>
        <v>66.685935954803327</v>
      </c>
      <c r="G244" s="36" t="str">
        <f t="shared" si="14"/>
        <v>2022-12</v>
      </c>
    </row>
    <row r="245" spans="1:7" x14ac:dyDescent="0.25">
      <c r="A245" s="37">
        <v>44915</v>
      </c>
      <c r="B245" s="38">
        <v>72833.638210000005</v>
      </c>
      <c r="C245" s="39">
        <f t="shared" si="15"/>
        <v>-6.8075165604881693E-3</v>
      </c>
      <c r="D245" s="38">
        <f>MAX($B$2:B245)</f>
        <v>109967.49430000001</v>
      </c>
      <c r="E245" s="40">
        <f t="shared" si="12"/>
        <v>-0.33768029658560661</v>
      </c>
      <c r="F245" s="41">
        <f t="shared" si="13"/>
        <v>66.231970341439336</v>
      </c>
      <c r="G245" s="42" t="str">
        <f t="shared" si="14"/>
        <v>2022-12</v>
      </c>
    </row>
    <row r="246" spans="1:7" x14ac:dyDescent="0.25">
      <c r="A246" s="31">
        <v>44916</v>
      </c>
      <c r="B246" s="32">
        <v>73848.10007</v>
      </c>
      <c r="C246" s="33">
        <f t="shared" si="15"/>
        <v>1.3928479819654394E-2</v>
      </c>
      <c r="D246" s="32">
        <f>MAX($B$2:B246)</f>
        <v>109967.49430000001</v>
      </c>
      <c r="E246" s="34">
        <f t="shared" si="12"/>
        <v>-0.32845518996243972</v>
      </c>
      <c r="F246" s="35">
        <f t="shared" si="13"/>
        <v>67.154481003756032</v>
      </c>
      <c r="G246" s="36" t="str">
        <f t="shared" si="14"/>
        <v>2022-12</v>
      </c>
    </row>
    <row r="247" spans="1:7" x14ac:dyDescent="0.25">
      <c r="A247" s="37">
        <v>44917</v>
      </c>
      <c r="B247" s="38">
        <v>71947.42813</v>
      </c>
      <c r="C247" s="39">
        <f t="shared" si="15"/>
        <v>-2.5737587537097983E-2</v>
      </c>
      <c r="D247" s="38">
        <f>MAX($B$2:B247)</f>
        <v>109967.49430000001</v>
      </c>
      <c r="E247" s="40">
        <f t="shared" si="12"/>
        <v>-0.34573913329586525</v>
      </c>
      <c r="F247" s="41">
        <f t="shared" si="13"/>
        <v>65.426086670413468</v>
      </c>
      <c r="G247" s="42" t="str">
        <f t="shared" si="14"/>
        <v>2022-12</v>
      </c>
    </row>
    <row r="248" spans="1:7" x14ac:dyDescent="0.25">
      <c r="A248" s="31">
        <v>44918</v>
      </c>
      <c r="B248" s="32">
        <v>72151.879749999993</v>
      </c>
      <c r="C248" s="33">
        <f t="shared" si="15"/>
        <v>2.8416807287479084E-3</v>
      </c>
      <c r="D248" s="32">
        <f>MAX($B$2:B248)</f>
        <v>109967.49430000001</v>
      </c>
      <c r="E248" s="34">
        <f t="shared" si="12"/>
        <v>-0.34387993279937823</v>
      </c>
      <c r="F248" s="35">
        <f t="shared" si="13"/>
        <v>65.612006720062183</v>
      </c>
      <c r="G248" s="36" t="str">
        <f t="shared" si="14"/>
        <v>2022-12</v>
      </c>
    </row>
    <row r="249" spans="1:7" x14ac:dyDescent="0.25">
      <c r="A249" s="37">
        <v>44922</v>
      </c>
      <c r="B249" s="38">
        <v>70957.334589999999</v>
      </c>
      <c r="C249" s="39">
        <f t="shared" si="15"/>
        <v>-1.6555981135058295E-2</v>
      </c>
      <c r="D249" s="38">
        <f>MAX($B$2:B249)</f>
        <v>109967.49430000001</v>
      </c>
      <c r="E249" s="40">
        <f t="shared" si="12"/>
        <v>-0.35474264425428492</v>
      </c>
      <c r="F249" s="41">
        <f t="shared" si="13"/>
        <v>64.525735574571513</v>
      </c>
      <c r="G249" s="42" t="str">
        <f t="shared" si="14"/>
        <v>2022-12</v>
      </c>
    </row>
    <row r="250" spans="1:7" x14ac:dyDescent="0.25">
      <c r="A250" s="31">
        <v>44923</v>
      </c>
      <c r="B250" s="32">
        <v>70147.074110000001</v>
      </c>
      <c r="C250" s="33">
        <f t="shared" si="15"/>
        <v>-1.1418981345364454E-2</v>
      </c>
      <c r="D250" s="32">
        <f>MAX($B$2:B250)</f>
        <v>109967.49430000001</v>
      </c>
      <c r="E250" s="34">
        <f t="shared" si="12"/>
        <v>-0.36211082596250443</v>
      </c>
      <c r="F250" s="35">
        <f t="shared" si="13"/>
        <v>63.788917403749558</v>
      </c>
      <c r="G250" s="36" t="str">
        <f t="shared" si="14"/>
        <v>2022-12</v>
      </c>
    </row>
    <row r="251" spans="1:7" x14ac:dyDescent="0.25">
      <c r="A251" s="37">
        <v>44924</v>
      </c>
      <c r="B251" s="38">
        <v>72093.053780000002</v>
      </c>
      <c r="C251" s="39">
        <f t="shared" si="15"/>
        <v>2.774142321244133E-2</v>
      </c>
      <c r="D251" s="38">
        <f>MAX($B$2:B251)</f>
        <v>109967.49430000001</v>
      </c>
      <c r="E251" s="40">
        <f t="shared" si="12"/>
        <v>-0.34441487242289559</v>
      </c>
      <c r="F251" s="41">
        <f t="shared" si="13"/>
        <v>65.558512757710446</v>
      </c>
      <c r="G251" s="42" t="str">
        <f t="shared" si="14"/>
        <v>2022-12</v>
      </c>
    </row>
    <row r="252" spans="1:7" x14ac:dyDescent="0.25">
      <c r="A252" s="31">
        <v>44925</v>
      </c>
      <c r="B252" s="32">
        <v>71924.264349999998</v>
      </c>
      <c r="C252" s="33">
        <f t="shared" si="15"/>
        <v>-2.3412717474152744E-3</v>
      </c>
      <c r="D252" s="32">
        <f>MAX($B$2:B252)</f>
        <v>109967.49430000001</v>
      </c>
      <c r="E252" s="34">
        <f t="shared" si="12"/>
        <v>-0.34594977536011751</v>
      </c>
      <c r="F252" s="35">
        <f t="shared" si="13"/>
        <v>65.405022463988246</v>
      </c>
      <c r="G252" s="36" t="str">
        <f t="shared" si="14"/>
        <v>2022-12</v>
      </c>
    </row>
    <row r="253" spans="1:7" x14ac:dyDescent="0.25">
      <c r="A253" s="37">
        <v>44929</v>
      </c>
      <c r="B253" s="38">
        <v>70852.756720000005</v>
      </c>
      <c r="C253" s="39">
        <f t="shared" si="15"/>
        <v>-1.4897721091533089E-2</v>
      </c>
      <c r="D253" s="38">
        <f>MAX($B$2:B253)</f>
        <v>109967.49430000001</v>
      </c>
      <c r="E253" s="40">
        <f t="shared" si="12"/>
        <v>-0.35569363318665703</v>
      </c>
      <c r="F253" s="41">
        <f t="shared" si="13"/>
        <v>64.430636681334292</v>
      </c>
      <c r="G253" s="42" t="str">
        <f t="shared" si="14"/>
        <v>2023-01</v>
      </c>
    </row>
    <row r="254" spans="1:7" x14ac:dyDescent="0.25">
      <c r="A254" s="31">
        <v>44930</v>
      </c>
      <c r="B254" s="32">
        <v>71309.793579999998</v>
      </c>
      <c r="C254" s="33">
        <f t="shared" si="15"/>
        <v>6.4505162700463359E-3</v>
      </c>
      <c r="D254" s="32">
        <f>MAX($B$2:B254)</f>
        <v>109967.49430000001</v>
      </c>
      <c r="E254" s="34">
        <f t="shared" si="12"/>
        <v>-0.35153752448463316</v>
      </c>
      <c r="F254" s="35">
        <f t="shared" si="13"/>
        <v>64.846247551536678</v>
      </c>
      <c r="G254" s="36" t="str">
        <f t="shared" si="14"/>
        <v>2023-01</v>
      </c>
    </row>
    <row r="255" spans="1:7" x14ac:dyDescent="0.25">
      <c r="A255" s="37">
        <v>44931</v>
      </c>
      <c r="B255" s="38">
        <v>70218.657860000007</v>
      </c>
      <c r="C255" s="39">
        <f t="shared" si="15"/>
        <v>-1.5301344530970873E-2</v>
      </c>
      <c r="D255" s="38">
        <f>MAX($B$2:B255)</f>
        <v>109967.49430000001</v>
      </c>
      <c r="E255" s="40">
        <f t="shared" si="12"/>
        <v>-0.36145987223789999</v>
      </c>
      <c r="F255" s="41">
        <f t="shared" si="13"/>
        <v>63.854012776209998</v>
      </c>
      <c r="G255" s="42" t="str">
        <f t="shared" si="14"/>
        <v>2023-01</v>
      </c>
    </row>
    <row r="256" spans="1:7" x14ac:dyDescent="0.25">
      <c r="A256" s="31">
        <v>44932</v>
      </c>
      <c r="B256" s="32">
        <v>71918.794569999998</v>
      </c>
      <c r="C256" s="33">
        <f t="shared" si="15"/>
        <v>2.4212036541479742E-2</v>
      </c>
      <c r="D256" s="32">
        <f>MAX($B$2:B256)</f>
        <v>109967.49430000001</v>
      </c>
      <c r="E256" s="34">
        <f t="shared" si="12"/>
        <v>-0.34599951533132278</v>
      </c>
      <c r="F256" s="35">
        <f t="shared" si="13"/>
        <v>65.400048466867716</v>
      </c>
      <c r="G256" s="36" t="str">
        <f t="shared" si="14"/>
        <v>2023-01</v>
      </c>
    </row>
    <row r="257" spans="1:7" x14ac:dyDescent="0.25">
      <c r="A257" s="37">
        <v>44935</v>
      </c>
      <c r="B257" s="38">
        <v>72541.329259999999</v>
      </c>
      <c r="C257" s="39">
        <f t="shared" si="15"/>
        <v>8.6560779240267838E-3</v>
      </c>
      <c r="D257" s="38">
        <f>MAX($B$2:B257)</f>
        <v>109967.49430000001</v>
      </c>
      <c r="E257" s="40">
        <f t="shared" si="12"/>
        <v>-0.34033843617367943</v>
      </c>
      <c r="F257" s="41">
        <f t="shared" si="13"/>
        <v>65.96615638263205</v>
      </c>
      <c r="G257" s="42" t="str">
        <f t="shared" si="14"/>
        <v>2023-01</v>
      </c>
    </row>
    <row r="258" spans="1:7" x14ac:dyDescent="0.25">
      <c r="A258" s="31">
        <v>44936</v>
      </c>
      <c r="B258" s="32">
        <v>73061.939989999999</v>
      </c>
      <c r="C258" s="33">
        <f t="shared" si="15"/>
        <v>7.1767464879786136E-3</v>
      </c>
      <c r="D258" s="32">
        <f>MAX($B$2:B258)</f>
        <v>109967.49430000001</v>
      </c>
      <c r="E258" s="34">
        <f t="shared" ref="E258:E321" si="16">B258/D258-1</f>
        <v>-0.33560421236223448</v>
      </c>
      <c r="F258" s="35">
        <f t="shared" ref="F258:F321" si="17">B258/$B$2*100</f>
        <v>66.439578763776552</v>
      </c>
      <c r="G258" s="36" t="str">
        <f t="shared" ref="G258:G321" si="18">TEXT(A258,"YYYY-MM")</f>
        <v>2023-01</v>
      </c>
    </row>
    <row r="259" spans="1:7" x14ac:dyDescent="0.25">
      <c r="A259" s="37">
        <v>44937</v>
      </c>
      <c r="B259" s="38">
        <v>74494.986619999996</v>
      </c>
      <c r="C259" s="39">
        <f t="shared" ref="C259:C322" si="19">B259/B258-1</f>
        <v>1.9614133298351266E-2</v>
      </c>
      <c r="D259" s="38">
        <f>MAX($B$2:B259)</f>
        <v>109967.49430000001</v>
      </c>
      <c r="E259" s="40">
        <f t="shared" si="16"/>
        <v>-0.32257266482064428</v>
      </c>
      <c r="F259" s="41">
        <f t="shared" si="17"/>
        <v>67.742733517935577</v>
      </c>
      <c r="G259" s="42" t="str">
        <f t="shared" si="18"/>
        <v>2023-01</v>
      </c>
    </row>
    <row r="260" spans="1:7" x14ac:dyDescent="0.25">
      <c r="A260" s="31">
        <v>44938</v>
      </c>
      <c r="B260" s="32">
        <v>75030.997300000003</v>
      </c>
      <c r="C260" s="33">
        <f t="shared" si="19"/>
        <v>7.1952584236869566E-3</v>
      </c>
      <c r="D260" s="32">
        <f>MAX($B$2:B260)</f>
        <v>109967.49430000001</v>
      </c>
      <c r="E260" s="34">
        <f t="shared" si="16"/>
        <v>-0.31769840008075911</v>
      </c>
      <c r="F260" s="35">
        <f t="shared" si="17"/>
        <v>68.230159991924083</v>
      </c>
      <c r="G260" s="36" t="str">
        <f t="shared" si="18"/>
        <v>2023-01</v>
      </c>
    </row>
    <row r="261" spans="1:7" x14ac:dyDescent="0.25">
      <c r="A261" s="37">
        <v>44939</v>
      </c>
      <c r="B261" s="38">
        <v>75371.46067</v>
      </c>
      <c r="C261" s="39">
        <f t="shared" si="19"/>
        <v>4.5376362070559395E-3</v>
      </c>
      <c r="D261" s="38">
        <f>MAX($B$2:B261)</f>
        <v>109967.49430000001</v>
      </c>
      <c r="E261" s="40">
        <f t="shared" si="16"/>
        <v>-0.31460236363683336</v>
      </c>
      <c r="F261" s="41">
        <f t="shared" si="17"/>
        <v>68.539763636316664</v>
      </c>
      <c r="G261" s="42" t="str">
        <f t="shared" si="18"/>
        <v>2023-01</v>
      </c>
    </row>
    <row r="262" spans="1:7" x14ac:dyDescent="0.25">
      <c r="A262" s="31">
        <v>44943</v>
      </c>
      <c r="B262" s="32">
        <v>75900.26096</v>
      </c>
      <c r="C262" s="33">
        <f t="shared" si="19"/>
        <v>7.0159220121162047E-3</v>
      </c>
      <c r="D262" s="32">
        <f>MAX($B$2:B262)</f>
        <v>109967.49430000001</v>
      </c>
      <c r="E262" s="34">
        <f t="shared" si="16"/>
        <v>-0.30979366727282065</v>
      </c>
      <c r="F262" s="35">
        <f t="shared" si="17"/>
        <v>69.02063327271793</v>
      </c>
      <c r="G262" s="36" t="str">
        <f t="shared" si="18"/>
        <v>2023-01</v>
      </c>
    </row>
    <row r="263" spans="1:7" x14ac:dyDescent="0.25">
      <c r="A263" s="37">
        <v>44944</v>
      </c>
      <c r="B263" s="38">
        <v>74913.241460000005</v>
      </c>
      <c r="C263" s="39">
        <f t="shared" si="19"/>
        <v>-1.3004164775140437E-2</v>
      </c>
      <c r="D263" s="38">
        <f>MAX($B$2:B263)</f>
        <v>109967.49430000001</v>
      </c>
      <c r="E263" s="40">
        <f t="shared" si="16"/>
        <v>-0.31876922415245024</v>
      </c>
      <c r="F263" s="41">
        <f t="shared" si="17"/>
        <v>68.123077584754981</v>
      </c>
      <c r="G263" s="42" t="str">
        <f t="shared" si="18"/>
        <v>2023-01</v>
      </c>
    </row>
    <row r="264" spans="1:7" x14ac:dyDescent="0.25">
      <c r="A264" s="31">
        <v>44945</v>
      </c>
      <c r="B264" s="32">
        <v>74321.357669999998</v>
      </c>
      <c r="C264" s="33">
        <f t="shared" si="19"/>
        <v>-7.9009235011682222E-3</v>
      </c>
      <c r="D264" s="32">
        <f>MAX($B$2:B264)</f>
        <v>109967.49430000001</v>
      </c>
      <c r="E264" s="34">
        <f t="shared" si="16"/>
        <v>-0.32415157639906333</v>
      </c>
      <c r="F264" s="35">
        <f t="shared" si="17"/>
        <v>67.58484236009366</v>
      </c>
      <c r="G264" s="36" t="str">
        <f t="shared" si="18"/>
        <v>2023-01</v>
      </c>
    </row>
    <row r="265" spans="1:7" x14ac:dyDescent="0.25">
      <c r="A265" s="37">
        <v>44946</v>
      </c>
      <c r="B265" s="38">
        <v>76361.505409999998</v>
      </c>
      <c r="C265" s="39">
        <f t="shared" si="19"/>
        <v>2.7450356182386004E-2</v>
      </c>
      <c r="D265" s="38">
        <f>MAX($B$2:B265)</f>
        <v>109967.49430000001</v>
      </c>
      <c r="E265" s="40">
        <f t="shared" si="16"/>
        <v>-0.30559929644591355</v>
      </c>
      <c r="F265" s="41">
        <f t="shared" si="17"/>
        <v>69.44007035540865</v>
      </c>
      <c r="G265" s="42" t="str">
        <f t="shared" si="18"/>
        <v>2023-01</v>
      </c>
    </row>
    <row r="266" spans="1:7" x14ac:dyDescent="0.25">
      <c r="A266" s="31">
        <v>44949</v>
      </c>
      <c r="B266" s="32">
        <v>78089.934370000003</v>
      </c>
      <c r="C266" s="33">
        <f t="shared" si="19"/>
        <v>2.2634820394382249E-2</v>
      </c>
      <c r="D266" s="32">
        <f>MAX($B$2:B266)</f>
        <v>109967.49430000001</v>
      </c>
      <c r="E266" s="34">
        <f t="shared" si="16"/>
        <v>-0.28988166123923409</v>
      </c>
      <c r="F266" s="35">
        <f t="shared" si="17"/>
        <v>71.011833876076594</v>
      </c>
      <c r="G266" s="36" t="str">
        <f t="shared" si="18"/>
        <v>2023-01</v>
      </c>
    </row>
    <row r="267" spans="1:7" x14ac:dyDescent="0.25">
      <c r="A267" s="37">
        <v>44950</v>
      </c>
      <c r="B267" s="38">
        <v>77933.477459999995</v>
      </c>
      <c r="C267" s="39">
        <f t="shared" si="19"/>
        <v>-2.0035477204871643E-3</v>
      </c>
      <c r="D267" s="38">
        <f>MAX($B$2:B267)</f>
        <v>109967.49430000001</v>
      </c>
      <c r="E267" s="40">
        <f t="shared" si="16"/>
        <v>-0.29130441721813438</v>
      </c>
      <c r="F267" s="41">
        <f t="shared" si="17"/>
        <v>70.86955827818656</v>
      </c>
      <c r="G267" s="42" t="str">
        <f t="shared" si="18"/>
        <v>2023-01</v>
      </c>
    </row>
    <row r="268" spans="1:7" x14ac:dyDescent="0.25">
      <c r="A268" s="31">
        <v>44951</v>
      </c>
      <c r="B268" s="32">
        <v>77716.787320000003</v>
      </c>
      <c r="C268" s="33">
        <f t="shared" si="19"/>
        <v>-2.7804500333147297E-3</v>
      </c>
      <c r="D268" s="32">
        <f>MAX($B$2:B268)</f>
        <v>109967.49430000001</v>
      </c>
      <c r="E268" s="34">
        <f t="shared" si="16"/>
        <v>-0.29327490987489024</v>
      </c>
      <c r="F268" s="35">
        <f t="shared" si="17"/>
        <v>70.672509012510972</v>
      </c>
      <c r="G268" s="36" t="str">
        <f t="shared" si="18"/>
        <v>2023-01</v>
      </c>
    </row>
    <row r="269" spans="1:7" x14ac:dyDescent="0.25">
      <c r="A269" s="37">
        <v>44952</v>
      </c>
      <c r="B269" s="38">
        <v>79526.479340000005</v>
      </c>
      <c r="C269" s="39">
        <f t="shared" si="19"/>
        <v>2.3285728636061265E-2</v>
      </c>
      <c r="D269" s="38">
        <f>MAX($B$2:B269)</f>
        <v>109967.49430000001</v>
      </c>
      <c r="E269" s="40">
        <f t="shared" si="16"/>
        <v>-0.27681830120594098</v>
      </c>
      <c r="F269" s="41">
        <f t="shared" si="17"/>
        <v>72.3181698794059</v>
      </c>
      <c r="G269" s="42" t="str">
        <f t="shared" si="18"/>
        <v>2023-01</v>
      </c>
    </row>
    <row r="270" spans="1:7" x14ac:dyDescent="0.25">
      <c r="A270" s="31">
        <v>44953</v>
      </c>
      <c r="B270" s="32">
        <v>80808.40324</v>
      </c>
      <c r="C270" s="33">
        <f t="shared" si="19"/>
        <v>1.6119459966527305E-2</v>
      </c>
      <c r="D270" s="32">
        <f>MAX($B$2:B270)</f>
        <v>109967.49430000001</v>
      </c>
      <c r="E270" s="34">
        <f t="shared" si="16"/>
        <v>-0.26516100276370491</v>
      </c>
      <c r="F270" s="35">
        <f t="shared" si="17"/>
        <v>73.483899723629506</v>
      </c>
      <c r="G270" s="36" t="str">
        <f t="shared" si="18"/>
        <v>2023-01</v>
      </c>
    </row>
    <row r="271" spans="1:7" x14ac:dyDescent="0.25">
      <c r="A271" s="37">
        <v>44956</v>
      </c>
      <c r="B271" s="38">
        <v>79122.851599999995</v>
      </c>
      <c r="C271" s="39">
        <f t="shared" si="19"/>
        <v>-2.0858618317131428E-2</v>
      </c>
      <c r="D271" s="38">
        <f>MAX($B$2:B271)</f>
        <v>109967.49430000001</v>
      </c>
      <c r="E271" s="40">
        <f t="shared" si="16"/>
        <v>-0.28048872893160037</v>
      </c>
      <c r="F271" s="41">
        <f t="shared" si="17"/>
        <v>71.951127106839962</v>
      </c>
      <c r="G271" s="42" t="str">
        <f t="shared" si="18"/>
        <v>2023-01</v>
      </c>
    </row>
    <row r="272" spans="1:7" x14ac:dyDescent="0.25">
      <c r="A272" s="31">
        <v>44957</v>
      </c>
      <c r="B272" s="32">
        <v>80362.071509999994</v>
      </c>
      <c r="C272" s="33">
        <f t="shared" si="19"/>
        <v>1.5661972299289673E-2</v>
      </c>
      <c r="D272" s="32">
        <f>MAX($B$2:B272)</f>
        <v>109967.49430000001</v>
      </c>
      <c r="E272" s="34">
        <f t="shared" si="16"/>
        <v>-0.26921976333510045</v>
      </c>
      <c r="F272" s="35">
        <f t="shared" si="17"/>
        <v>73.078023666489955</v>
      </c>
      <c r="G272" s="36" t="str">
        <f t="shared" si="18"/>
        <v>2023-01</v>
      </c>
    </row>
    <row r="273" spans="1:7" x14ac:dyDescent="0.25">
      <c r="A273" s="37">
        <v>44958</v>
      </c>
      <c r="B273" s="38">
        <v>81814.197180000003</v>
      </c>
      <c r="C273" s="39">
        <f t="shared" si="19"/>
        <v>1.80697889279684E-2</v>
      </c>
      <c r="D273" s="38">
        <f>MAX($B$2:B273)</f>
        <v>109967.49430000001</v>
      </c>
      <c r="E273" s="40">
        <f t="shared" si="16"/>
        <v>-0.25601471870583492</v>
      </c>
      <c r="F273" s="41">
        <f t="shared" si="17"/>
        <v>74.398528129416505</v>
      </c>
      <c r="G273" s="42" t="str">
        <f t="shared" si="18"/>
        <v>2023-02</v>
      </c>
    </row>
    <row r="274" spans="1:7" x14ac:dyDescent="0.25">
      <c r="A274" s="31">
        <v>44959</v>
      </c>
      <c r="B274" s="32">
        <v>84149.202650000007</v>
      </c>
      <c r="C274" s="33">
        <f t="shared" si="19"/>
        <v>2.8540345691625335E-2</v>
      </c>
      <c r="D274" s="32">
        <f>MAX($B$2:B274)</f>
        <v>109967.49430000001</v>
      </c>
      <c r="E274" s="34">
        <f t="shared" si="16"/>
        <v>-0.23478112158821829</v>
      </c>
      <c r="F274" s="35">
        <f t="shared" si="17"/>
        <v>76.52188784117817</v>
      </c>
      <c r="G274" s="36" t="str">
        <f t="shared" si="18"/>
        <v>2023-02</v>
      </c>
    </row>
    <row r="275" spans="1:7" x14ac:dyDescent="0.25">
      <c r="A275" s="37">
        <v>44960</v>
      </c>
      <c r="B275" s="38">
        <v>83192.067760000005</v>
      </c>
      <c r="C275" s="39">
        <f t="shared" si="19"/>
        <v>-1.1374259765490446E-2</v>
      </c>
      <c r="D275" s="38">
        <f>MAX($B$2:B275)</f>
        <v>109967.49430000001</v>
      </c>
      <c r="E275" s="40">
        <f t="shared" si="16"/>
        <v>-0.24348491988873111</v>
      </c>
      <c r="F275" s="41">
        <f t="shared" si="17"/>
        <v>75.651508011126893</v>
      </c>
      <c r="G275" s="42" t="str">
        <f t="shared" si="18"/>
        <v>2023-02</v>
      </c>
    </row>
    <row r="276" spans="1:7" x14ac:dyDescent="0.25">
      <c r="A276" s="31">
        <v>44963</v>
      </c>
      <c r="B276" s="32">
        <v>82584.492320000005</v>
      </c>
      <c r="C276" s="33">
        <f t="shared" si="19"/>
        <v>-7.3032857141235308E-3</v>
      </c>
      <c r="D276" s="32">
        <f>MAX($B$2:B276)</f>
        <v>109967.49430000001</v>
      </c>
      <c r="E276" s="34">
        <f t="shared" si="16"/>
        <v>-0.24900996566582678</v>
      </c>
      <c r="F276" s="35">
        <f t="shared" si="17"/>
        <v>75.099003433417323</v>
      </c>
      <c r="G276" s="36" t="str">
        <f t="shared" si="18"/>
        <v>2023-02</v>
      </c>
    </row>
    <row r="277" spans="1:7" x14ac:dyDescent="0.25">
      <c r="A277" s="37">
        <v>44964</v>
      </c>
      <c r="B277" s="38">
        <v>84220.387820000004</v>
      </c>
      <c r="C277" s="39">
        <f t="shared" si="19"/>
        <v>1.9808749246301494E-2</v>
      </c>
      <c r="D277" s="38">
        <f>MAX($B$2:B277)</f>
        <v>109967.49430000001</v>
      </c>
      <c r="E277" s="40">
        <f t="shared" si="16"/>
        <v>-0.23413379238922971</v>
      </c>
      <c r="F277" s="41">
        <f t="shared" si="17"/>
        <v>76.586620761077029</v>
      </c>
      <c r="G277" s="42" t="str">
        <f t="shared" si="18"/>
        <v>2023-02</v>
      </c>
    </row>
    <row r="278" spans="1:7" x14ac:dyDescent="0.25">
      <c r="A278" s="31">
        <v>44965</v>
      </c>
      <c r="B278" s="32">
        <v>83352.82677</v>
      </c>
      <c r="C278" s="33">
        <f t="shared" si="19"/>
        <v>-1.0301081156906977E-2</v>
      </c>
      <c r="D278" s="32">
        <f>MAX($B$2:B278)</f>
        <v>109967.49430000001</v>
      </c>
      <c r="E278" s="34">
        <f t="shared" si="16"/>
        <v>-0.24202304234916083</v>
      </c>
      <c r="F278" s="35">
        <f t="shared" si="17"/>
        <v>75.797695765083915</v>
      </c>
      <c r="G278" s="36" t="str">
        <f t="shared" si="18"/>
        <v>2023-02</v>
      </c>
    </row>
    <row r="279" spans="1:7" x14ac:dyDescent="0.25">
      <c r="A279" s="37">
        <v>44966</v>
      </c>
      <c r="B279" s="38">
        <v>82993.797699999996</v>
      </c>
      <c r="C279" s="39">
        <f t="shared" si="19"/>
        <v>-4.3073412613910955E-3</v>
      </c>
      <c r="D279" s="38">
        <f>MAX($B$2:B279)</f>
        <v>109967.49430000001</v>
      </c>
      <c r="E279" s="40">
        <f t="shared" si="16"/>
        <v>-0.24528790777403398</v>
      </c>
      <c r="F279" s="41">
        <f t="shared" si="17"/>
        <v>75.471209222596599</v>
      </c>
      <c r="G279" s="42" t="str">
        <f t="shared" si="18"/>
        <v>2023-02</v>
      </c>
    </row>
    <row r="280" spans="1:7" x14ac:dyDescent="0.25">
      <c r="A280" s="31">
        <v>44967</v>
      </c>
      <c r="B280" s="32">
        <v>82438.157579999999</v>
      </c>
      <c r="C280" s="33">
        <f t="shared" si="19"/>
        <v>-6.6949595680448892E-3</v>
      </c>
      <c r="D280" s="32">
        <f>MAX($B$2:B280)</f>
        <v>109967.49430000001</v>
      </c>
      <c r="E280" s="34">
        <f t="shared" si="16"/>
        <v>-0.25034067471700139</v>
      </c>
      <c r="F280" s="35">
        <f t="shared" si="17"/>
        <v>74.965932528299859</v>
      </c>
      <c r="G280" s="36" t="str">
        <f t="shared" si="18"/>
        <v>2023-02</v>
      </c>
    </row>
    <row r="281" spans="1:7" x14ac:dyDescent="0.25">
      <c r="A281" s="37">
        <v>44970</v>
      </c>
      <c r="B281" s="38">
        <v>83413.478010000006</v>
      </c>
      <c r="C281" s="39">
        <f t="shared" si="19"/>
        <v>1.1830934346798383E-2</v>
      </c>
      <c r="D281" s="38">
        <f>MAX($B$2:B281)</f>
        <v>109967.49430000001</v>
      </c>
      <c r="E281" s="40">
        <f t="shared" si="16"/>
        <v>-0.24147150445711296</v>
      </c>
      <c r="F281" s="41">
        <f t="shared" si="17"/>
        <v>75.85284955428871</v>
      </c>
      <c r="G281" s="42" t="str">
        <f t="shared" si="18"/>
        <v>2023-02</v>
      </c>
    </row>
    <row r="282" spans="1:7" x14ac:dyDescent="0.25">
      <c r="A282" s="31">
        <v>44971</v>
      </c>
      <c r="B282" s="32">
        <v>84298.313939999993</v>
      </c>
      <c r="C282" s="33">
        <f t="shared" si="19"/>
        <v>1.0607829227476939E-2</v>
      </c>
      <c r="D282" s="32">
        <f>MAX($B$2:B282)</f>
        <v>109967.49430000001</v>
      </c>
      <c r="E282" s="34">
        <f t="shared" si="16"/>
        <v>-0.233425163712219</v>
      </c>
      <c r="F282" s="35">
        <f t="shared" si="17"/>
        <v>76.657483628778095</v>
      </c>
      <c r="G282" s="36" t="str">
        <f t="shared" si="18"/>
        <v>2023-02</v>
      </c>
    </row>
    <row r="283" spans="1:7" x14ac:dyDescent="0.25">
      <c r="A283" s="37">
        <v>44972</v>
      </c>
      <c r="B283" s="38">
        <v>84569.108829999997</v>
      </c>
      <c r="C283" s="39">
        <f t="shared" si="19"/>
        <v>3.2123405243045244E-3</v>
      </c>
      <c r="D283" s="38">
        <f>MAX($B$2:B283)</f>
        <v>109967.49430000001</v>
      </c>
      <c r="E283" s="40">
        <f t="shared" si="16"/>
        <v>-0.23096266430069967</v>
      </c>
      <c r="F283" s="41">
        <f t="shared" si="17"/>
        <v>76.90373356993004</v>
      </c>
      <c r="G283" s="42" t="str">
        <f t="shared" si="18"/>
        <v>2023-02</v>
      </c>
    </row>
    <row r="284" spans="1:7" x14ac:dyDescent="0.25">
      <c r="A284" s="31">
        <v>44973</v>
      </c>
      <c r="B284" s="32">
        <v>82726.819860000003</v>
      </c>
      <c r="C284" s="33">
        <f t="shared" si="19"/>
        <v>-2.1784419813425604E-2</v>
      </c>
      <c r="D284" s="32">
        <f>MAX($B$2:B284)</f>
        <v>109967.49430000001</v>
      </c>
      <c r="E284" s="34">
        <f t="shared" si="16"/>
        <v>-0.24771569647377156</v>
      </c>
      <c r="F284" s="35">
        <f t="shared" si="17"/>
        <v>75.228430352622837</v>
      </c>
      <c r="G284" s="36" t="str">
        <f t="shared" si="18"/>
        <v>2023-02</v>
      </c>
    </row>
    <row r="285" spans="1:7" x14ac:dyDescent="0.25">
      <c r="A285" s="37">
        <v>44974</v>
      </c>
      <c r="B285" s="38">
        <v>82506.263730000006</v>
      </c>
      <c r="C285" s="39">
        <f t="shared" si="19"/>
        <v>-2.666077704585379E-3</v>
      </c>
      <c r="D285" s="38">
        <f>MAX($B$2:B285)</f>
        <v>109967.49430000001</v>
      </c>
      <c r="E285" s="40">
        <f t="shared" si="16"/>
        <v>-0.24972134488291231</v>
      </c>
      <c r="F285" s="41">
        <f t="shared" si="17"/>
        <v>75.027865511708768</v>
      </c>
      <c r="G285" s="42" t="str">
        <f t="shared" si="18"/>
        <v>2023-02</v>
      </c>
    </row>
    <row r="286" spans="1:7" x14ac:dyDescent="0.25">
      <c r="A286" s="31">
        <v>44978</v>
      </c>
      <c r="B286" s="32">
        <v>80358.105949999997</v>
      </c>
      <c r="C286" s="33">
        <f t="shared" si="19"/>
        <v>-2.6036299341221092E-2</v>
      </c>
      <c r="D286" s="32">
        <f>MAX($B$2:B286)</f>
        <v>109967.49430000001</v>
      </c>
      <c r="E286" s="34">
        <f t="shared" si="16"/>
        <v>-0.26925582453686958</v>
      </c>
      <c r="F286" s="35">
        <f t="shared" si="17"/>
        <v>73.074417546313043</v>
      </c>
      <c r="G286" s="36" t="str">
        <f t="shared" si="18"/>
        <v>2023-02</v>
      </c>
    </row>
    <row r="287" spans="1:7" x14ac:dyDescent="0.25">
      <c r="A287" s="37">
        <v>44979</v>
      </c>
      <c r="B287" s="38">
        <v>80416.393909999999</v>
      </c>
      <c r="C287" s="39">
        <f t="shared" si="19"/>
        <v>7.2535258653649848E-4</v>
      </c>
      <c r="D287" s="38">
        <f>MAX($B$2:B287)</f>
        <v>109967.49430000001</v>
      </c>
      <c r="E287" s="40">
        <f t="shared" si="16"/>
        <v>-0.26872577735910097</v>
      </c>
      <c r="F287" s="41">
        <f t="shared" si="17"/>
        <v>73.127422264089901</v>
      </c>
      <c r="G287" s="42" t="str">
        <f t="shared" si="18"/>
        <v>2023-02</v>
      </c>
    </row>
    <row r="288" spans="1:7" x14ac:dyDescent="0.25">
      <c r="A288" s="31">
        <v>44980</v>
      </c>
      <c r="B288" s="32">
        <v>81200.000759999995</v>
      </c>
      <c r="C288" s="33">
        <f t="shared" si="19"/>
        <v>9.7443669368835195E-3</v>
      </c>
      <c r="D288" s="32">
        <f>MAX($B$2:B288)</f>
        <v>109967.49430000001</v>
      </c>
      <c r="E288" s="34">
        <f t="shared" si="16"/>
        <v>-0.26159997300220383</v>
      </c>
      <c r="F288" s="35">
        <f t="shared" si="17"/>
        <v>73.840002699779618</v>
      </c>
      <c r="G288" s="36" t="str">
        <f t="shared" si="18"/>
        <v>2023-02</v>
      </c>
    </row>
    <row r="289" spans="1:7" x14ac:dyDescent="0.25">
      <c r="A289" s="37">
        <v>44981</v>
      </c>
      <c r="B289" s="38">
        <v>79867.000050000002</v>
      </c>
      <c r="C289" s="39">
        <f t="shared" si="19"/>
        <v>-1.641626474782798E-2</v>
      </c>
      <c r="D289" s="38">
        <f>MAX($B$2:B289)</f>
        <v>109967.49430000001</v>
      </c>
      <c r="E289" s="40">
        <f t="shared" si="16"/>
        <v>-0.27372174333520305</v>
      </c>
      <c r="F289" s="41">
        <f t="shared" si="17"/>
        <v>72.627825666479694</v>
      </c>
      <c r="G289" s="42" t="str">
        <f t="shared" si="18"/>
        <v>2023-02</v>
      </c>
    </row>
    <row r="290" spans="1:7" x14ac:dyDescent="0.25">
      <c r="A290" s="31">
        <v>44984</v>
      </c>
      <c r="B290" s="32">
        <v>80589.252200000003</v>
      </c>
      <c r="C290" s="33">
        <f t="shared" si="19"/>
        <v>9.0431861663495816E-3</v>
      </c>
      <c r="D290" s="32">
        <f>MAX($B$2:B290)</f>
        <v>109967.49430000001</v>
      </c>
      <c r="E290" s="34">
        <f t="shared" si="16"/>
        <v>-0.26715387385161149</v>
      </c>
      <c r="F290" s="35">
        <f t="shared" si="17"/>
        <v>73.284612614838849</v>
      </c>
      <c r="G290" s="36" t="str">
        <f t="shared" si="18"/>
        <v>2023-02</v>
      </c>
    </row>
    <row r="291" spans="1:7" x14ac:dyDescent="0.25">
      <c r="A291" s="37">
        <v>44985</v>
      </c>
      <c r="B291" s="38">
        <v>80322.613070000007</v>
      </c>
      <c r="C291" s="39">
        <f t="shared" si="19"/>
        <v>-3.3086189872847394E-3</v>
      </c>
      <c r="D291" s="38">
        <f>MAX($B$2:B291)</f>
        <v>109967.49430000001</v>
      </c>
      <c r="E291" s="40">
        <f t="shared" si="16"/>
        <v>-0.26957858245934407</v>
      </c>
      <c r="F291" s="41">
        <f t="shared" si="17"/>
        <v>73.042141754065597</v>
      </c>
      <c r="G291" s="42" t="str">
        <f t="shared" si="18"/>
        <v>2023-02</v>
      </c>
    </row>
    <row r="292" spans="1:7" x14ac:dyDescent="0.25">
      <c r="A292" s="31">
        <v>44986</v>
      </c>
      <c r="B292" s="32">
        <v>79745.207139999999</v>
      </c>
      <c r="C292" s="33">
        <f t="shared" si="19"/>
        <v>-7.1885849816266667E-3</v>
      </c>
      <c r="D292" s="32">
        <f>MAX($B$2:B292)</f>
        <v>109967.49430000001</v>
      </c>
      <c r="E292" s="34">
        <f t="shared" si="16"/>
        <v>-0.27482927889173525</v>
      </c>
      <c r="F292" s="35">
        <f t="shared" si="17"/>
        <v>72.517072110826476</v>
      </c>
      <c r="G292" s="36" t="str">
        <f t="shared" si="18"/>
        <v>2023-03</v>
      </c>
    </row>
    <row r="293" spans="1:7" x14ac:dyDescent="0.25">
      <c r="A293" s="37">
        <v>44987</v>
      </c>
      <c r="B293" s="38">
        <v>79802.394620000006</v>
      </c>
      <c r="C293" s="39">
        <f t="shared" si="19"/>
        <v>7.1712748704277907E-4</v>
      </c>
      <c r="D293" s="38">
        <f>MAX($B$2:B293)</f>
        <v>109967.49430000001</v>
      </c>
      <c r="E293" s="40">
        <f t="shared" si="16"/>
        <v>-0.27430923903482995</v>
      </c>
      <c r="F293" s="41">
        <f t="shared" si="17"/>
        <v>72.569076096517009</v>
      </c>
      <c r="G293" s="42" t="str">
        <f t="shared" si="18"/>
        <v>2023-03</v>
      </c>
    </row>
    <row r="294" spans="1:7" x14ac:dyDescent="0.25">
      <c r="A294" s="31">
        <v>44988</v>
      </c>
      <c r="B294" s="32">
        <v>81432.968309999997</v>
      </c>
      <c r="C294" s="33">
        <f t="shared" si="19"/>
        <v>2.0432641122668072E-2</v>
      </c>
      <c r="D294" s="32">
        <f>MAX($B$2:B294)</f>
        <v>109967.49430000001</v>
      </c>
      <c r="E294" s="34">
        <f t="shared" si="16"/>
        <v>-0.25948146014999274</v>
      </c>
      <c r="F294" s="35">
        <f t="shared" si="17"/>
        <v>74.051853985000733</v>
      </c>
      <c r="G294" s="36" t="str">
        <f t="shared" si="18"/>
        <v>2023-03</v>
      </c>
    </row>
    <row r="295" spans="1:7" x14ac:dyDescent="0.25">
      <c r="A295" s="37">
        <v>44991</v>
      </c>
      <c r="B295" s="38">
        <v>81484.374960000001</v>
      </c>
      <c r="C295" s="39">
        <f t="shared" si="19"/>
        <v>6.3127564998377572E-4</v>
      </c>
      <c r="D295" s="38">
        <f>MAX($B$2:B295)</f>
        <v>109967.49430000001</v>
      </c>
      <c r="E295" s="40">
        <f t="shared" si="16"/>
        <v>-0.25901398882742388</v>
      </c>
      <c r="F295" s="41">
        <f t="shared" si="17"/>
        <v>74.098601117257616</v>
      </c>
      <c r="G295" s="42" t="str">
        <f t="shared" si="18"/>
        <v>2023-03</v>
      </c>
    </row>
    <row r="296" spans="1:7" x14ac:dyDescent="0.25">
      <c r="A296" s="31">
        <v>44992</v>
      </c>
      <c r="B296" s="32">
        <v>80203.916819999999</v>
      </c>
      <c r="C296" s="33">
        <f t="shared" si="19"/>
        <v>-1.5714155512987271E-2</v>
      </c>
      <c r="D296" s="32">
        <f>MAX($B$2:B296)</f>
        <v>109967.49430000001</v>
      </c>
      <c r="E296" s="34">
        <f t="shared" si="16"/>
        <v>-0.27065795823993788</v>
      </c>
      <c r="F296" s="35">
        <f t="shared" si="17"/>
        <v>72.934204176006219</v>
      </c>
      <c r="G296" s="36" t="str">
        <f t="shared" si="18"/>
        <v>2023-03</v>
      </c>
    </row>
    <row r="297" spans="1:7" x14ac:dyDescent="0.25">
      <c r="A297" s="37">
        <v>44993</v>
      </c>
      <c r="B297" s="38">
        <v>80310.017110000001</v>
      </c>
      <c r="C297" s="39">
        <f t="shared" si="19"/>
        <v>1.3228816522530273E-3</v>
      </c>
      <c r="D297" s="38">
        <f>MAX($B$2:B297)</f>
        <v>109967.49430000001</v>
      </c>
      <c r="E297" s="40">
        <f t="shared" si="16"/>
        <v>-0.26969312503467679</v>
      </c>
      <c r="F297" s="41">
        <f t="shared" si="17"/>
        <v>73.030687496532323</v>
      </c>
      <c r="G297" s="42" t="str">
        <f t="shared" si="18"/>
        <v>2023-03</v>
      </c>
    </row>
    <row r="298" spans="1:7" x14ac:dyDescent="0.25">
      <c r="A298" s="31">
        <v>44994</v>
      </c>
      <c r="B298" s="32">
        <v>78685.434469999993</v>
      </c>
      <c r="C298" s="33">
        <f t="shared" si="19"/>
        <v>-2.0228891718138131E-2</v>
      </c>
      <c r="D298" s="32">
        <f>MAX($B$2:B298)</f>
        <v>109967.49430000001</v>
      </c>
      <c r="E298" s="34">
        <f t="shared" si="16"/>
        <v>-0.28446642372936215</v>
      </c>
      <c r="F298" s="35">
        <f t="shared" si="17"/>
        <v>71.553357627063789</v>
      </c>
      <c r="G298" s="36" t="str">
        <f t="shared" si="18"/>
        <v>2023-03</v>
      </c>
    </row>
    <row r="299" spans="1:7" x14ac:dyDescent="0.25">
      <c r="A299" s="37">
        <v>44995</v>
      </c>
      <c r="B299" s="38">
        <v>77626.005210000003</v>
      </c>
      <c r="C299" s="39">
        <f t="shared" si="19"/>
        <v>-1.3464108918454398E-2</v>
      </c>
      <c r="D299" s="38">
        <f>MAX($B$2:B299)</f>
        <v>109967.49430000001</v>
      </c>
      <c r="E299" s="40">
        <f t="shared" si="16"/>
        <v>-0.29410044573508121</v>
      </c>
      <c r="F299" s="41">
        <f t="shared" si="17"/>
        <v>70.589955426491883</v>
      </c>
      <c r="G299" s="42" t="str">
        <f t="shared" si="18"/>
        <v>2023-03</v>
      </c>
    </row>
    <row r="300" spans="1:7" x14ac:dyDescent="0.25">
      <c r="A300" s="31">
        <v>44998</v>
      </c>
      <c r="B300" s="32">
        <v>77995.541549999994</v>
      </c>
      <c r="C300" s="33">
        <f t="shared" si="19"/>
        <v>4.7604709143578283E-3</v>
      </c>
      <c r="D300" s="32">
        <f>MAX($B$2:B300)</f>
        <v>109967.49430000001</v>
      </c>
      <c r="E300" s="34">
        <f t="shared" si="16"/>
        <v>-0.29074003143854488</v>
      </c>
      <c r="F300" s="35">
        <f t="shared" si="17"/>
        <v>70.925996856145517</v>
      </c>
      <c r="G300" s="36" t="str">
        <f t="shared" si="18"/>
        <v>2023-03</v>
      </c>
    </row>
    <row r="301" spans="1:7" x14ac:dyDescent="0.25">
      <c r="A301" s="37">
        <v>44999</v>
      </c>
      <c r="B301" s="38">
        <v>79725.442139999999</v>
      </c>
      <c r="C301" s="39">
        <f t="shared" si="19"/>
        <v>2.2179480462880541E-2</v>
      </c>
      <c r="D301" s="38">
        <f>MAX($B$2:B301)</f>
        <v>109967.49430000001</v>
      </c>
      <c r="E301" s="40">
        <f t="shared" si="16"/>
        <v>-0.27500901382273291</v>
      </c>
      <c r="F301" s="41">
        <f t="shared" si="17"/>
        <v>72.499098617726716</v>
      </c>
      <c r="G301" s="42" t="str">
        <f t="shared" si="18"/>
        <v>2023-03</v>
      </c>
    </row>
    <row r="302" spans="1:7" x14ac:dyDescent="0.25">
      <c r="A302" s="31">
        <v>45000</v>
      </c>
      <c r="B302" s="32">
        <v>79558.169039999993</v>
      </c>
      <c r="C302" s="33">
        <f t="shared" si="19"/>
        <v>-2.0981144225737935E-3</v>
      </c>
      <c r="D302" s="32">
        <f>MAX($B$2:B302)</f>
        <v>109967.49430000001</v>
      </c>
      <c r="E302" s="34">
        <f t="shared" si="16"/>
        <v>-0.27653012786706743</v>
      </c>
      <c r="F302" s="35">
        <f t="shared" si="17"/>
        <v>72.346987213293261</v>
      </c>
      <c r="G302" s="36" t="str">
        <f t="shared" si="18"/>
        <v>2023-03</v>
      </c>
    </row>
    <row r="303" spans="1:7" x14ac:dyDescent="0.25">
      <c r="A303" s="37">
        <v>45001</v>
      </c>
      <c r="B303" s="38">
        <v>81557.154939999993</v>
      </c>
      <c r="C303" s="39">
        <f t="shared" si="19"/>
        <v>2.5126092318627391E-2</v>
      </c>
      <c r="D303" s="38">
        <f>MAX($B$2:B303)</f>
        <v>109967.49430000001</v>
      </c>
      <c r="E303" s="40">
        <f t="shared" si="16"/>
        <v>-0.25835215707010983</v>
      </c>
      <c r="F303" s="41">
        <f t="shared" si="17"/>
        <v>74.164784292989012</v>
      </c>
      <c r="G303" s="42" t="str">
        <f t="shared" si="18"/>
        <v>2023-03</v>
      </c>
    </row>
    <row r="304" spans="1:7" x14ac:dyDescent="0.25">
      <c r="A304" s="31">
        <v>45002</v>
      </c>
      <c r="B304" s="32">
        <v>81034.453659999999</v>
      </c>
      <c r="C304" s="33">
        <f t="shared" si="19"/>
        <v>-6.4090180730866919E-3</v>
      </c>
      <c r="D304" s="32">
        <f>MAX($B$2:B304)</f>
        <v>109967.49430000001</v>
      </c>
      <c r="E304" s="34">
        <f t="shared" si="16"/>
        <v>-0.26310539149931333</v>
      </c>
      <c r="F304" s="35">
        <f t="shared" si="17"/>
        <v>73.68946085006867</v>
      </c>
      <c r="G304" s="36" t="str">
        <f t="shared" si="18"/>
        <v>2023-03</v>
      </c>
    </row>
    <row r="305" spans="1:7" x14ac:dyDescent="0.25">
      <c r="A305" s="37">
        <v>45005</v>
      </c>
      <c r="B305" s="38">
        <v>81390.868170000002</v>
      </c>
      <c r="C305" s="39">
        <f t="shared" si="19"/>
        <v>4.3983082985346034E-3</v>
      </c>
      <c r="D305" s="38">
        <f>MAX($B$2:B305)</f>
        <v>109967.49430000001</v>
      </c>
      <c r="E305" s="40">
        <f t="shared" si="16"/>
        <v>-0.25986430182759923</v>
      </c>
      <c r="F305" s="41">
        <f t="shared" si="17"/>
        <v>74.013569817240082</v>
      </c>
      <c r="G305" s="42" t="str">
        <f t="shared" si="18"/>
        <v>2023-03</v>
      </c>
    </row>
    <row r="306" spans="1:7" x14ac:dyDescent="0.25">
      <c r="A306" s="31">
        <v>45006</v>
      </c>
      <c r="B306" s="32">
        <v>83145.106960000005</v>
      </c>
      <c r="C306" s="33">
        <f t="shared" si="19"/>
        <v>2.1553263031129699E-2</v>
      </c>
      <c r="D306" s="32">
        <f>MAX($B$2:B306)</f>
        <v>109967.49430000001</v>
      </c>
      <c r="E306" s="34">
        <f t="shared" si="16"/>
        <v>-0.24391196244616076</v>
      </c>
      <c r="F306" s="35">
        <f t="shared" si="17"/>
        <v>75.608803755383917</v>
      </c>
      <c r="G306" s="36" t="str">
        <f t="shared" si="18"/>
        <v>2023-03</v>
      </c>
    </row>
    <row r="307" spans="1:7" x14ac:dyDescent="0.25">
      <c r="A307" s="37">
        <v>45007</v>
      </c>
      <c r="B307" s="38">
        <v>81917.017309999996</v>
      </c>
      <c r="C307" s="39">
        <f t="shared" si="19"/>
        <v>-1.4770438031799338E-2</v>
      </c>
      <c r="D307" s="38">
        <f>MAX($B$2:B307)</f>
        <v>109967.49430000001</v>
      </c>
      <c r="E307" s="40">
        <f t="shared" si="16"/>
        <v>-0.25507971395143458</v>
      </c>
      <c r="F307" s="41">
        <f t="shared" si="17"/>
        <v>74.492028604856543</v>
      </c>
      <c r="G307" s="42" t="str">
        <f t="shared" si="18"/>
        <v>2023-03</v>
      </c>
    </row>
    <row r="308" spans="1:7" x14ac:dyDescent="0.25">
      <c r="A308" s="31">
        <v>45008</v>
      </c>
      <c r="B308" s="32">
        <v>82654.560089999999</v>
      </c>
      <c r="C308" s="33">
        <f t="shared" si="19"/>
        <v>9.0035355805120343E-3</v>
      </c>
      <c r="D308" s="32">
        <f>MAX($B$2:B308)</f>
        <v>109967.49430000001</v>
      </c>
      <c r="E308" s="34">
        <f t="shared" si="16"/>
        <v>-0.24837279765135112</v>
      </c>
      <c r="F308" s="35">
        <f t="shared" si="17"/>
        <v>75.162720234864892</v>
      </c>
      <c r="G308" s="36" t="str">
        <f t="shared" si="18"/>
        <v>2023-03</v>
      </c>
    </row>
    <row r="309" spans="1:7" x14ac:dyDescent="0.25">
      <c r="A309" s="37">
        <v>45009</v>
      </c>
      <c r="B309" s="38">
        <v>82875.923479999998</v>
      </c>
      <c r="C309" s="39">
        <f t="shared" si="19"/>
        <v>2.6781751637050544E-3</v>
      </c>
      <c r="D309" s="38">
        <f>MAX($B$2:B309)</f>
        <v>109967.49430000001</v>
      </c>
      <c r="E309" s="40">
        <f t="shared" si="16"/>
        <v>-0.24635980834565585</v>
      </c>
      <c r="F309" s="41">
        <f t="shared" si="17"/>
        <v>75.364019165434414</v>
      </c>
      <c r="G309" s="42" t="str">
        <f t="shared" si="18"/>
        <v>2023-03</v>
      </c>
    </row>
    <row r="310" spans="1:7" x14ac:dyDescent="0.25">
      <c r="A310" s="31">
        <v>45012</v>
      </c>
      <c r="B310" s="32">
        <v>82440.311430000002</v>
      </c>
      <c r="C310" s="33">
        <f t="shared" si="19"/>
        <v>-5.2561954269519928E-3</v>
      </c>
      <c r="D310" s="32">
        <f>MAX($B$2:B310)</f>
        <v>109967.49430000001</v>
      </c>
      <c r="E310" s="34">
        <f t="shared" si="16"/>
        <v>-0.25032108847459666</v>
      </c>
      <c r="F310" s="35">
        <f t="shared" si="17"/>
        <v>74.967891152540332</v>
      </c>
      <c r="G310" s="36" t="str">
        <f t="shared" si="18"/>
        <v>2023-03</v>
      </c>
    </row>
    <row r="311" spans="1:7" x14ac:dyDescent="0.25">
      <c r="A311" s="37">
        <v>45013</v>
      </c>
      <c r="B311" s="38">
        <v>82067.850630000001</v>
      </c>
      <c r="C311" s="39">
        <f t="shared" si="19"/>
        <v>-4.5179450870495019E-3</v>
      </c>
      <c r="D311" s="38">
        <f>MAX($B$2:B311)</f>
        <v>109967.49430000001</v>
      </c>
      <c r="E311" s="40">
        <f t="shared" si="16"/>
        <v>-0.25370809662978744</v>
      </c>
      <c r="F311" s="41">
        <f t="shared" si="17"/>
        <v>74.629190337021257</v>
      </c>
      <c r="G311" s="42" t="str">
        <f t="shared" si="18"/>
        <v>2023-03</v>
      </c>
    </row>
    <row r="312" spans="1:7" x14ac:dyDescent="0.25">
      <c r="A312" s="31">
        <v>45014</v>
      </c>
      <c r="B312" s="32">
        <v>83657.110820000002</v>
      </c>
      <c r="C312" s="33">
        <f t="shared" si="19"/>
        <v>1.9365198159814412E-2</v>
      </c>
      <c r="D312" s="32">
        <f>MAX($B$2:B312)</f>
        <v>109967.49430000001</v>
      </c>
      <c r="E312" s="34">
        <f t="shared" si="16"/>
        <v>-0.2392560060359582</v>
      </c>
      <c r="F312" s="35">
        <f t="shared" si="17"/>
        <v>76.074399396404175</v>
      </c>
      <c r="G312" s="36" t="str">
        <f t="shared" si="18"/>
        <v>2023-03</v>
      </c>
    </row>
    <row r="313" spans="1:7" x14ac:dyDescent="0.25">
      <c r="A313" s="37">
        <v>45015</v>
      </c>
      <c r="B313" s="38">
        <v>84228.556230000002</v>
      </c>
      <c r="C313" s="39">
        <f t="shared" si="19"/>
        <v>6.8308049895429157E-3</v>
      </c>
      <c r="D313" s="38">
        <f>MAX($B$2:B313)</f>
        <v>109967.49430000001</v>
      </c>
      <c r="E313" s="40">
        <f t="shared" si="16"/>
        <v>-0.23405951216622389</v>
      </c>
      <c r="F313" s="41">
        <f t="shared" si="17"/>
        <v>76.594048783377616</v>
      </c>
      <c r="G313" s="42" t="str">
        <f t="shared" si="18"/>
        <v>2023-03</v>
      </c>
    </row>
    <row r="314" spans="1:7" x14ac:dyDescent="0.25">
      <c r="A314" s="31">
        <v>45016</v>
      </c>
      <c r="B314" s="32">
        <v>85735.978889999999</v>
      </c>
      <c r="C314" s="33">
        <f t="shared" si="19"/>
        <v>1.7896812286366748E-2</v>
      </c>
      <c r="D314" s="32">
        <f>MAX($B$2:B314)</f>
        <v>109967.49430000001</v>
      </c>
      <c r="E314" s="34">
        <f t="shared" si="16"/>
        <v>-0.22035161903293454</v>
      </c>
      <c r="F314" s="35">
        <f t="shared" si="17"/>
        <v>77.964838096706544</v>
      </c>
      <c r="G314" s="36" t="str">
        <f t="shared" si="18"/>
        <v>2023-03</v>
      </c>
    </row>
    <row r="315" spans="1:7" x14ac:dyDescent="0.25">
      <c r="A315" s="37">
        <v>45019</v>
      </c>
      <c r="B315" s="38">
        <v>85318.596590000001</v>
      </c>
      <c r="C315" s="39">
        <f t="shared" si="19"/>
        <v>-4.8682280811828127E-3</v>
      </c>
      <c r="D315" s="38">
        <f>MAX($B$2:B315)</f>
        <v>109967.49430000001</v>
      </c>
      <c r="E315" s="40">
        <f t="shared" si="16"/>
        <v>-0.22414712517460722</v>
      </c>
      <c r="F315" s="41">
        <f t="shared" si="17"/>
        <v>77.585287482539272</v>
      </c>
      <c r="G315" s="42" t="str">
        <f t="shared" si="18"/>
        <v>2023-04</v>
      </c>
    </row>
    <row r="316" spans="1:7" x14ac:dyDescent="0.25">
      <c r="A316" s="31">
        <v>45020</v>
      </c>
      <c r="B316" s="32">
        <v>84873.10123</v>
      </c>
      <c r="C316" s="33">
        <f t="shared" si="19"/>
        <v>-5.2215504919851385E-3</v>
      </c>
      <c r="D316" s="32">
        <f>MAX($B$2:B316)</f>
        <v>109967.49430000001</v>
      </c>
      <c r="E316" s="34">
        <f t="shared" si="16"/>
        <v>-0.22819828013485988</v>
      </c>
      <c r="F316" s="35">
        <f t="shared" si="17"/>
        <v>77.180171986514011</v>
      </c>
      <c r="G316" s="36" t="str">
        <f t="shared" si="18"/>
        <v>2023-04</v>
      </c>
    </row>
    <row r="317" spans="1:7" x14ac:dyDescent="0.25">
      <c r="A317" s="37">
        <v>45021</v>
      </c>
      <c r="B317" s="38">
        <v>83994.693280000007</v>
      </c>
      <c r="C317" s="39">
        <f t="shared" si="19"/>
        <v>-1.0349662463959852E-2</v>
      </c>
      <c r="D317" s="38">
        <f>MAX($B$2:B317)</f>
        <v>109967.49430000001</v>
      </c>
      <c r="E317" s="40">
        <f t="shared" si="16"/>
        <v>-0.23618616742456777</v>
      </c>
      <c r="F317" s="41">
        <f t="shared" si="17"/>
        <v>76.38138325754322</v>
      </c>
      <c r="G317" s="42" t="str">
        <f t="shared" si="18"/>
        <v>2023-04</v>
      </c>
    </row>
    <row r="318" spans="1:7" x14ac:dyDescent="0.25">
      <c r="A318" s="31">
        <v>45022</v>
      </c>
      <c r="B318" s="32">
        <v>84724.728489999994</v>
      </c>
      <c r="C318" s="33">
        <f t="shared" si="19"/>
        <v>8.691444441214724E-3</v>
      </c>
      <c r="D318" s="32">
        <f>MAX($B$2:B318)</f>
        <v>109967.49430000001</v>
      </c>
      <c r="E318" s="34">
        <f t="shared" si="16"/>
        <v>-0.22954752193530714</v>
      </c>
      <c r="F318" s="35">
        <f t="shared" si="17"/>
        <v>77.045247806469291</v>
      </c>
      <c r="G318" s="36" t="str">
        <f t="shared" si="18"/>
        <v>2023-04</v>
      </c>
    </row>
    <row r="319" spans="1:7" x14ac:dyDescent="0.25">
      <c r="A319" s="37">
        <v>45026</v>
      </c>
      <c r="B319" s="38">
        <v>84579.923269999999</v>
      </c>
      <c r="C319" s="39">
        <f t="shared" si="19"/>
        <v>-1.709125807550782E-3</v>
      </c>
      <c r="D319" s="38">
        <f>MAX($B$2:B319)</f>
        <v>109967.49430000001</v>
      </c>
      <c r="E319" s="40">
        <f t="shared" si="16"/>
        <v>-0.23086432214905894</v>
      </c>
      <c r="F319" s="41">
        <f t="shared" si="17"/>
        <v>76.913567785094102</v>
      </c>
      <c r="G319" s="42" t="str">
        <f t="shared" si="18"/>
        <v>2023-04</v>
      </c>
    </row>
    <row r="320" spans="1:7" x14ac:dyDescent="0.25">
      <c r="A320" s="31">
        <v>45027</v>
      </c>
      <c r="B320" s="32">
        <v>84260.653590000002</v>
      </c>
      <c r="C320" s="33">
        <f t="shared" si="19"/>
        <v>-3.7747690900689079E-3</v>
      </c>
      <c r="D320" s="32">
        <f>MAX($B$2:B320)</f>
        <v>109967.49430000001</v>
      </c>
      <c r="E320" s="34">
        <f t="shared" si="16"/>
        <v>-0.23376763173187987</v>
      </c>
      <c r="F320" s="35">
        <f t="shared" si="17"/>
        <v>76.623236826812018</v>
      </c>
      <c r="G320" s="36" t="str">
        <f t="shared" si="18"/>
        <v>2023-04</v>
      </c>
    </row>
    <row r="321" spans="1:7" x14ac:dyDescent="0.25">
      <c r="A321" s="37">
        <v>45028</v>
      </c>
      <c r="B321" s="38">
        <v>83498.531650000004</v>
      </c>
      <c r="C321" s="39">
        <f t="shared" si="19"/>
        <v>-9.044814009019797E-3</v>
      </c>
      <c r="D321" s="38">
        <f>MAX($B$2:B321)</f>
        <v>109967.49430000001</v>
      </c>
      <c r="E321" s="40">
        <f t="shared" si="16"/>
        <v>-0.2406980609905558</v>
      </c>
      <c r="F321" s="41">
        <f t="shared" si="17"/>
        <v>75.930193900944417</v>
      </c>
      <c r="G321" s="42" t="str">
        <f t="shared" si="18"/>
        <v>2023-04</v>
      </c>
    </row>
    <row r="322" spans="1:7" x14ac:dyDescent="0.25">
      <c r="A322" s="31">
        <v>45029</v>
      </c>
      <c r="B322" s="32">
        <v>85117.783179999999</v>
      </c>
      <c r="C322" s="33">
        <f t="shared" si="19"/>
        <v>1.9392574911226035E-2</v>
      </c>
      <c r="D322" s="32">
        <f>MAX($B$2:B322)</f>
        <v>109967.49430000001</v>
      </c>
      <c r="E322" s="34">
        <f t="shared" ref="E322:E385" si="20">B322/D322-1</f>
        <v>-0.22597324125807605</v>
      </c>
      <c r="F322" s="35">
        <f t="shared" ref="F322:F385" si="21">B322/$B$2*100</f>
        <v>77.402675874192397</v>
      </c>
      <c r="G322" s="36" t="str">
        <f t="shared" ref="G322:G385" si="22">TEXT(A322,"YYYY-MM")</f>
        <v>2023-04</v>
      </c>
    </row>
    <row r="323" spans="1:7" x14ac:dyDescent="0.25">
      <c r="A323" s="37">
        <v>45030</v>
      </c>
      <c r="B323" s="38">
        <v>84871.041599999997</v>
      </c>
      <c r="C323" s="39">
        <f t="shared" ref="C323:C386" si="23">B323/B322-1</f>
        <v>-2.8988252605006704E-3</v>
      </c>
      <c r="D323" s="38">
        <f>MAX($B$2:B323)</f>
        <v>109967.49430000001</v>
      </c>
      <c r="E323" s="40">
        <f t="shared" si="20"/>
        <v>-0.22821700957862057</v>
      </c>
      <c r="F323" s="41">
        <f t="shared" si="21"/>
        <v>77.178299042137937</v>
      </c>
      <c r="G323" s="42" t="str">
        <f t="shared" si="22"/>
        <v>2023-04</v>
      </c>
    </row>
    <row r="324" spans="1:7" x14ac:dyDescent="0.25">
      <c r="A324" s="31">
        <v>45033</v>
      </c>
      <c r="B324" s="32">
        <v>85156.566139999995</v>
      </c>
      <c r="C324" s="33">
        <f t="shared" si="23"/>
        <v>3.3642162817524301E-3</v>
      </c>
      <c r="D324" s="32">
        <f>MAX($B$2:B324)</f>
        <v>109967.49430000001</v>
      </c>
      <c r="E324" s="34">
        <f t="shared" si="20"/>
        <v>-0.22562056467626557</v>
      </c>
      <c r="F324" s="35">
        <f t="shared" si="21"/>
        <v>77.437943532373438</v>
      </c>
      <c r="G324" s="36" t="str">
        <f t="shared" si="22"/>
        <v>2023-04</v>
      </c>
    </row>
    <row r="325" spans="1:7" x14ac:dyDescent="0.25">
      <c r="A325" s="37">
        <v>45034</v>
      </c>
      <c r="B325" s="38">
        <v>85065.705990000002</v>
      </c>
      <c r="C325" s="39">
        <f t="shared" si="23"/>
        <v>-1.0669776168594769E-3</v>
      </c>
      <c r="D325" s="38">
        <f>MAX($B$2:B325)</f>
        <v>109967.49430000001</v>
      </c>
      <c r="E325" s="40">
        <f t="shared" si="20"/>
        <v>-0.22644681020071222</v>
      </c>
      <c r="F325" s="41">
        <f t="shared" si="21"/>
        <v>77.355318979928782</v>
      </c>
      <c r="G325" s="42" t="str">
        <f t="shared" si="22"/>
        <v>2023-04</v>
      </c>
    </row>
    <row r="326" spans="1:7" x14ac:dyDescent="0.25">
      <c r="A326" s="31">
        <v>45035</v>
      </c>
      <c r="B326" s="32">
        <v>84925.409320000006</v>
      </c>
      <c r="C326" s="33">
        <f t="shared" si="23"/>
        <v>-1.6492741506958231E-3</v>
      </c>
      <c r="D326" s="32">
        <f>MAX($B$2:B326)</f>
        <v>109967.49430000001</v>
      </c>
      <c r="E326" s="34">
        <f t="shared" si="20"/>
        <v>-0.2277226114808365</v>
      </c>
      <c r="F326" s="35">
        <f t="shared" si="21"/>
        <v>77.227738851916357</v>
      </c>
      <c r="G326" s="36" t="str">
        <f t="shared" si="22"/>
        <v>2023-04</v>
      </c>
    </row>
    <row r="327" spans="1:7" x14ac:dyDescent="0.25">
      <c r="A327" s="37">
        <v>45036</v>
      </c>
      <c r="B327" s="38">
        <v>83882.810230000003</v>
      </c>
      <c r="C327" s="39">
        <f t="shared" si="23"/>
        <v>-1.2276644862216357E-2</v>
      </c>
      <c r="D327" s="38">
        <f>MAX($B$2:B327)</f>
        <v>109967.49430000001</v>
      </c>
      <c r="E327" s="40">
        <f t="shared" si="20"/>
        <v>-0.23720358671480613</v>
      </c>
      <c r="F327" s="41">
        <f t="shared" si="21"/>
        <v>76.279641328519389</v>
      </c>
      <c r="G327" s="42" t="str">
        <f t="shared" si="22"/>
        <v>2023-04</v>
      </c>
    </row>
    <row r="328" spans="1:7" x14ac:dyDescent="0.25">
      <c r="A328" s="31">
        <v>45037</v>
      </c>
      <c r="B328" s="32">
        <v>83771.019669999994</v>
      </c>
      <c r="C328" s="33">
        <f t="shared" si="23"/>
        <v>-1.3326992704880691E-3</v>
      </c>
      <c r="D328" s="32">
        <f>MAX($B$2:B328)</f>
        <v>109967.49430000001</v>
      </c>
      <c r="E328" s="34">
        <f t="shared" si="20"/>
        <v>-0.23822016493832221</v>
      </c>
      <c r="F328" s="35">
        <f t="shared" si="21"/>
        <v>76.177983506167777</v>
      </c>
      <c r="G328" s="36" t="str">
        <f t="shared" si="22"/>
        <v>2023-04</v>
      </c>
    </row>
    <row r="329" spans="1:7" x14ac:dyDescent="0.25">
      <c r="A329" s="37">
        <v>45040</v>
      </c>
      <c r="B329" s="38">
        <v>83432.779049999997</v>
      </c>
      <c r="C329" s="39">
        <f t="shared" si="23"/>
        <v>-4.0376805884950739E-3</v>
      </c>
      <c r="D329" s="38">
        <f>MAX($B$2:B329)</f>
        <v>109967.49430000001</v>
      </c>
      <c r="E329" s="40">
        <f t="shared" si="20"/>
        <v>-0.24129598859105772</v>
      </c>
      <c r="F329" s="41">
        <f t="shared" si="21"/>
        <v>75.870401140894231</v>
      </c>
      <c r="G329" s="42" t="str">
        <f t="shared" si="22"/>
        <v>2023-04</v>
      </c>
    </row>
    <row r="330" spans="1:7" x14ac:dyDescent="0.25">
      <c r="A330" s="31">
        <v>45041</v>
      </c>
      <c r="B330" s="32">
        <v>81954.748130000007</v>
      </c>
      <c r="C330" s="33">
        <f t="shared" si="23"/>
        <v>-1.7715230594371412E-2</v>
      </c>
      <c r="D330" s="32">
        <f>MAX($B$2:B330)</f>
        <v>109967.49430000001</v>
      </c>
      <c r="E330" s="34">
        <f t="shared" si="20"/>
        <v>-0.25473660510604179</v>
      </c>
      <c r="F330" s="35">
        <f t="shared" si="21"/>
        <v>74.526339489395824</v>
      </c>
      <c r="G330" s="36" t="str">
        <f t="shared" si="22"/>
        <v>2023-04</v>
      </c>
    </row>
    <row r="331" spans="1:7" x14ac:dyDescent="0.25">
      <c r="A331" s="37">
        <v>45042</v>
      </c>
      <c r="B331" s="38">
        <v>82448.668560000006</v>
      </c>
      <c r="C331" s="39">
        <f t="shared" si="23"/>
        <v>6.0267457501854693E-3</v>
      </c>
      <c r="D331" s="38">
        <f>MAX($B$2:B331)</f>
        <v>109967.49430000001</v>
      </c>
      <c r="E331" s="40">
        <f t="shared" si="20"/>
        <v>-0.25024509210809576</v>
      </c>
      <c r="F331" s="41">
        <f t="shared" si="21"/>
        <v>74.975490789190431</v>
      </c>
      <c r="G331" s="42" t="str">
        <f t="shared" si="22"/>
        <v>2023-04</v>
      </c>
    </row>
    <row r="332" spans="1:7" x14ac:dyDescent="0.25">
      <c r="A332" s="31">
        <v>45043</v>
      </c>
      <c r="B332" s="32">
        <v>84557.317980000007</v>
      </c>
      <c r="C332" s="33">
        <f t="shared" si="23"/>
        <v>2.5575299842052424E-2</v>
      </c>
      <c r="D332" s="32">
        <f>MAX($B$2:B332)</f>
        <v>109967.49430000001</v>
      </c>
      <c r="E332" s="34">
        <f t="shared" si="20"/>
        <v>-0.23106988553070995</v>
      </c>
      <c r="F332" s="35">
        <f t="shared" si="21"/>
        <v>76.893011446929009</v>
      </c>
      <c r="G332" s="36" t="str">
        <f t="shared" si="22"/>
        <v>2023-04</v>
      </c>
    </row>
    <row r="333" spans="1:7" x14ac:dyDescent="0.25">
      <c r="A333" s="37">
        <v>45044</v>
      </c>
      <c r="B333" s="38">
        <v>85269.303050000002</v>
      </c>
      <c r="C333" s="39">
        <f t="shared" si="23"/>
        <v>8.4201472682516876E-3</v>
      </c>
      <c r="D333" s="38">
        <f>MAX($B$2:B333)</f>
        <v>109967.49430000001</v>
      </c>
      <c r="E333" s="40">
        <f t="shared" si="20"/>
        <v>-0.22459538072788476</v>
      </c>
      <c r="F333" s="41">
        <f t="shared" si="21"/>
        <v>77.540461927211524</v>
      </c>
      <c r="G333" s="42" t="str">
        <f t="shared" si="22"/>
        <v>2023-04</v>
      </c>
    </row>
    <row r="334" spans="1:7" x14ac:dyDescent="0.25">
      <c r="A334" s="31">
        <v>45047</v>
      </c>
      <c r="B334" s="32">
        <v>84898.295230000003</v>
      </c>
      <c r="C334" s="33">
        <f t="shared" si="23"/>
        <v>-4.3510126942453153E-3</v>
      </c>
      <c r="D334" s="32">
        <f>MAX($B$2:B334)</f>
        <v>109967.49430000001</v>
      </c>
      <c r="E334" s="34">
        <f t="shared" si="20"/>
        <v>-0.22796917606951417</v>
      </c>
      <c r="F334" s="35">
        <f t="shared" si="21"/>
        <v>77.203082393048589</v>
      </c>
      <c r="G334" s="36" t="str">
        <f t="shared" si="22"/>
        <v>2023-05</v>
      </c>
    </row>
    <row r="335" spans="1:7" x14ac:dyDescent="0.25">
      <c r="A335" s="37">
        <v>45048</v>
      </c>
      <c r="B335" s="38">
        <v>84160.894090000002</v>
      </c>
      <c r="C335" s="39">
        <f t="shared" si="23"/>
        <v>-8.6857002016623719E-3</v>
      </c>
      <c r="D335" s="38">
        <f>MAX($B$2:B335)</f>
        <v>109967.49430000001</v>
      </c>
      <c r="E335" s="40">
        <f t="shared" si="20"/>
        <v>-0.23467480435261678</v>
      </c>
      <c r="F335" s="41">
        <f t="shared" si="21"/>
        <v>76.532519564738323</v>
      </c>
      <c r="G335" s="42" t="str">
        <f t="shared" si="22"/>
        <v>2023-05</v>
      </c>
    </row>
    <row r="336" spans="1:7" x14ac:dyDescent="0.25">
      <c r="A336" s="31">
        <v>45049</v>
      </c>
      <c r="B336" s="32">
        <v>83724.156210000001</v>
      </c>
      <c r="C336" s="33">
        <f t="shared" si="23"/>
        <v>-5.1893208208192432E-3</v>
      </c>
      <c r="D336" s="32">
        <f>MAX($B$2:B336)</f>
        <v>109967.49430000001</v>
      </c>
      <c r="E336" s="34">
        <f t="shared" si="20"/>
        <v>-0.23864632232508731</v>
      </c>
      <c r="F336" s="35">
        <f t="shared" si="21"/>
        <v>76.135367767491275</v>
      </c>
      <c r="G336" s="36" t="str">
        <f t="shared" si="22"/>
        <v>2023-05</v>
      </c>
    </row>
    <row r="337" spans="1:7" x14ac:dyDescent="0.25">
      <c r="A337" s="37">
        <v>45050</v>
      </c>
      <c r="B337" s="38">
        <v>83421.835380000004</v>
      </c>
      <c r="C337" s="39">
        <f t="shared" si="23"/>
        <v>-3.6109152207124406E-3</v>
      </c>
      <c r="D337" s="38">
        <f>MAX($B$2:B337)</f>
        <v>109967.49430000001</v>
      </c>
      <c r="E337" s="40">
        <f t="shared" si="20"/>
        <v>-0.24139550590814907</v>
      </c>
      <c r="F337" s="41">
        <f t="shared" si="21"/>
        <v>75.860449409185094</v>
      </c>
      <c r="G337" s="42" t="str">
        <f t="shared" si="22"/>
        <v>2023-05</v>
      </c>
    </row>
    <row r="338" spans="1:7" x14ac:dyDescent="0.25">
      <c r="A338" s="31">
        <v>45051</v>
      </c>
      <c r="B338" s="32">
        <v>85476.258010000005</v>
      </c>
      <c r="C338" s="33">
        <f t="shared" si="23"/>
        <v>2.4626917169129348E-2</v>
      </c>
      <c r="D338" s="32">
        <f>MAX($B$2:B338)</f>
        <v>109967.49430000001</v>
      </c>
      <c r="E338" s="34">
        <f t="shared" si="20"/>
        <v>-0.22271341586801985</v>
      </c>
      <c r="F338" s="35">
        <f t="shared" si="21"/>
        <v>77.728658413198019</v>
      </c>
      <c r="G338" s="36" t="str">
        <f t="shared" si="22"/>
        <v>2023-05</v>
      </c>
    </row>
    <row r="339" spans="1:7" x14ac:dyDescent="0.25">
      <c r="A339" s="37">
        <v>45054</v>
      </c>
      <c r="B339" s="38">
        <v>85607.976129999995</v>
      </c>
      <c r="C339" s="39">
        <f t="shared" si="23"/>
        <v>1.5409907156274105E-3</v>
      </c>
      <c r="D339" s="38">
        <f>MAX($B$2:B339)</f>
        <v>109967.49430000001</v>
      </c>
      <c r="E339" s="40">
        <f t="shared" si="20"/>
        <v>-0.2215156244584906</v>
      </c>
      <c r="F339" s="41">
        <f t="shared" si="21"/>
        <v>77.848437554150934</v>
      </c>
      <c r="G339" s="42" t="str">
        <f t="shared" si="22"/>
        <v>2023-05</v>
      </c>
    </row>
    <row r="340" spans="1:7" x14ac:dyDescent="0.25">
      <c r="A340" s="31">
        <v>45055</v>
      </c>
      <c r="B340" s="32">
        <v>85122.25288</v>
      </c>
      <c r="C340" s="33">
        <f t="shared" si="23"/>
        <v>-5.6738083524180416E-3</v>
      </c>
      <c r="D340" s="32">
        <f>MAX($B$2:B340)</f>
        <v>109967.49430000001</v>
      </c>
      <c r="E340" s="34">
        <f t="shared" si="20"/>
        <v>-0.22593259561066492</v>
      </c>
      <c r="F340" s="35">
        <f t="shared" si="21"/>
        <v>77.406740438933511</v>
      </c>
      <c r="G340" s="36" t="str">
        <f t="shared" si="22"/>
        <v>2023-05</v>
      </c>
    </row>
    <row r="341" spans="1:7" x14ac:dyDescent="0.25">
      <c r="A341" s="37">
        <v>45056</v>
      </c>
      <c r="B341" s="38">
        <v>85818.593290000004</v>
      </c>
      <c r="C341" s="39">
        <f t="shared" si="23"/>
        <v>8.1804743934781321E-3</v>
      </c>
      <c r="D341" s="38">
        <f>MAX($B$2:B341)</f>
        <v>109967.49430000001</v>
      </c>
      <c r="E341" s="40">
        <f t="shared" si="20"/>
        <v>-0.21960035703023195</v>
      </c>
      <c r="F341" s="41">
        <f t="shared" si="21"/>
        <v>78.039964296976805</v>
      </c>
      <c r="G341" s="42" t="str">
        <f t="shared" si="22"/>
        <v>2023-05</v>
      </c>
    </row>
    <row r="342" spans="1:7" x14ac:dyDescent="0.25">
      <c r="A342" s="31">
        <v>45057</v>
      </c>
      <c r="B342" s="32">
        <v>86079.048859999995</v>
      </c>
      <c r="C342" s="33">
        <f t="shared" si="23"/>
        <v>3.0349550140009729E-3</v>
      </c>
      <c r="D342" s="32">
        <f>MAX($B$2:B342)</f>
        <v>109967.49430000001</v>
      </c>
      <c r="E342" s="34">
        <f t="shared" si="20"/>
        <v>-0.21723187922087639</v>
      </c>
      <c r="F342" s="35">
        <f t="shared" si="21"/>
        <v>78.276812077912368</v>
      </c>
      <c r="G342" s="36" t="str">
        <f t="shared" si="22"/>
        <v>2023-05</v>
      </c>
    </row>
    <row r="343" spans="1:7" x14ac:dyDescent="0.25">
      <c r="A343" s="37">
        <v>45058</v>
      </c>
      <c r="B343" s="38">
        <v>85605.728839999996</v>
      </c>
      <c r="C343" s="39">
        <f t="shared" si="23"/>
        <v>-5.498666937756358E-3</v>
      </c>
      <c r="D343" s="38">
        <f>MAX($B$2:B343)</f>
        <v>109967.49430000001</v>
      </c>
      <c r="E343" s="40">
        <f t="shared" si="20"/>
        <v>-0.22153606040653417</v>
      </c>
      <c r="F343" s="41">
        <f t="shared" si="21"/>
        <v>77.846393959346585</v>
      </c>
      <c r="G343" s="42" t="str">
        <f t="shared" si="22"/>
        <v>2023-05</v>
      </c>
    </row>
    <row r="344" spans="1:7" x14ac:dyDescent="0.25">
      <c r="A344" s="31">
        <v>45061</v>
      </c>
      <c r="B344" s="32">
        <v>85939.057849999997</v>
      </c>
      <c r="C344" s="33">
        <f t="shared" si="23"/>
        <v>3.8937698973746659E-3</v>
      </c>
      <c r="D344" s="32">
        <f>MAX($B$2:B344)</f>
        <v>109967.49430000001</v>
      </c>
      <c r="E344" s="34">
        <f t="shared" si="20"/>
        <v>-0.21850490095235353</v>
      </c>
      <c r="F344" s="35">
        <f t="shared" si="21"/>
        <v>78.149509904764642</v>
      </c>
      <c r="G344" s="36" t="str">
        <f t="shared" si="22"/>
        <v>2023-05</v>
      </c>
    </row>
    <row r="345" spans="1:7" x14ac:dyDescent="0.25">
      <c r="A345" s="37">
        <v>45062</v>
      </c>
      <c r="B345" s="38">
        <v>85905.348910000001</v>
      </c>
      <c r="C345" s="39">
        <f t="shared" si="23"/>
        <v>-3.9224237318069566E-4</v>
      </c>
      <c r="D345" s="38">
        <f>MAX($B$2:B345)</f>
        <v>109967.49430000001</v>
      </c>
      <c r="E345" s="40">
        <f t="shared" si="20"/>
        <v>-0.21881143644463308</v>
      </c>
      <c r="F345" s="41">
        <f t="shared" si="21"/>
        <v>78.118856355536693</v>
      </c>
      <c r="G345" s="42" t="str">
        <f t="shared" si="22"/>
        <v>2023-05</v>
      </c>
    </row>
    <row r="346" spans="1:7" x14ac:dyDescent="0.25">
      <c r="A346" s="31">
        <v>45063</v>
      </c>
      <c r="B346" s="32">
        <v>87340.760169999994</v>
      </c>
      <c r="C346" s="33">
        <f t="shared" si="23"/>
        <v>1.6709218671631554E-2</v>
      </c>
      <c r="D346" s="32">
        <f>MAX($B$2:B346)</f>
        <v>109967.49430000001</v>
      </c>
      <c r="E346" s="34">
        <f t="shared" si="20"/>
        <v>-0.2057583859124088</v>
      </c>
      <c r="F346" s="35">
        <f t="shared" si="21"/>
        <v>79.424161408759119</v>
      </c>
      <c r="G346" s="36" t="str">
        <f t="shared" si="22"/>
        <v>2023-05</v>
      </c>
    </row>
    <row r="347" spans="1:7" x14ac:dyDescent="0.25">
      <c r="A347" s="37">
        <v>45064</v>
      </c>
      <c r="B347" s="38">
        <v>88611.056370000006</v>
      </c>
      <c r="C347" s="39">
        <f t="shared" si="23"/>
        <v>1.4544139500589415E-2</v>
      </c>
      <c r="D347" s="38">
        <f>MAX($B$2:B347)</f>
        <v>109967.49430000001</v>
      </c>
      <c r="E347" s="40">
        <f t="shared" si="20"/>
        <v>-0.19420682507994547</v>
      </c>
      <c r="F347" s="41">
        <f t="shared" si="21"/>
        <v>80.579317492005458</v>
      </c>
      <c r="G347" s="42" t="str">
        <f t="shared" si="22"/>
        <v>2023-05</v>
      </c>
    </row>
    <row r="348" spans="1:7" x14ac:dyDescent="0.25">
      <c r="A348" s="31">
        <v>45065</v>
      </c>
      <c r="B348" s="32">
        <v>88626.162930000006</v>
      </c>
      <c r="C348" s="33">
        <f t="shared" si="23"/>
        <v>1.7048166017707977E-4</v>
      </c>
      <c r="D348" s="32">
        <f>MAX($B$2:B348)</f>
        <v>109967.49430000001</v>
      </c>
      <c r="E348" s="34">
        <f t="shared" si="20"/>
        <v>-0.19406945212172577</v>
      </c>
      <c r="F348" s="35">
        <f t="shared" si="21"/>
        <v>80.593054787827427</v>
      </c>
      <c r="G348" s="36" t="str">
        <f t="shared" si="22"/>
        <v>2023-05</v>
      </c>
    </row>
    <row r="349" spans="1:7" x14ac:dyDescent="0.25">
      <c r="A349" s="37">
        <v>45068</v>
      </c>
      <c r="B349" s="38">
        <v>89028.80171</v>
      </c>
      <c r="C349" s="39">
        <f t="shared" si="23"/>
        <v>4.5431142079117581E-3</v>
      </c>
      <c r="D349" s="38">
        <f>MAX($B$2:B349)</f>
        <v>109967.49430000001</v>
      </c>
      <c r="E349" s="40">
        <f t="shared" si="20"/>
        <v>-0.19040801759906978</v>
      </c>
      <c r="F349" s="41">
        <f t="shared" si="21"/>
        <v>80.959198240093016</v>
      </c>
      <c r="G349" s="42" t="str">
        <f t="shared" si="22"/>
        <v>2023-05</v>
      </c>
    </row>
    <row r="350" spans="1:7" x14ac:dyDescent="0.25">
      <c r="A350" s="31">
        <v>45069</v>
      </c>
      <c r="B350" s="32">
        <v>87857.027170000001</v>
      </c>
      <c r="C350" s="33">
        <f t="shared" si="23"/>
        <v>-1.3161746732443969E-2</v>
      </c>
      <c r="D350" s="32">
        <f>MAX($B$2:B350)</f>
        <v>109967.49430000001</v>
      </c>
      <c r="E350" s="34">
        <f t="shared" si="20"/>
        <v>-0.20106366222804806</v>
      </c>
      <c r="F350" s="35">
        <f t="shared" si="21"/>
        <v>79.893633777195191</v>
      </c>
      <c r="G350" s="36" t="str">
        <f t="shared" si="22"/>
        <v>2023-05</v>
      </c>
    </row>
    <row r="351" spans="1:7" x14ac:dyDescent="0.25">
      <c r="A351" s="37">
        <v>45070</v>
      </c>
      <c r="B351" s="38">
        <v>87386.987689999994</v>
      </c>
      <c r="C351" s="39">
        <f t="shared" si="23"/>
        <v>-5.3500499065429752E-3</v>
      </c>
      <c r="D351" s="38">
        <f>MAX($B$2:B351)</f>
        <v>109967.49430000001</v>
      </c>
      <c r="E351" s="40">
        <f t="shared" si="20"/>
        <v>-0.20533801150727871</v>
      </c>
      <c r="F351" s="41">
        <f t="shared" si="21"/>
        <v>79.466198849272132</v>
      </c>
      <c r="G351" s="42" t="str">
        <f t="shared" si="22"/>
        <v>2023-05</v>
      </c>
    </row>
    <row r="352" spans="1:7" x14ac:dyDescent="0.25">
      <c r="A352" s="31">
        <v>45071</v>
      </c>
      <c r="B352" s="32">
        <v>89436.970100000006</v>
      </c>
      <c r="C352" s="33">
        <f t="shared" si="23"/>
        <v>2.3458668895559143E-2</v>
      </c>
      <c r="D352" s="32">
        <f>MAX($B$2:B352)</f>
        <v>109967.49430000001</v>
      </c>
      <c r="E352" s="34">
        <f t="shared" si="20"/>
        <v>-0.18669629903534135</v>
      </c>
      <c r="F352" s="35">
        <f t="shared" si="21"/>
        <v>81.33037009646587</v>
      </c>
      <c r="G352" s="36" t="str">
        <f t="shared" si="22"/>
        <v>2023-05</v>
      </c>
    </row>
    <row r="353" spans="1:7" x14ac:dyDescent="0.25">
      <c r="A353" s="37">
        <v>45072</v>
      </c>
      <c r="B353" s="38">
        <v>91308.178939999998</v>
      </c>
      <c r="C353" s="39">
        <f t="shared" si="23"/>
        <v>2.0922095615580227E-2</v>
      </c>
      <c r="D353" s="38">
        <f>MAX($B$2:B353)</f>
        <v>109967.49430000001</v>
      </c>
      <c r="E353" s="40">
        <f t="shared" si="20"/>
        <v>-0.16968028123925349</v>
      </c>
      <c r="F353" s="41">
        <f t="shared" si="21"/>
        <v>83.03197187607465</v>
      </c>
      <c r="G353" s="42" t="str">
        <f t="shared" si="22"/>
        <v>2023-05</v>
      </c>
    </row>
    <row r="354" spans="1:7" x14ac:dyDescent="0.25">
      <c r="A354" s="31">
        <v>45076</v>
      </c>
      <c r="B354" s="32">
        <v>91655.075190000003</v>
      </c>
      <c r="C354" s="33">
        <f t="shared" si="23"/>
        <v>3.7991804680275187E-3</v>
      </c>
      <c r="D354" s="32">
        <f>MAX($B$2:B354)</f>
        <v>109967.49430000001</v>
      </c>
      <c r="E354" s="34">
        <f t="shared" si="20"/>
        <v>-0.16652574678151966</v>
      </c>
      <c r="F354" s="35">
        <f t="shared" si="21"/>
        <v>83.347425321848036</v>
      </c>
      <c r="G354" s="36" t="str">
        <f t="shared" si="22"/>
        <v>2023-05</v>
      </c>
    </row>
    <row r="355" spans="1:7" x14ac:dyDescent="0.25">
      <c r="A355" s="37">
        <v>45077</v>
      </c>
      <c r="B355" s="38">
        <v>90953.395269999994</v>
      </c>
      <c r="C355" s="39">
        <f t="shared" si="23"/>
        <v>-7.6556581132625201E-3</v>
      </c>
      <c r="D355" s="38">
        <f>MAX($B$2:B355)</f>
        <v>109967.49430000001</v>
      </c>
      <c r="E355" s="40">
        <f t="shared" si="20"/>
        <v>-0.17290654071036704</v>
      </c>
      <c r="F355" s="41">
        <f t="shared" si="21"/>
        <v>82.709345928963302</v>
      </c>
      <c r="G355" s="42" t="str">
        <f t="shared" si="22"/>
        <v>2023-05</v>
      </c>
    </row>
    <row r="356" spans="1:7" x14ac:dyDescent="0.25">
      <c r="A356" s="31">
        <v>45078</v>
      </c>
      <c r="B356" s="32">
        <v>92075.82703</v>
      </c>
      <c r="C356" s="33">
        <f t="shared" si="23"/>
        <v>1.2340735127787328E-2</v>
      </c>
      <c r="D356" s="32">
        <f>MAX($B$2:B356)</f>
        <v>109967.49430000001</v>
      </c>
      <c r="E356" s="34">
        <f t="shared" si="20"/>
        <v>-0.16269959940334844</v>
      </c>
      <c r="F356" s="35">
        <f t="shared" si="21"/>
        <v>83.730040059665157</v>
      </c>
      <c r="G356" s="36" t="str">
        <f t="shared" si="22"/>
        <v>2023-06</v>
      </c>
    </row>
    <row r="357" spans="1:7" x14ac:dyDescent="0.25">
      <c r="A357" s="37">
        <v>45079</v>
      </c>
      <c r="B357" s="38">
        <v>93201.916079999995</v>
      </c>
      <c r="C357" s="39">
        <f t="shared" si="23"/>
        <v>1.2230018304729473E-2</v>
      </c>
      <c r="D357" s="38">
        <f>MAX($B$2:B357)</f>
        <v>109967.49430000001</v>
      </c>
      <c r="E357" s="40">
        <f t="shared" si="20"/>
        <v>-0.15245940017749415</v>
      </c>
      <c r="F357" s="41">
        <f t="shared" si="21"/>
        <v>84.754059982250581</v>
      </c>
      <c r="G357" s="42" t="str">
        <f t="shared" si="22"/>
        <v>2023-06</v>
      </c>
    </row>
    <row r="358" spans="1:7" x14ac:dyDescent="0.25">
      <c r="A358" s="31">
        <v>45082</v>
      </c>
      <c r="B358" s="32">
        <v>93170.446209999995</v>
      </c>
      <c r="C358" s="33">
        <f t="shared" si="23"/>
        <v>-3.3765260762441685E-4</v>
      </c>
      <c r="D358" s="32">
        <f>MAX($B$2:B358)</f>
        <v>109967.49430000001</v>
      </c>
      <c r="E358" s="34">
        <f t="shared" si="20"/>
        <v>-0.15274557447109183</v>
      </c>
      <c r="F358" s="35">
        <f t="shared" si="21"/>
        <v>84.725442552890811</v>
      </c>
      <c r="G358" s="36" t="str">
        <f t="shared" si="22"/>
        <v>2023-06</v>
      </c>
    </row>
    <row r="359" spans="1:7" x14ac:dyDescent="0.25">
      <c r="A359" s="37">
        <v>45083</v>
      </c>
      <c r="B359" s="38">
        <v>93465.639420000007</v>
      </c>
      <c r="C359" s="39">
        <f t="shared" si="23"/>
        <v>3.168313794855715E-3</v>
      </c>
      <c r="D359" s="38">
        <f>MAX($B$2:B359)</f>
        <v>109967.49430000001</v>
      </c>
      <c r="E359" s="40">
        <f t="shared" si="20"/>
        <v>-0.15006120658693589</v>
      </c>
      <c r="F359" s="41">
        <f t="shared" si="21"/>
        <v>84.99387934130641</v>
      </c>
      <c r="G359" s="42" t="str">
        <f t="shared" si="22"/>
        <v>2023-06</v>
      </c>
    </row>
    <row r="360" spans="1:7" x14ac:dyDescent="0.25">
      <c r="A360" s="31">
        <v>45084</v>
      </c>
      <c r="B360" s="32">
        <v>92626.778640000004</v>
      </c>
      <c r="C360" s="33">
        <f t="shared" si="23"/>
        <v>-8.9750713225260625E-3</v>
      </c>
      <c r="D360" s="32">
        <f>MAX($B$2:B360)</f>
        <v>109967.49430000001</v>
      </c>
      <c r="E360" s="34">
        <f t="shared" si="20"/>
        <v>-0.15768946787759985</v>
      </c>
      <c r="F360" s="35">
        <f t="shared" si="21"/>
        <v>84.231053212240013</v>
      </c>
      <c r="G360" s="36" t="str">
        <f t="shared" si="22"/>
        <v>2023-06</v>
      </c>
    </row>
    <row r="361" spans="1:7" x14ac:dyDescent="0.25">
      <c r="A361" s="37">
        <v>45085</v>
      </c>
      <c r="B361" s="38">
        <v>93624.313510000007</v>
      </c>
      <c r="C361" s="39">
        <f t="shared" si="23"/>
        <v>1.0769400433075393E-2</v>
      </c>
      <c r="D361" s="38">
        <f>MAX($B$2:B361)</f>
        <v>109967.49430000001</v>
      </c>
      <c r="E361" s="40">
        <f t="shared" si="20"/>
        <v>-0.14861828846817693</v>
      </c>
      <c r="F361" s="41">
        <f t="shared" si="21"/>
        <v>85.138171153182313</v>
      </c>
      <c r="G361" s="42" t="str">
        <f t="shared" si="22"/>
        <v>2023-06</v>
      </c>
    </row>
    <row r="362" spans="1:7" x14ac:dyDescent="0.25">
      <c r="A362" s="31">
        <v>45086</v>
      </c>
      <c r="B362" s="32">
        <v>94349.150769999993</v>
      </c>
      <c r="C362" s="33">
        <f t="shared" si="23"/>
        <v>7.7419767667783468E-3</v>
      </c>
      <c r="D362" s="32">
        <f>MAX($B$2:B362)</f>
        <v>109967.49430000001</v>
      </c>
      <c r="E362" s="34">
        <f t="shared" si="20"/>
        <v>-0.1420269110378376</v>
      </c>
      <c r="F362" s="35">
        <f t="shared" si="21"/>
        <v>85.797308896216236</v>
      </c>
      <c r="G362" s="36" t="str">
        <f t="shared" si="22"/>
        <v>2023-06</v>
      </c>
    </row>
    <row r="363" spans="1:7" x14ac:dyDescent="0.25">
      <c r="A363" s="37">
        <v>45089</v>
      </c>
      <c r="B363" s="38">
        <v>95811.052590000007</v>
      </c>
      <c r="C363" s="39">
        <f t="shared" si="23"/>
        <v>1.5494594366448178E-2</v>
      </c>
      <c r="D363" s="38">
        <f>MAX($B$2:B363)</f>
        <v>109967.49430000001</v>
      </c>
      <c r="E363" s="40">
        <f t="shared" si="20"/>
        <v>-0.12873296604704032</v>
      </c>
      <c r="F363" s="41">
        <f t="shared" si="21"/>
        <v>87.126703395295962</v>
      </c>
      <c r="G363" s="42" t="str">
        <f t="shared" si="22"/>
        <v>2023-06</v>
      </c>
    </row>
    <row r="364" spans="1:7" x14ac:dyDescent="0.25">
      <c r="A364" s="31">
        <v>45090</v>
      </c>
      <c r="B364" s="32">
        <v>96660.386729999998</v>
      </c>
      <c r="C364" s="33">
        <f t="shared" si="23"/>
        <v>8.8646781038352884E-3</v>
      </c>
      <c r="D364" s="32">
        <f>MAX($B$2:B364)</f>
        <v>109967.49430000001</v>
      </c>
      <c r="E364" s="34">
        <f t="shared" si="20"/>
        <v>-0.12100946424856396</v>
      </c>
      <c r="F364" s="35">
        <f t="shared" si="21"/>
        <v>87.899053575143597</v>
      </c>
      <c r="G364" s="36" t="str">
        <f t="shared" si="22"/>
        <v>2023-06</v>
      </c>
    </row>
    <row r="365" spans="1:7" x14ac:dyDescent="0.25">
      <c r="A365" s="37">
        <v>45091</v>
      </c>
      <c r="B365" s="38">
        <v>96976.133350000004</v>
      </c>
      <c r="C365" s="39">
        <f t="shared" si="23"/>
        <v>3.2665565562237653E-3</v>
      </c>
      <c r="D365" s="38">
        <f>MAX($B$2:B365)</f>
        <v>109967.49430000001</v>
      </c>
      <c r="E365" s="40">
        <f t="shared" si="20"/>
        <v>-0.11813819195114639</v>
      </c>
      <c r="F365" s="41">
        <f t="shared" si="21"/>
        <v>88.186180804885367</v>
      </c>
      <c r="G365" s="42" t="str">
        <f t="shared" si="22"/>
        <v>2023-06</v>
      </c>
    </row>
    <row r="366" spans="1:7" x14ac:dyDescent="0.25">
      <c r="A366" s="31">
        <v>45092</v>
      </c>
      <c r="B366" s="32">
        <v>97948.068729999999</v>
      </c>
      <c r="C366" s="33">
        <f t="shared" si="23"/>
        <v>1.0022418366508301E-2</v>
      </c>
      <c r="D366" s="32">
        <f>MAX($B$2:B366)</f>
        <v>109967.49430000001</v>
      </c>
      <c r="E366" s="34">
        <f t="shared" si="20"/>
        <v>-0.10929980396943539</v>
      </c>
      <c r="F366" s="35">
        <f t="shared" si="21"/>
        <v>89.070019603056465</v>
      </c>
      <c r="G366" s="36" t="str">
        <f t="shared" si="22"/>
        <v>2023-06</v>
      </c>
    </row>
    <row r="367" spans="1:7" x14ac:dyDescent="0.25">
      <c r="A367" s="37">
        <v>45093</v>
      </c>
      <c r="B367" s="38">
        <v>97547.470170000001</v>
      </c>
      <c r="C367" s="39">
        <f t="shared" si="23"/>
        <v>-4.0899076949059143E-3</v>
      </c>
      <c r="D367" s="38">
        <f>MAX($B$2:B367)</f>
        <v>109967.49430000001</v>
      </c>
      <c r="E367" s="40">
        <f t="shared" si="20"/>
        <v>-0.11294268555503506</v>
      </c>
      <c r="F367" s="41">
        <f t="shared" si="21"/>
        <v>88.705731444496493</v>
      </c>
      <c r="G367" s="42" t="str">
        <f t="shared" si="22"/>
        <v>2023-06</v>
      </c>
    </row>
    <row r="368" spans="1:7" x14ac:dyDescent="0.25">
      <c r="A368" s="31">
        <v>45097</v>
      </c>
      <c r="B368" s="32">
        <v>97777.808300000004</v>
      </c>
      <c r="C368" s="33">
        <f t="shared" si="23"/>
        <v>2.3612927080383095E-3</v>
      </c>
      <c r="D368" s="32">
        <f>MAX($B$2:B368)</f>
        <v>109967.49430000001</v>
      </c>
      <c r="E368" s="34">
        <f t="shared" si="20"/>
        <v>-0.11084808358682408</v>
      </c>
      <c r="F368" s="35">
        <f t="shared" si="21"/>
        <v>88.915191641317591</v>
      </c>
      <c r="G368" s="36" t="str">
        <f t="shared" si="22"/>
        <v>2023-06</v>
      </c>
    </row>
    <row r="369" spans="1:7" x14ac:dyDescent="0.25">
      <c r="A369" s="37">
        <v>45098</v>
      </c>
      <c r="B369" s="38">
        <v>96308.845329999996</v>
      </c>
      <c r="C369" s="39">
        <f t="shared" si="23"/>
        <v>-1.5023480230738739E-2</v>
      </c>
      <c r="D369" s="38">
        <f>MAX($B$2:B369)</f>
        <v>109967.49430000001</v>
      </c>
      <c r="E369" s="40">
        <f t="shared" si="20"/>
        <v>-0.12420623982518086</v>
      </c>
      <c r="F369" s="41">
        <f t="shared" si="21"/>
        <v>87.57937601748192</v>
      </c>
      <c r="G369" s="42" t="str">
        <f t="shared" si="22"/>
        <v>2023-06</v>
      </c>
    </row>
    <row r="370" spans="1:7" x14ac:dyDescent="0.25">
      <c r="A370" s="31">
        <v>45099</v>
      </c>
      <c r="B370" s="32">
        <v>97432.364730000001</v>
      </c>
      <c r="C370" s="33">
        <f t="shared" si="23"/>
        <v>1.1665796595839995E-2</v>
      </c>
      <c r="D370" s="32">
        <f>MAX($B$2:B370)</f>
        <v>109967.49430000001</v>
      </c>
      <c r="E370" s="34">
        <f t="shared" si="20"/>
        <v>-0.11398940795907542</v>
      </c>
      <c r="F370" s="35">
        <f t="shared" si="21"/>
        <v>88.601059204092465</v>
      </c>
      <c r="G370" s="36" t="str">
        <f t="shared" si="22"/>
        <v>2023-06</v>
      </c>
    </row>
    <row r="371" spans="1:7" x14ac:dyDescent="0.25">
      <c r="A371" s="37">
        <v>45100</v>
      </c>
      <c r="B371" s="38">
        <v>96358.965419999993</v>
      </c>
      <c r="C371" s="39">
        <f t="shared" si="23"/>
        <v>-1.1016866038041528E-2</v>
      </c>
      <c r="D371" s="38">
        <f>MAX($B$2:B371)</f>
        <v>109967.49430000001</v>
      </c>
      <c r="E371" s="40">
        <f t="shared" si="20"/>
        <v>-0.1237504679598761</v>
      </c>
      <c r="F371" s="41">
        <f t="shared" si="21"/>
        <v>87.624953204012385</v>
      </c>
      <c r="G371" s="42" t="str">
        <f t="shared" si="22"/>
        <v>2023-06</v>
      </c>
    </row>
    <row r="372" spans="1:7" x14ac:dyDescent="0.25">
      <c r="A372" s="31">
        <v>45103</v>
      </c>
      <c r="B372" s="32">
        <v>94799.954259999999</v>
      </c>
      <c r="C372" s="33">
        <f t="shared" si="23"/>
        <v>-1.6179201937305265E-2</v>
      </c>
      <c r="D372" s="32">
        <f>MAX($B$2:B372)</f>
        <v>109967.49430000001</v>
      </c>
      <c r="E372" s="34">
        <f t="shared" si="20"/>
        <v>-0.13792748608622252</v>
      </c>
      <c r="F372" s="35">
        <f t="shared" si="21"/>
        <v>86.207251391377753</v>
      </c>
      <c r="G372" s="36" t="str">
        <f t="shared" si="22"/>
        <v>2023-06</v>
      </c>
    </row>
    <row r="373" spans="1:7" x14ac:dyDescent="0.25">
      <c r="A373" s="37">
        <v>45104</v>
      </c>
      <c r="B373" s="38">
        <v>96365.00374</v>
      </c>
      <c r="C373" s="39">
        <f t="shared" si="23"/>
        <v>1.6508968724896933E-2</v>
      </c>
      <c r="D373" s="38">
        <f>MAX($B$2:B373)</f>
        <v>109967.49430000001</v>
      </c>
      <c r="E373" s="40">
        <f t="shared" si="20"/>
        <v>-0.12369555791542675</v>
      </c>
      <c r="F373" s="41">
        <f t="shared" si="21"/>
        <v>87.63044420845732</v>
      </c>
      <c r="G373" s="42" t="str">
        <f t="shared" si="22"/>
        <v>2023-06</v>
      </c>
    </row>
    <row r="374" spans="1:7" x14ac:dyDescent="0.25">
      <c r="A374" s="31">
        <v>45105</v>
      </c>
      <c r="B374" s="32">
        <v>96769.189910000001</v>
      </c>
      <c r="C374" s="33">
        <f t="shared" si="23"/>
        <v>4.194325266572152E-3</v>
      </c>
      <c r="D374" s="32">
        <f>MAX($B$2:B374)</f>
        <v>109967.49430000001</v>
      </c>
      <c r="E374" s="34">
        <f t="shared" si="20"/>
        <v>-0.12002005205278199</v>
      </c>
      <c r="F374" s="35">
        <f t="shared" si="21"/>
        <v>87.997994794721805</v>
      </c>
      <c r="G374" s="36" t="str">
        <f t="shared" si="22"/>
        <v>2023-06</v>
      </c>
    </row>
    <row r="375" spans="1:7" x14ac:dyDescent="0.25">
      <c r="A375" s="37">
        <v>45106</v>
      </c>
      <c r="B375" s="38">
        <v>96754.298670000004</v>
      </c>
      <c r="C375" s="39">
        <f t="shared" si="23"/>
        <v>-1.5388410313077472E-4</v>
      </c>
      <c r="D375" s="38">
        <f>MAX($B$2:B375)</f>
        <v>109967.49430000001</v>
      </c>
      <c r="E375" s="40">
        <f t="shared" si="20"/>
        <v>-0.12015546697784496</v>
      </c>
      <c r="F375" s="41">
        <f t="shared" si="21"/>
        <v>87.984453302215499</v>
      </c>
      <c r="G375" s="42" t="str">
        <f t="shared" si="22"/>
        <v>2023-06</v>
      </c>
    </row>
    <row r="376" spans="1:7" x14ac:dyDescent="0.25">
      <c r="A376" s="31">
        <v>45107</v>
      </c>
      <c r="B376" s="32">
        <v>98054.074210000006</v>
      </c>
      <c r="C376" s="33">
        <f t="shared" si="23"/>
        <v>1.343377563443604E-2</v>
      </c>
      <c r="D376" s="32">
        <f>MAX($B$2:B376)</f>
        <v>109967.49430000001</v>
      </c>
      <c r="E376" s="34">
        <f t="shared" si="20"/>
        <v>-0.10833583292804005</v>
      </c>
      <c r="F376" s="35">
        <f t="shared" si="21"/>
        <v>89.166416707195992</v>
      </c>
      <c r="G376" s="36" t="str">
        <f t="shared" si="22"/>
        <v>2023-06</v>
      </c>
    </row>
    <row r="377" spans="1:7" x14ac:dyDescent="0.25">
      <c r="A377" s="37">
        <v>45110</v>
      </c>
      <c r="B377" s="38">
        <v>98937.887839999996</v>
      </c>
      <c r="C377" s="39">
        <f t="shared" si="23"/>
        <v>9.0135329625073979E-3</v>
      </c>
      <c r="D377" s="38">
        <f>MAX($B$2:B377)</f>
        <v>109967.49430000001</v>
      </c>
      <c r="E377" s="40">
        <f t="shared" si="20"/>
        <v>-0.1002987885666502</v>
      </c>
      <c r="F377" s="41">
        <f t="shared" si="21"/>
        <v>89.970121143334978</v>
      </c>
      <c r="G377" s="42" t="str">
        <f t="shared" si="22"/>
        <v>2023-07</v>
      </c>
    </row>
    <row r="378" spans="1:7" x14ac:dyDescent="0.25">
      <c r="A378" s="31">
        <v>45112</v>
      </c>
      <c r="B378" s="32">
        <v>98815.870129999996</v>
      </c>
      <c r="C378" s="33">
        <f t="shared" si="23"/>
        <v>-1.233275873013584E-3</v>
      </c>
      <c r="D378" s="32">
        <f>MAX($B$2:B378)</f>
        <v>109967.49430000001</v>
      </c>
      <c r="E378" s="34">
        <f t="shared" si="20"/>
        <v>-0.1014083683636321</v>
      </c>
      <c r="F378" s="35">
        <f t="shared" si="21"/>
        <v>89.859163163636794</v>
      </c>
      <c r="G378" s="36" t="str">
        <f t="shared" si="22"/>
        <v>2023-07</v>
      </c>
    </row>
    <row r="379" spans="1:7" x14ac:dyDescent="0.25">
      <c r="A379" s="37">
        <v>45113</v>
      </c>
      <c r="B379" s="38">
        <v>98095.544049999997</v>
      </c>
      <c r="C379" s="39">
        <f t="shared" si="23"/>
        <v>-7.2895788809262951E-3</v>
      </c>
      <c r="D379" s="38">
        <f>MAX($B$2:B379)</f>
        <v>109967.49430000001</v>
      </c>
      <c r="E379" s="40">
        <f t="shared" si="20"/>
        <v>-0.10795872294418563</v>
      </c>
      <c r="F379" s="41">
        <f t="shared" si="21"/>
        <v>89.204127705581442</v>
      </c>
      <c r="G379" s="42" t="str">
        <f t="shared" si="22"/>
        <v>2023-07</v>
      </c>
    </row>
    <row r="380" spans="1:7" x14ac:dyDescent="0.25">
      <c r="A380" s="31">
        <v>45114</v>
      </c>
      <c r="B380" s="32">
        <v>97764.470180000004</v>
      </c>
      <c r="C380" s="33">
        <f t="shared" si="23"/>
        <v>-3.3750143618270778E-3</v>
      </c>
      <c r="D380" s="32">
        <f>MAX($B$2:B380)</f>
        <v>109967.49430000001</v>
      </c>
      <c r="E380" s="34">
        <f t="shared" si="20"/>
        <v>-0.11096937506559157</v>
      </c>
      <c r="F380" s="35">
        <f t="shared" si="21"/>
        <v>88.903062493440842</v>
      </c>
      <c r="G380" s="36" t="str">
        <f t="shared" si="22"/>
        <v>2023-07</v>
      </c>
    </row>
    <row r="381" spans="1:7" x14ac:dyDescent="0.25">
      <c r="A381" s="37">
        <v>45117</v>
      </c>
      <c r="B381" s="38">
        <v>97202.425459999999</v>
      </c>
      <c r="C381" s="39">
        <f t="shared" si="23"/>
        <v>-5.7489670732648879E-3</v>
      </c>
      <c r="D381" s="38">
        <f>MAX($B$2:B381)</f>
        <v>109967.49430000001</v>
      </c>
      <c r="E381" s="40">
        <f t="shared" si="20"/>
        <v>-0.11608038285546352</v>
      </c>
      <c r="F381" s="41">
        <f t="shared" si="21"/>
        <v>88.391961714453643</v>
      </c>
      <c r="G381" s="42" t="str">
        <f t="shared" si="22"/>
        <v>2023-07</v>
      </c>
    </row>
    <row r="382" spans="1:7" x14ac:dyDescent="0.25">
      <c r="A382" s="31">
        <v>45118</v>
      </c>
      <c r="B382" s="32">
        <v>97731.043739999994</v>
      </c>
      <c r="C382" s="33">
        <f t="shared" si="23"/>
        <v>5.438323966694858E-3</v>
      </c>
      <c r="D382" s="32">
        <f>MAX($B$2:B382)</f>
        <v>109967.49430000001</v>
      </c>
      <c r="E382" s="34">
        <f t="shared" si="20"/>
        <v>-0.1112733416169146</v>
      </c>
      <c r="F382" s="35">
        <f t="shared" si="21"/>
        <v>88.872665838308535</v>
      </c>
      <c r="G382" s="36" t="str">
        <f t="shared" si="22"/>
        <v>2023-07</v>
      </c>
    </row>
    <row r="383" spans="1:7" x14ac:dyDescent="0.25">
      <c r="A383" s="37">
        <v>45119</v>
      </c>
      <c r="B383" s="38">
        <v>98810.723419999995</v>
      </c>
      <c r="C383" s="39">
        <f t="shared" si="23"/>
        <v>1.1047458808199684E-2</v>
      </c>
      <c r="D383" s="38">
        <f>MAX($B$2:B383)</f>
        <v>109967.49430000001</v>
      </c>
      <c r="E383" s="40">
        <f t="shared" si="20"/>
        <v>-0.10145517046667862</v>
      </c>
      <c r="F383" s="41">
        <f t="shared" si="21"/>
        <v>89.854482953332138</v>
      </c>
      <c r="G383" s="42" t="str">
        <f t="shared" si="22"/>
        <v>2023-07</v>
      </c>
    </row>
    <row r="384" spans="1:7" x14ac:dyDescent="0.25">
      <c r="A384" s="31">
        <v>45120</v>
      </c>
      <c r="B384" s="32">
        <v>100237.90790000001</v>
      </c>
      <c r="C384" s="33">
        <f t="shared" si="23"/>
        <v>1.4443619382622064E-2</v>
      </c>
      <c r="D384" s="32">
        <f>MAX($B$2:B384)</f>
        <v>109967.49430000001</v>
      </c>
      <c r="E384" s="34">
        <f t="shared" si="20"/>
        <v>-8.8476930950676436E-2</v>
      </c>
      <c r="F384" s="35">
        <f t="shared" si="21"/>
        <v>91.15230690493236</v>
      </c>
      <c r="G384" s="36" t="str">
        <f t="shared" si="22"/>
        <v>2023-07</v>
      </c>
    </row>
    <row r="385" spans="1:7" x14ac:dyDescent="0.25">
      <c r="A385" s="37">
        <v>45121</v>
      </c>
      <c r="B385" s="38">
        <v>100447.7371</v>
      </c>
      <c r="C385" s="39">
        <f t="shared" si="23"/>
        <v>2.0933118457473476E-3</v>
      </c>
      <c r="D385" s="38">
        <f>MAX($B$2:B385)</f>
        <v>109967.49430000001</v>
      </c>
      <c r="E385" s="40">
        <f t="shared" si="20"/>
        <v>-8.6568828912563567E-2</v>
      </c>
      <c r="F385" s="41">
        <f t="shared" si="21"/>
        <v>91.343117108743641</v>
      </c>
      <c r="G385" s="42" t="str">
        <f t="shared" si="22"/>
        <v>2023-07</v>
      </c>
    </row>
    <row r="386" spans="1:7" x14ac:dyDescent="0.25">
      <c r="A386" s="31">
        <v>45124</v>
      </c>
      <c r="B386" s="32">
        <v>101239.69809999999</v>
      </c>
      <c r="C386" s="33">
        <f t="shared" si="23"/>
        <v>7.8843090234235191E-3</v>
      </c>
      <c r="D386" s="32">
        <f>MAX($B$2:B386)</f>
        <v>109967.49430000001</v>
      </c>
      <c r="E386" s="34">
        <f t="shared" ref="E386:E449" si="24">B386/D386-1</f>
        <v>-7.9367055288082633E-2</v>
      </c>
      <c r="F386" s="35">
        <f t="shared" ref="F386:F449" si="25">B386/$B$2*100</f>
        <v>92.063294471191739</v>
      </c>
      <c r="G386" s="36" t="str">
        <f t="shared" ref="G386:G449" si="26">TEXT(A386,"YYYY-MM")</f>
        <v>2023-07</v>
      </c>
    </row>
    <row r="387" spans="1:7" x14ac:dyDescent="0.25">
      <c r="A387" s="37">
        <v>45125</v>
      </c>
      <c r="B387" s="38">
        <v>102129.55100000001</v>
      </c>
      <c r="C387" s="39">
        <f t="shared" ref="C387:C450" si="27">B387/B386-1</f>
        <v>8.789564930557825E-3</v>
      </c>
      <c r="D387" s="38">
        <f>MAX($B$2:B387)</f>
        <v>109967.49430000001</v>
      </c>
      <c r="E387" s="40">
        <f t="shared" si="24"/>
        <v>-7.1275092243326621E-2</v>
      </c>
      <c r="F387" s="41">
        <f t="shared" si="25"/>
        <v>92.872490775667345</v>
      </c>
      <c r="G387" s="42" t="str">
        <f t="shared" si="26"/>
        <v>2023-07</v>
      </c>
    </row>
    <row r="388" spans="1:7" x14ac:dyDescent="0.25">
      <c r="A388" s="31">
        <v>45126</v>
      </c>
      <c r="B388" s="32">
        <v>102075.5194</v>
      </c>
      <c r="C388" s="33">
        <f t="shared" si="27"/>
        <v>-5.2904961855748667E-4</v>
      </c>
      <c r="D388" s="32">
        <f>MAX($B$2:B388)</f>
        <v>109967.49430000001</v>
      </c>
      <c r="E388" s="34">
        <f t="shared" si="24"/>
        <v>-7.1766433801520257E-2</v>
      </c>
      <c r="F388" s="35">
        <f t="shared" si="25"/>
        <v>92.823356619847971</v>
      </c>
      <c r="G388" s="36" t="str">
        <f t="shared" si="26"/>
        <v>2023-07</v>
      </c>
    </row>
    <row r="389" spans="1:7" x14ac:dyDescent="0.25">
      <c r="A389" s="37">
        <v>45127</v>
      </c>
      <c r="B389" s="38">
        <v>99423.527600000001</v>
      </c>
      <c r="C389" s="39">
        <f t="shared" si="27"/>
        <v>-2.5980683866106302E-2</v>
      </c>
      <c r="D389" s="38">
        <f>MAX($B$2:B389)</f>
        <v>109967.49430000001</v>
      </c>
      <c r="E389" s="40">
        <f t="shared" si="24"/>
        <v>-9.5882576638831374E-2</v>
      </c>
      <c r="F389" s="41">
        <f t="shared" si="25"/>
        <v>90.411742336116859</v>
      </c>
      <c r="G389" s="42" t="str">
        <f t="shared" si="26"/>
        <v>2023-07</v>
      </c>
    </row>
    <row r="390" spans="1:7" x14ac:dyDescent="0.25">
      <c r="A390" s="31">
        <v>45128</v>
      </c>
      <c r="B390" s="32">
        <v>99073.426170000006</v>
      </c>
      <c r="C390" s="33">
        <f t="shared" si="27"/>
        <v>-3.5213137016071316E-3</v>
      </c>
      <c r="D390" s="32">
        <f>MAX($B$2:B390)</f>
        <v>109967.49430000001</v>
      </c>
      <c r="E390" s="34">
        <f t="shared" si="24"/>
        <v>-9.9066257709574779E-2</v>
      </c>
      <c r="F390" s="35">
        <f t="shared" si="25"/>
        <v>90.093374229042524</v>
      </c>
      <c r="G390" s="36" t="str">
        <f t="shared" si="26"/>
        <v>2023-07</v>
      </c>
    </row>
    <row r="391" spans="1:7" x14ac:dyDescent="0.25">
      <c r="A391" s="37">
        <v>45131</v>
      </c>
      <c r="B391" s="38">
        <v>99851.014139999999</v>
      </c>
      <c r="C391" s="39">
        <f t="shared" si="27"/>
        <v>7.8486027995612329E-3</v>
      </c>
      <c r="D391" s="38">
        <f>MAX($B$2:B391)</f>
        <v>109967.49430000001</v>
      </c>
      <c r="E391" s="40">
        <f t="shared" si="24"/>
        <v>-9.1995186617614966E-2</v>
      </c>
      <c r="F391" s="41">
        <f t="shared" si="25"/>
        <v>90.800481338238498</v>
      </c>
      <c r="G391" s="42" t="str">
        <f t="shared" si="26"/>
        <v>2023-07</v>
      </c>
    </row>
    <row r="392" spans="1:7" x14ac:dyDescent="0.25">
      <c r="A392" s="31">
        <v>45132</v>
      </c>
      <c r="B392" s="32">
        <v>100268.9994</v>
      </c>
      <c r="C392" s="33">
        <f t="shared" si="27"/>
        <v>4.1860892811158568E-3</v>
      </c>
      <c r="D392" s="32">
        <f>MAX($B$2:B392)</f>
        <v>109967.49430000001</v>
      </c>
      <c r="E392" s="34">
        <f t="shared" si="24"/>
        <v>-8.8194197401113339E-2</v>
      </c>
      <c r="F392" s="35">
        <f t="shared" si="25"/>
        <v>91.180580259888671</v>
      </c>
      <c r="G392" s="36" t="str">
        <f t="shared" si="26"/>
        <v>2023-07</v>
      </c>
    </row>
    <row r="393" spans="1:7" x14ac:dyDescent="0.25">
      <c r="A393" s="37">
        <v>45133</v>
      </c>
      <c r="B393" s="38">
        <v>100009.26360000001</v>
      </c>
      <c r="C393" s="39">
        <f t="shared" si="27"/>
        <v>-2.590389866800602E-3</v>
      </c>
      <c r="D393" s="38">
        <f>MAX($B$2:B393)</f>
        <v>109967.49430000001</v>
      </c>
      <c r="E393" s="40">
        <f t="shared" si="24"/>
        <v>-9.0556129912655492E-2</v>
      </c>
      <c r="F393" s="41">
        <f t="shared" si="25"/>
        <v>90.944387008734452</v>
      </c>
      <c r="G393" s="42" t="str">
        <f t="shared" si="26"/>
        <v>2023-07</v>
      </c>
    </row>
    <row r="394" spans="1:7" x14ac:dyDescent="0.25">
      <c r="A394" s="31">
        <v>45134</v>
      </c>
      <c r="B394" s="32">
        <v>99110.193899999998</v>
      </c>
      <c r="C394" s="33">
        <f t="shared" si="27"/>
        <v>-8.9898642149386365E-3</v>
      </c>
      <c r="D394" s="32">
        <f>MAX($B$2:B394)</f>
        <v>109967.49430000001</v>
      </c>
      <c r="E394" s="34">
        <f t="shared" si="24"/>
        <v>-9.873190681584898E-2</v>
      </c>
      <c r="F394" s="35">
        <f t="shared" si="25"/>
        <v>90.126809318415098</v>
      </c>
      <c r="G394" s="36" t="str">
        <f t="shared" si="26"/>
        <v>2023-07</v>
      </c>
    </row>
    <row r="395" spans="1:7" x14ac:dyDescent="0.25">
      <c r="A395" s="37">
        <v>45135</v>
      </c>
      <c r="B395" s="38">
        <v>100869.47100000001</v>
      </c>
      <c r="C395" s="39">
        <f t="shared" si="27"/>
        <v>1.7750717971302565E-2</v>
      </c>
      <c r="D395" s="38">
        <f>MAX($B$2:B395)</f>
        <v>109967.49430000001</v>
      </c>
      <c r="E395" s="40">
        <f t="shared" si="24"/>
        <v>-8.2733751077203599E-2</v>
      </c>
      <c r="F395" s="41">
        <f t="shared" si="25"/>
        <v>91.726624892279645</v>
      </c>
      <c r="G395" s="42" t="str">
        <f t="shared" si="26"/>
        <v>2023-07</v>
      </c>
    </row>
    <row r="396" spans="1:7" x14ac:dyDescent="0.25">
      <c r="A396" s="31">
        <v>45138</v>
      </c>
      <c r="B396" s="32">
        <v>100914.4709</v>
      </c>
      <c r="C396" s="33">
        <f t="shared" si="27"/>
        <v>4.461201149750238E-4</v>
      </c>
      <c r="D396" s="32">
        <f>MAX($B$2:B396)</f>
        <v>109967.49430000001</v>
      </c>
      <c r="E396" s="34">
        <f t="shared" si="24"/>
        <v>-8.2324540152771353E-2</v>
      </c>
      <c r="F396" s="35">
        <f t="shared" si="25"/>
        <v>91.767545984722858</v>
      </c>
      <c r="G396" s="36" t="str">
        <f t="shared" si="26"/>
        <v>2023-07</v>
      </c>
    </row>
    <row r="397" spans="1:7" x14ac:dyDescent="0.25">
      <c r="A397" s="37">
        <v>45139</v>
      </c>
      <c r="B397" s="38">
        <v>100293.7501</v>
      </c>
      <c r="C397" s="39">
        <f t="shared" si="27"/>
        <v>-6.1509592674284796E-3</v>
      </c>
      <c r="D397" s="38">
        <f>MAX($B$2:B397)</f>
        <v>109967.49430000001</v>
      </c>
      <c r="E397" s="40">
        <f t="shared" si="24"/>
        <v>-8.7969124527010334E-2</v>
      </c>
      <c r="F397" s="41">
        <f t="shared" si="25"/>
        <v>91.203087547298963</v>
      </c>
      <c r="G397" s="42" t="str">
        <f t="shared" si="26"/>
        <v>2023-08</v>
      </c>
    </row>
    <row r="398" spans="1:7" x14ac:dyDescent="0.25">
      <c r="A398" s="31">
        <v>45140</v>
      </c>
      <c r="B398" s="32">
        <v>98238.820340000006</v>
      </c>
      <c r="C398" s="33">
        <f t="shared" si="27"/>
        <v>-2.048911081648741E-2</v>
      </c>
      <c r="D398" s="32">
        <f>MAX($B$2:B398)</f>
        <v>109967.49430000001</v>
      </c>
      <c r="E398" s="34">
        <f t="shared" si="24"/>
        <v>-0.10665582620263447</v>
      </c>
      <c r="F398" s="35">
        <f t="shared" si="25"/>
        <v>89.33441737973655</v>
      </c>
      <c r="G398" s="36" t="str">
        <f t="shared" si="26"/>
        <v>2023-08</v>
      </c>
    </row>
    <row r="399" spans="1:7" x14ac:dyDescent="0.25">
      <c r="A399" s="37">
        <v>45141</v>
      </c>
      <c r="B399" s="38">
        <v>98198.451839999994</v>
      </c>
      <c r="C399" s="39">
        <f t="shared" si="27"/>
        <v>-4.1092207602144715E-4</v>
      </c>
      <c r="D399" s="38">
        <f>MAX($B$2:B399)</f>
        <v>109967.49430000001</v>
      </c>
      <c r="E399" s="40">
        <f t="shared" si="24"/>
        <v>-0.107022921045133</v>
      </c>
      <c r="F399" s="41">
        <f t="shared" si="25"/>
        <v>89.297707895486695</v>
      </c>
      <c r="G399" s="42" t="str">
        <f t="shared" si="26"/>
        <v>2023-08</v>
      </c>
    </row>
    <row r="400" spans="1:7" x14ac:dyDescent="0.25">
      <c r="A400" s="31">
        <v>45142</v>
      </c>
      <c r="B400" s="32">
        <v>97644.284669999994</v>
      </c>
      <c r="C400" s="33">
        <f t="shared" si="27"/>
        <v>-5.6433391730343896E-3</v>
      </c>
      <c r="D400" s="32">
        <f>MAX($B$2:B400)</f>
        <v>109967.49430000001</v>
      </c>
      <c r="E400" s="34">
        <f t="shared" si="24"/>
        <v>-0.11206229357542075</v>
      </c>
      <c r="F400" s="35">
        <f t="shared" si="25"/>
        <v>88.793770642457929</v>
      </c>
      <c r="G400" s="36" t="str">
        <f t="shared" si="26"/>
        <v>2023-08</v>
      </c>
    </row>
    <row r="401" spans="1:7" x14ac:dyDescent="0.25">
      <c r="A401" s="37">
        <v>45145</v>
      </c>
      <c r="B401" s="38">
        <v>98045.581779999993</v>
      </c>
      <c r="C401" s="39">
        <f t="shared" si="27"/>
        <v>4.1097859578389517E-3</v>
      </c>
      <c r="D401" s="38">
        <f>MAX($B$2:B401)</f>
        <v>109967.49430000001</v>
      </c>
      <c r="E401" s="40">
        <f t="shared" si="24"/>
        <v>-0.10841305965812131</v>
      </c>
      <c r="F401" s="41">
        <f t="shared" si="25"/>
        <v>89.158694034187874</v>
      </c>
      <c r="G401" s="42" t="str">
        <f t="shared" si="26"/>
        <v>2023-08</v>
      </c>
    </row>
    <row r="402" spans="1:7" x14ac:dyDescent="0.25">
      <c r="A402" s="31">
        <v>45146</v>
      </c>
      <c r="B402" s="32">
        <v>97379.384040000004</v>
      </c>
      <c r="C402" s="33">
        <f t="shared" si="27"/>
        <v>-6.7947757349723359E-3</v>
      </c>
      <c r="D402" s="32">
        <f>MAX($B$2:B402)</f>
        <v>109967.49430000001</v>
      </c>
      <c r="E402" s="34">
        <f t="shared" si="24"/>
        <v>-0.11447119296597452</v>
      </c>
      <c r="F402" s="35">
        <f t="shared" si="25"/>
        <v>88.55288070340255</v>
      </c>
      <c r="G402" s="36" t="str">
        <f t="shared" si="26"/>
        <v>2023-08</v>
      </c>
    </row>
    <row r="403" spans="1:7" x14ac:dyDescent="0.25">
      <c r="A403" s="37">
        <v>45147</v>
      </c>
      <c r="B403" s="38">
        <v>96191.063920000001</v>
      </c>
      <c r="C403" s="39">
        <f t="shared" si="27"/>
        <v>-1.2202994830115999E-2</v>
      </c>
      <c r="D403" s="38">
        <f>MAX($B$2:B403)</f>
        <v>109967.49430000001</v>
      </c>
      <c r="E403" s="40">
        <f t="shared" si="24"/>
        <v>-0.12527729642012952</v>
      </c>
      <c r="F403" s="41">
        <f t="shared" si="25"/>
        <v>87.472270357987043</v>
      </c>
      <c r="G403" s="42" t="str">
        <f t="shared" si="26"/>
        <v>2023-08</v>
      </c>
    </row>
    <row r="404" spans="1:7" x14ac:dyDescent="0.25">
      <c r="A404" s="31">
        <v>45148</v>
      </c>
      <c r="B404" s="32">
        <v>96364.391940000001</v>
      </c>
      <c r="C404" s="33">
        <f t="shared" si="27"/>
        <v>1.8019139505947024E-3</v>
      </c>
      <c r="D404" s="32">
        <f>MAX($B$2:B404)</f>
        <v>109967.49430000001</v>
      </c>
      <c r="E404" s="34">
        <f t="shared" si="24"/>
        <v>-0.12370112137764699</v>
      </c>
      <c r="F404" s="35">
        <f t="shared" si="25"/>
        <v>87.629887862235307</v>
      </c>
      <c r="G404" s="36" t="str">
        <f t="shared" si="26"/>
        <v>2023-08</v>
      </c>
    </row>
    <row r="405" spans="1:7" x14ac:dyDescent="0.25">
      <c r="A405" s="37">
        <v>45149</v>
      </c>
      <c r="B405" s="38">
        <v>95870.055269999997</v>
      </c>
      <c r="C405" s="39">
        <f t="shared" si="27"/>
        <v>-5.1298686169035657E-3</v>
      </c>
      <c r="D405" s="38">
        <f>MAX($B$2:B405)</f>
        <v>109967.49430000001</v>
      </c>
      <c r="E405" s="40">
        <f t="shared" si="24"/>
        <v>-0.12819641949411964</v>
      </c>
      <c r="F405" s="41">
        <f t="shared" si="25"/>
        <v>87.18035805058804</v>
      </c>
      <c r="G405" s="42" t="str">
        <f t="shared" si="26"/>
        <v>2023-08</v>
      </c>
    </row>
    <row r="406" spans="1:7" x14ac:dyDescent="0.25">
      <c r="A406" s="31">
        <v>45152</v>
      </c>
      <c r="B406" s="32">
        <v>96671.195070000002</v>
      </c>
      <c r="C406" s="33">
        <f t="shared" si="27"/>
        <v>8.3565175564335181E-3</v>
      </c>
      <c r="D406" s="32">
        <f>MAX($B$2:B406)</f>
        <v>109967.49430000001</v>
      </c>
      <c r="E406" s="34">
        <f t="shared" si="24"/>
        <v>-0.12091117756786063</v>
      </c>
      <c r="F406" s="35">
        <f t="shared" si="25"/>
        <v>87.908882243213938</v>
      </c>
      <c r="G406" s="36" t="str">
        <f t="shared" si="26"/>
        <v>2023-08</v>
      </c>
    </row>
    <row r="407" spans="1:7" x14ac:dyDescent="0.25">
      <c r="A407" s="37">
        <v>45153</v>
      </c>
      <c r="B407" s="38">
        <v>95317.398830000006</v>
      </c>
      <c r="C407" s="39">
        <f t="shared" si="27"/>
        <v>-1.4004132658334334E-2</v>
      </c>
      <c r="D407" s="38">
        <f>MAX($B$2:B407)</f>
        <v>109967.49430000001</v>
      </c>
      <c r="E407" s="40">
        <f t="shared" si="24"/>
        <v>-0.13322205405565923</v>
      </c>
      <c r="F407" s="41">
        <f t="shared" si="25"/>
        <v>86.677794594434076</v>
      </c>
      <c r="G407" s="42" t="str">
        <f t="shared" si="26"/>
        <v>2023-08</v>
      </c>
    </row>
    <row r="408" spans="1:7" x14ac:dyDescent="0.25">
      <c r="A408" s="31">
        <v>45154</v>
      </c>
      <c r="B408" s="32">
        <v>94396.044500000004</v>
      </c>
      <c r="C408" s="33">
        <f t="shared" si="27"/>
        <v>-9.6661715626886746E-3</v>
      </c>
      <c r="D408" s="32">
        <f>MAX($B$2:B408)</f>
        <v>109967.49430000001</v>
      </c>
      <c r="E408" s="34">
        <f t="shared" si="24"/>
        <v>-0.14160047838791212</v>
      </c>
      <c r="F408" s="35">
        <f t="shared" si="25"/>
        <v>85.839952161208785</v>
      </c>
      <c r="G408" s="36" t="str">
        <f t="shared" si="26"/>
        <v>2023-08</v>
      </c>
    </row>
    <row r="409" spans="1:7" x14ac:dyDescent="0.25">
      <c r="A409" s="37">
        <v>45155</v>
      </c>
      <c r="B409" s="38">
        <v>93455.537719999993</v>
      </c>
      <c r="C409" s="39">
        <f t="shared" si="27"/>
        <v>-9.9634130326299308E-3</v>
      </c>
      <c r="D409" s="38">
        <f>MAX($B$2:B409)</f>
        <v>109967.49430000001</v>
      </c>
      <c r="E409" s="40">
        <f t="shared" si="24"/>
        <v>-0.15015306736874523</v>
      </c>
      <c r="F409" s="41">
        <f t="shared" si="25"/>
        <v>84.984693263125479</v>
      </c>
      <c r="G409" s="42" t="str">
        <f t="shared" si="26"/>
        <v>2023-08</v>
      </c>
    </row>
    <row r="410" spans="1:7" x14ac:dyDescent="0.25">
      <c r="A410" s="31">
        <v>45156</v>
      </c>
      <c r="B410" s="32">
        <v>93198.028789999997</v>
      </c>
      <c r="C410" s="33">
        <f t="shared" si="27"/>
        <v>-2.7554164930441161E-3</v>
      </c>
      <c r="D410" s="32">
        <f>MAX($B$2:B410)</f>
        <v>109967.49430000001</v>
      </c>
      <c r="E410" s="34">
        <f t="shared" si="24"/>
        <v>-0.15249474962348042</v>
      </c>
      <c r="F410" s="35">
        <f t="shared" si="25"/>
        <v>84.750525037651954</v>
      </c>
      <c r="G410" s="36" t="str">
        <f t="shared" si="26"/>
        <v>2023-08</v>
      </c>
    </row>
    <row r="411" spans="1:7" x14ac:dyDescent="0.25">
      <c r="A411" s="37">
        <v>45159</v>
      </c>
      <c r="B411" s="38">
        <v>94834.834589999999</v>
      </c>
      <c r="C411" s="39">
        <f t="shared" si="27"/>
        <v>1.7562665447443671E-2</v>
      </c>
      <c r="D411" s="38">
        <f>MAX($B$2:B411)</f>
        <v>109967.49430000001</v>
      </c>
      <c r="E411" s="40">
        <f t="shared" si="24"/>
        <v>-0.13761029844616557</v>
      </c>
      <c r="F411" s="41">
        <f t="shared" si="25"/>
        <v>86.238970155383441</v>
      </c>
      <c r="G411" s="42" t="str">
        <f t="shared" si="26"/>
        <v>2023-08</v>
      </c>
    </row>
    <row r="412" spans="1:7" x14ac:dyDescent="0.25">
      <c r="A412" s="31">
        <v>45160</v>
      </c>
      <c r="B412" s="32">
        <v>94818.688280000002</v>
      </c>
      <c r="C412" s="33">
        <f t="shared" si="27"/>
        <v>-1.7025716415075554E-4</v>
      </c>
      <c r="D412" s="32">
        <f>MAX($B$2:B412)</f>
        <v>109967.49430000001</v>
      </c>
      <c r="E412" s="34">
        <f t="shared" si="24"/>
        <v>-0.13775712647114491</v>
      </c>
      <c r="F412" s="35">
        <f t="shared" si="25"/>
        <v>86.224287352885511</v>
      </c>
      <c r="G412" s="36" t="str">
        <f t="shared" si="26"/>
        <v>2023-08</v>
      </c>
    </row>
    <row r="413" spans="1:7" x14ac:dyDescent="0.25">
      <c r="A413" s="37">
        <v>45161</v>
      </c>
      <c r="B413" s="38">
        <v>96271.131479999996</v>
      </c>
      <c r="C413" s="39">
        <f t="shared" si="27"/>
        <v>1.5318111084925867E-2</v>
      </c>
      <c r="D413" s="38">
        <f>MAX($B$2:B413)</f>
        <v>109967.49430000001</v>
      </c>
      <c r="E413" s="40">
        <f t="shared" si="24"/>
        <v>-0.12454919435224421</v>
      </c>
      <c r="F413" s="41">
        <f t="shared" si="25"/>
        <v>87.545080564775574</v>
      </c>
      <c r="G413" s="42" t="str">
        <f t="shared" si="26"/>
        <v>2023-08</v>
      </c>
    </row>
    <row r="414" spans="1:7" x14ac:dyDescent="0.25">
      <c r="A414" s="31">
        <v>45162</v>
      </c>
      <c r="B414" s="32">
        <v>94459.837880000006</v>
      </c>
      <c r="C414" s="33">
        <f t="shared" si="27"/>
        <v>-1.8814504121375974E-2</v>
      </c>
      <c r="D414" s="32">
        <f>MAX($B$2:B414)</f>
        <v>109967.49430000001</v>
      </c>
      <c r="E414" s="34">
        <f t="shared" si="24"/>
        <v>-0.1410203671431659</v>
      </c>
      <c r="F414" s="35">
        <f t="shared" si="25"/>
        <v>85.897963285683403</v>
      </c>
      <c r="G414" s="36" t="str">
        <f t="shared" si="26"/>
        <v>2023-08</v>
      </c>
    </row>
    <row r="415" spans="1:7" x14ac:dyDescent="0.25">
      <c r="A415" s="37">
        <v>45163</v>
      </c>
      <c r="B415" s="38">
        <v>95425.073090000005</v>
      </c>
      <c r="C415" s="39">
        <f t="shared" si="27"/>
        <v>1.0218472015865787E-2</v>
      </c>
      <c r="D415" s="38">
        <f>MAX($B$2:B415)</f>
        <v>109967.49430000001</v>
      </c>
      <c r="E415" s="40">
        <f t="shared" si="24"/>
        <v>-0.1322429078026196</v>
      </c>
      <c r="F415" s="41">
        <f t="shared" si="25"/>
        <v>86.775709219738033</v>
      </c>
      <c r="G415" s="42" t="str">
        <f t="shared" si="26"/>
        <v>2023-08</v>
      </c>
    </row>
    <row r="416" spans="1:7" x14ac:dyDescent="0.25">
      <c r="A416" s="31">
        <v>45166</v>
      </c>
      <c r="B416" s="32">
        <v>96013.543890000001</v>
      </c>
      <c r="C416" s="33">
        <f t="shared" si="27"/>
        <v>6.1668362511493324E-3</v>
      </c>
      <c r="D416" s="32">
        <f>MAX($B$2:B416)</f>
        <v>109967.49430000001</v>
      </c>
      <c r="E416" s="34">
        <f t="shared" si="24"/>
        <v>-0.1268915919092648</v>
      </c>
      <c r="F416" s="35">
        <f t="shared" si="25"/>
        <v>87.310840809073525</v>
      </c>
      <c r="G416" s="36" t="str">
        <f t="shared" si="26"/>
        <v>2023-08</v>
      </c>
    </row>
    <row r="417" spans="1:7" x14ac:dyDescent="0.25">
      <c r="A417" s="37">
        <v>45167</v>
      </c>
      <c r="B417" s="38">
        <v>98296.197469999999</v>
      </c>
      <c r="C417" s="39">
        <f t="shared" si="27"/>
        <v>2.3774287329870525E-2</v>
      </c>
      <c r="D417" s="38">
        <f>MAX($B$2:B417)</f>
        <v>109967.49430000001</v>
      </c>
      <c r="E417" s="40">
        <f t="shared" si="24"/>
        <v>-0.1061340617451898</v>
      </c>
      <c r="F417" s="41">
        <f t="shared" si="25"/>
        <v>89.386593825481015</v>
      </c>
      <c r="G417" s="42" t="str">
        <f t="shared" si="26"/>
        <v>2023-08</v>
      </c>
    </row>
    <row r="418" spans="1:7" x14ac:dyDescent="0.25">
      <c r="A418" s="31">
        <v>45168</v>
      </c>
      <c r="B418" s="32">
        <v>98803.236919999996</v>
      </c>
      <c r="C418" s="33">
        <f t="shared" si="27"/>
        <v>5.1582814295003665E-3</v>
      </c>
      <c r="D418" s="32">
        <f>MAX($B$2:B418)</f>
        <v>109967.49430000001</v>
      </c>
      <c r="E418" s="34">
        <f t="shared" si="24"/>
        <v>-0.10152324967542714</v>
      </c>
      <c r="F418" s="35">
        <f t="shared" si="25"/>
        <v>89.847675032457289</v>
      </c>
      <c r="G418" s="36" t="str">
        <f t="shared" si="26"/>
        <v>2023-08</v>
      </c>
    </row>
    <row r="419" spans="1:7" x14ac:dyDescent="0.25">
      <c r="A419" s="37">
        <v>45169</v>
      </c>
      <c r="B419" s="38">
        <v>98864.068870000003</v>
      </c>
      <c r="C419" s="39">
        <f t="shared" si="27"/>
        <v>6.156878245726638E-4</v>
      </c>
      <c r="D419" s="38">
        <f>MAX($B$2:B419)</f>
        <v>109967.49430000001</v>
      </c>
      <c r="E419" s="40">
        <f t="shared" si="24"/>
        <v>-0.10097006847959067</v>
      </c>
      <c r="F419" s="41">
        <f t="shared" si="25"/>
        <v>89.902993152040935</v>
      </c>
      <c r="G419" s="42" t="str">
        <f t="shared" si="26"/>
        <v>2023-08</v>
      </c>
    </row>
    <row r="420" spans="1:7" x14ac:dyDescent="0.25">
      <c r="A420" s="31">
        <v>45170</v>
      </c>
      <c r="B420" s="32">
        <v>98445.056419999994</v>
      </c>
      <c r="C420" s="33">
        <f t="shared" si="27"/>
        <v>-4.238268309096016E-3</v>
      </c>
      <c r="D420" s="32">
        <f>MAX($B$2:B420)</f>
        <v>109967.49430000001</v>
      </c>
      <c r="E420" s="34">
        <f t="shared" si="24"/>
        <v>-0.10478039854728249</v>
      </c>
      <c r="F420" s="35">
        <f t="shared" si="25"/>
        <v>89.521960145271748</v>
      </c>
      <c r="G420" s="36" t="str">
        <f t="shared" si="26"/>
        <v>2023-09</v>
      </c>
    </row>
    <row r="421" spans="1:7" x14ac:dyDescent="0.25">
      <c r="A421" s="37">
        <v>45174</v>
      </c>
      <c r="B421" s="38">
        <v>99006.920970000006</v>
      </c>
      <c r="C421" s="39">
        <f t="shared" si="27"/>
        <v>5.7073922290511447E-3</v>
      </c>
      <c r="D421" s="38">
        <f>MAX($B$2:B421)</f>
        <v>109967.49430000001</v>
      </c>
      <c r="E421" s="40">
        <f t="shared" si="24"/>
        <v>-9.9671029150656953E-2</v>
      </c>
      <c r="F421" s="41">
        <f t="shared" si="25"/>
        <v>90.032897084934305</v>
      </c>
      <c r="G421" s="42" t="str">
        <f t="shared" si="26"/>
        <v>2023-09</v>
      </c>
    </row>
    <row r="422" spans="1:7" x14ac:dyDescent="0.25">
      <c r="A422" s="31">
        <v>45175</v>
      </c>
      <c r="B422" s="32">
        <v>97784.024009999994</v>
      </c>
      <c r="C422" s="33">
        <f t="shared" si="27"/>
        <v>-1.2351631057899048E-2</v>
      </c>
      <c r="D422" s="32">
        <f>MAX($B$2:B422)</f>
        <v>109967.49430000001</v>
      </c>
      <c r="E422" s="34">
        <f t="shared" si="24"/>
        <v>-0.11079156042932603</v>
      </c>
      <c r="F422" s="35">
        <f t="shared" si="25"/>
        <v>88.92084395706739</v>
      </c>
      <c r="G422" s="36" t="str">
        <f t="shared" si="26"/>
        <v>2023-09</v>
      </c>
    </row>
    <row r="423" spans="1:7" x14ac:dyDescent="0.25">
      <c r="A423" s="37">
        <v>45176</v>
      </c>
      <c r="B423" s="38">
        <v>97119.074550000005</v>
      </c>
      <c r="C423" s="39">
        <f t="shared" si="27"/>
        <v>-6.8001850683909737E-3</v>
      </c>
      <c r="D423" s="38">
        <f>MAX($B$2:B423)</f>
        <v>109967.49430000001</v>
      </c>
      <c r="E423" s="40">
        <f t="shared" si="24"/>
        <v>-0.11683834238278179</v>
      </c>
      <c r="F423" s="41">
        <f t="shared" si="25"/>
        <v>88.31616576172182</v>
      </c>
      <c r="G423" s="42" t="str">
        <f t="shared" si="26"/>
        <v>2023-09</v>
      </c>
    </row>
    <row r="424" spans="1:7" x14ac:dyDescent="0.25">
      <c r="A424" s="31">
        <v>45177</v>
      </c>
      <c r="B424" s="32">
        <v>97264.0527</v>
      </c>
      <c r="C424" s="33">
        <f t="shared" si="27"/>
        <v>1.4927875978199001E-3</v>
      </c>
      <c r="D424" s="32">
        <f>MAX($B$2:B424)</f>
        <v>109967.49430000001</v>
      </c>
      <c r="E424" s="34">
        <f t="shared" si="24"/>
        <v>-0.11551996961342059</v>
      </c>
      <c r="F424" s="35">
        <f t="shared" si="25"/>
        <v>88.448003038657944</v>
      </c>
      <c r="G424" s="36" t="str">
        <f t="shared" si="26"/>
        <v>2023-09</v>
      </c>
    </row>
    <row r="425" spans="1:7" x14ac:dyDescent="0.25">
      <c r="A425" s="37">
        <v>45180</v>
      </c>
      <c r="B425" s="38">
        <v>99033.68793</v>
      </c>
      <c r="C425" s="39">
        <f t="shared" si="27"/>
        <v>1.8194134224061687E-2</v>
      </c>
      <c r="D425" s="38">
        <f>MAX($B$2:B425)</f>
        <v>109967.49430000001</v>
      </c>
      <c r="E425" s="40">
        <f t="shared" si="24"/>
        <v>-9.9427621222065166E-2</v>
      </c>
      <c r="F425" s="41">
        <f t="shared" si="25"/>
        <v>90.057237877793483</v>
      </c>
      <c r="G425" s="42" t="str">
        <f t="shared" si="26"/>
        <v>2023-09</v>
      </c>
    </row>
    <row r="426" spans="1:7" x14ac:dyDescent="0.25">
      <c r="A426" s="31">
        <v>45181</v>
      </c>
      <c r="B426" s="32">
        <v>98027.255780000007</v>
      </c>
      <c r="C426" s="33">
        <f t="shared" si="27"/>
        <v>-1.0162523188183892E-2</v>
      </c>
      <c r="D426" s="32">
        <f>MAX($B$2:B426)</f>
        <v>109967.49430000001</v>
      </c>
      <c r="E426" s="34">
        <f t="shared" si="24"/>
        <v>-0.10857970890403379</v>
      </c>
      <c r="F426" s="35">
        <f t="shared" si="25"/>
        <v>89.142029109596621</v>
      </c>
      <c r="G426" s="36" t="str">
        <f t="shared" si="26"/>
        <v>2023-09</v>
      </c>
    </row>
    <row r="427" spans="1:7" x14ac:dyDescent="0.25">
      <c r="A427" s="37">
        <v>45182</v>
      </c>
      <c r="B427" s="38">
        <v>98526.203080000007</v>
      </c>
      <c r="C427" s="39">
        <f t="shared" si="27"/>
        <v>5.0898833801873433E-3</v>
      </c>
      <c r="D427" s="38">
        <f>MAX($B$2:B427)</f>
        <v>109967.49430000001</v>
      </c>
      <c r="E427" s="40">
        <f t="shared" si="24"/>
        <v>-0.10404248357962265</v>
      </c>
      <c r="F427" s="41">
        <f t="shared" si="25"/>
        <v>89.59575164203774</v>
      </c>
      <c r="G427" s="42" t="str">
        <f t="shared" si="26"/>
        <v>2023-09</v>
      </c>
    </row>
    <row r="428" spans="1:7" x14ac:dyDescent="0.25">
      <c r="A428" s="31">
        <v>45183</v>
      </c>
      <c r="B428" s="32">
        <v>99424.943620000005</v>
      </c>
      <c r="C428" s="33">
        <f t="shared" si="27"/>
        <v>9.1218428388055717E-3</v>
      </c>
      <c r="D428" s="32">
        <f>MAX($B$2:B428)</f>
        <v>109967.49430000001</v>
      </c>
      <c r="E428" s="34">
        <f t="shared" si="24"/>
        <v>-9.5869699924589491E-2</v>
      </c>
      <c r="F428" s="35">
        <f t="shared" si="25"/>
        <v>90.413030007541053</v>
      </c>
      <c r="G428" s="36" t="str">
        <f t="shared" si="26"/>
        <v>2023-09</v>
      </c>
    </row>
    <row r="429" spans="1:7" x14ac:dyDescent="0.25">
      <c r="A429" s="37">
        <v>45184</v>
      </c>
      <c r="B429" s="38">
        <v>98029.35871</v>
      </c>
      <c r="C429" s="39">
        <f t="shared" si="27"/>
        <v>-1.4036567275651723E-2</v>
      </c>
      <c r="D429" s="38">
        <f>MAX($B$2:B429)</f>
        <v>109967.49430000001</v>
      </c>
      <c r="E429" s="40">
        <f t="shared" si="24"/>
        <v>-0.10856058570755311</v>
      </c>
      <c r="F429" s="41">
        <f t="shared" si="25"/>
        <v>89.143941429244691</v>
      </c>
      <c r="G429" s="42" t="str">
        <f t="shared" si="26"/>
        <v>2023-09</v>
      </c>
    </row>
    <row r="430" spans="1:7" x14ac:dyDescent="0.25">
      <c r="A430" s="31">
        <v>45187</v>
      </c>
      <c r="B430" s="32">
        <v>97790.275569999998</v>
      </c>
      <c r="C430" s="33">
        <f t="shared" si="27"/>
        <v>-2.4388932371502969E-3</v>
      </c>
      <c r="D430" s="32">
        <f>MAX($B$2:B430)</f>
        <v>109967.49430000001</v>
      </c>
      <c r="E430" s="34">
        <f t="shared" si="24"/>
        <v>-0.11073471126640022</v>
      </c>
      <c r="F430" s="35">
        <f t="shared" si="25"/>
        <v>88.926528873359985</v>
      </c>
      <c r="G430" s="36" t="str">
        <f t="shared" si="26"/>
        <v>2023-09</v>
      </c>
    </row>
    <row r="431" spans="1:7" x14ac:dyDescent="0.25">
      <c r="A431" s="37">
        <v>45188</v>
      </c>
      <c r="B431" s="38">
        <v>97669.6302</v>
      </c>
      <c r="C431" s="39">
        <f t="shared" si="27"/>
        <v>-1.2337154108297277E-3</v>
      </c>
      <c r="D431" s="38">
        <f>MAX($B$2:B431)</f>
        <v>109967.49430000001</v>
      </c>
      <c r="E431" s="40">
        <f t="shared" si="24"/>
        <v>-0.11183181155742683</v>
      </c>
      <c r="F431" s="41">
        <f t="shared" si="25"/>
        <v>88.816818844257313</v>
      </c>
      <c r="G431" s="42" t="str">
        <f t="shared" si="26"/>
        <v>2023-09</v>
      </c>
    </row>
    <row r="432" spans="1:7" x14ac:dyDescent="0.25">
      <c r="A432" s="31">
        <v>45189</v>
      </c>
      <c r="B432" s="32">
        <v>96188.818239999993</v>
      </c>
      <c r="C432" s="33">
        <f t="shared" si="27"/>
        <v>-1.5161437152651391E-2</v>
      </c>
      <c r="D432" s="32">
        <f>MAX($B$2:B432)</f>
        <v>109967.49430000001</v>
      </c>
      <c r="E432" s="34">
        <f t="shared" si="24"/>
        <v>-0.1252977177274831</v>
      </c>
      <c r="F432" s="35">
        <f t="shared" si="25"/>
        <v>87.470228227251695</v>
      </c>
      <c r="G432" s="36" t="str">
        <f t="shared" si="26"/>
        <v>2023-09</v>
      </c>
    </row>
    <row r="433" spans="1:7" x14ac:dyDescent="0.25">
      <c r="A433" s="37">
        <v>45190</v>
      </c>
      <c r="B433" s="38">
        <v>94478.695720000003</v>
      </c>
      <c r="C433" s="39">
        <f t="shared" si="27"/>
        <v>-1.7778807883189418E-2</v>
      </c>
      <c r="D433" s="38">
        <f>MAX($B$2:B433)</f>
        <v>109967.49430000001</v>
      </c>
      <c r="E433" s="40">
        <f t="shared" si="24"/>
        <v>-0.14084888155899355</v>
      </c>
      <c r="F433" s="41">
        <f t="shared" si="25"/>
        <v>85.91511184410065</v>
      </c>
      <c r="G433" s="42" t="str">
        <f t="shared" si="26"/>
        <v>2023-09</v>
      </c>
    </row>
    <row r="434" spans="1:7" x14ac:dyDescent="0.25">
      <c r="A434" s="31">
        <v>45191</v>
      </c>
      <c r="B434" s="32">
        <v>93910.214120000004</v>
      </c>
      <c r="C434" s="33">
        <f t="shared" si="27"/>
        <v>-6.0170347999380924E-3</v>
      </c>
      <c r="D434" s="32">
        <f>MAX($B$2:B434)</f>
        <v>109967.49430000001</v>
      </c>
      <c r="E434" s="34">
        <f t="shared" si="24"/>
        <v>-0.14601842373705887</v>
      </c>
      <c r="F434" s="35">
        <f t="shared" si="25"/>
        <v>85.398157626294108</v>
      </c>
      <c r="G434" s="36" t="str">
        <f t="shared" si="26"/>
        <v>2023-09</v>
      </c>
    </row>
    <row r="435" spans="1:7" x14ac:dyDescent="0.25">
      <c r="A435" s="37">
        <v>45194</v>
      </c>
      <c r="B435" s="38">
        <v>94420.544779999997</v>
      </c>
      <c r="C435" s="39">
        <f t="shared" si="27"/>
        <v>5.4342401918909822E-3</v>
      </c>
      <c r="D435" s="38">
        <f>MAX($B$2:B435)</f>
        <v>109967.49430000001</v>
      </c>
      <c r="E435" s="40">
        <f t="shared" si="24"/>
        <v>-0.14137768273219631</v>
      </c>
      <c r="F435" s="41">
        <f t="shared" si="25"/>
        <v>85.862231726780365</v>
      </c>
      <c r="G435" s="42" t="str">
        <f t="shared" si="26"/>
        <v>2023-09</v>
      </c>
    </row>
    <row r="436" spans="1:7" x14ac:dyDescent="0.25">
      <c r="A436" s="31">
        <v>45195</v>
      </c>
      <c r="B436" s="32">
        <v>92818.923450000002</v>
      </c>
      <c r="C436" s="33">
        <f t="shared" si="27"/>
        <v>-1.6962635978555074E-2</v>
      </c>
      <c r="D436" s="32">
        <f>MAX($B$2:B436)</f>
        <v>109967.49430000001</v>
      </c>
      <c r="E436" s="34">
        <f t="shared" si="24"/>
        <v>-0.15594218054307352</v>
      </c>
      <c r="F436" s="35">
        <f t="shared" si="25"/>
        <v>84.405781945692652</v>
      </c>
      <c r="G436" s="36" t="str">
        <f t="shared" si="26"/>
        <v>2023-09</v>
      </c>
    </row>
    <row r="437" spans="1:7" x14ac:dyDescent="0.25">
      <c r="A437" s="37">
        <v>45196</v>
      </c>
      <c r="B437" s="38">
        <v>92778.214420000004</v>
      </c>
      <c r="C437" s="39">
        <f t="shared" si="27"/>
        <v>-4.3858545743558075E-4</v>
      </c>
      <c r="D437" s="38">
        <f>MAX($B$2:B437)</f>
        <v>109967.49430000001</v>
      </c>
      <c r="E437" s="40">
        <f t="shared" si="24"/>
        <v>-0.15631237202792203</v>
      </c>
      <c r="F437" s="41">
        <f t="shared" si="25"/>
        <v>84.368762797207793</v>
      </c>
      <c r="G437" s="42" t="str">
        <f t="shared" si="26"/>
        <v>2023-09</v>
      </c>
    </row>
    <row r="438" spans="1:7" x14ac:dyDescent="0.25">
      <c r="A438" s="31">
        <v>45197</v>
      </c>
      <c r="B438" s="32">
        <v>93363.810500000007</v>
      </c>
      <c r="C438" s="33">
        <f t="shared" si="27"/>
        <v>6.3117843306301769E-3</v>
      </c>
      <c r="D438" s="32">
        <f>MAX($B$2:B438)</f>
        <v>109967.49430000001</v>
      </c>
      <c r="E438" s="34">
        <f t="shared" si="24"/>
        <v>-0.15098719767774138</v>
      </c>
      <c r="F438" s="35">
        <f t="shared" si="25"/>
        <v>84.901280232225858</v>
      </c>
      <c r="G438" s="36" t="str">
        <f t="shared" si="26"/>
        <v>2023-09</v>
      </c>
    </row>
    <row r="439" spans="1:7" x14ac:dyDescent="0.25">
      <c r="A439" s="37">
        <v>45198</v>
      </c>
      <c r="B439" s="38">
        <v>93702.189060000004</v>
      </c>
      <c r="C439" s="39">
        <f t="shared" si="27"/>
        <v>3.6243010882679449E-3</v>
      </c>
      <c r="D439" s="38">
        <f>MAX($B$2:B439)</f>
        <v>109967.49430000001</v>
      </c>
      <c r="E439" s="40">
        <f t="shared" si="24"/>
        <v>-0.14791011965433132</v>
      </c>
      <c r="F439" s="41">
        <f t="shared" si="25"/>
        <v>85.208988034566872</v>
      </c>
      <c r="G439" s="42" t="str">
        <f t="shared" si="26"/>
        <v>2023-09</v>
      </c>
    </row>
    <row r="440" spans="1:7" x14ac:dyDescent="0.25">
      <c r="A440" s="31">
        <v>45201</v>
      </c>
      <c r="B440" s="32">
        <v>94414.889980000007</v>
      </c>
      <c r="C440" s="33">
        <f t="shared" si="27"/>
        <v>7.6060220913691801E-3</v>
      </c>
      <c r="D440" s="32">
        <f>MAX($B$2:B440)</f>
        <v>109967.49430000001</v>
      </c>
      <c r="E440" s="34">
        <f t="shared" si="24"/>
        <v>-0.14142910520059016</v>
      </c>
      <c r="F440" s="35">
        <f t="shared" si="25"/>
        <v>85.857089479940981</v>
      </c>
      <c r="G440" s="36" t="str">
        <f t="shared" si="26"/>
        <v>2023-10</v>
      </c>
    </row>
    <row r="441" spans="1:7" x14ac:dyDescent="0.25">
      <c r="A441" s="37">
        <v>45202</v>
      </c>
      <c r="B441" s="38">
        <v>92818.89675</v>
      </c>
      <c r="C441" s="39">
        <f t="shared" si="27"/>
        <v>-1.6904041622439969E-2</v>
      </c>
      <c r="D441" s="38">
        <f>MAX($B$2:B441)</f>
        <v>109967.49430000001</v>
      </c>
      <c r="E441" s="40">
        <f t="shared" si="24"/>
        <v>-0.15594242334209485</v>
      </c>
      <c r="F441" s="41">
        <f t="shared" si="25"/>
        <v>84.405757665790517</v>
      </c>
      <c r="G441" s="42" t="str">
        <f t="shared" si="26"/>
        <v>2023-10</v>
      </c>
    </row>
    <row r="442" spans="1:7" x14ac:dyDescent="0.25">
      <c r="A442" s="31">
        <v>45203</v>
      </c>
      <c r="B442" s="32">
        <v>94348.689310000002</v>
      </c>
      <c r="C442" s="33">
        <f t="shared" si="27"/>
        <v>1.6481477517669374E-2</v>
      </c>
      <c r="D442" s="32">
        <f>MAX($B$2:B442)</f>
        <v>109967.49430000001</v>
      </c>
      <c r="E442" s="34">
        <f t="shared" si="24"/>
        <v>-0.1420311073687891</v>
      </c>
      <c r="F442" s="35">
        <f t="shared" si="25"/>
        <v>85.796889263121088</v>
      </c>
      <c r="G442" s="36" t="str">
        <f t="shared" si="26"/>
        <v>2023-10</v>
      </c>
    </row>
    <row r="443" spans="1:7" x14ac:dyDescent="0.25">
      <c r="A443" s="37">
        <v>45204</v>
      </c>
      <c r="B443" s="38">
        <v>94428.455849999998</v>
      </c>
      <c r="C443" s="39">
        <f t="shared" si="27"/>
        <v>8.4544407117204123E-4</v>
      </c>
      <c r="D443" s="38">
        <f>MAX($B$2:B443)</f>
        <v>109967.49430000001</v>
      </c>
      <c r="E443" s="40">
        <f t="shared" si="24"/>
        <v>-0.14130574265526397</v>
      </c>
      <c r="F443" s="41">
        <f t="shared" si="25"/>
        <v>85.869425734473609</v>
      </c>
      <c r="G443" s="42" t="str">
        <f t="shared" si="26"/>
        <v>2023-10</v>
      </c>
    </row>
    <row r="444" spans="1:7" x14ac:dyDescent="0.25">
      <c r="A444" s="31">
        <v>45205</v>
      </c>
      <c r="B444" s="32">
        <v>95776.589779999995</v>
      </c>
      <c r="C444" s="33">
        <f t="shared" si="27"/>
        <v>1.4276776188541174E-2</v>
      </c>
      <c r="D444" s="32">
        <f>MAX($B$2:B444)</f>
        <v>109967.49430000001</v>
      </c>
      <c r="E444" s="34">
        <f t="shared" si="24"/>
        <v>-0.12904635692876754</v>
      </c>
      <c r="F444" s="35">
        <f t="shared" si="25"/>
        <v>87.095364307123248</v>
      </c>
      <c r="G444" s="36" t="str">
        <f t="shared" si="26"/>
        <v>2023-10</v>
      </c>
    </row>
    <row r="445" spans="1:7" x14ac:dyDescent="0.25">
      <c r="A445" s="37">
        <v>45208</v>
      </c>
      <c r="B445" s="38">
        <v>96166.896550000005</v>
      </c>
      <c r="C445" s="39">
        <f t="shared" si="27"/>
        <v>4.0751792363515893E-3</v>
      </c>
      <c r="D445" s="38">
        <f>MAX($B$2:B445)</f>
        <v>109967.49430000001</v>
      </c>
      <c r="E445" s="40">
        <f t="shared" si="24"/>
        <v>-0.12549706472669897</v>
      </c>
      <c r="F445" s="41">
        <f t="shared" si="25"/>
        <v>87.450293527330103</v>
      </c>
      <c r="G445" s="42" t="str">
        <f t="shared" si="26"/>
        <v>2023-10</v>
      </c>
    </row>
    <row r="446" spans="1:7" x14ac:dyDescent="0.25">
      <c r="A446" s="31">
        <v>45209</v>
      </c>
      <c r="B446" s="32">
        <v>96604.128989999997</v>
      </c>
      <c r="C446" s="33">
        <f t="shared" si="27"/>
        <v>4.5466002926761728E-3</v>
      </c>
      <c r="D446" s="32">
        <f>MAX($B$2:B446)</f>
        <v>109967.49430000001</v>
      </c>
      <c r="E446" s="34">
        <f t="shared" si="24"/>
        <v>-0.12152104942523922</v>
      </c>
      <c r="F446" s="35">
        <f t="shared" si="25"/>
        <v>87.84789505747608</v>
      </c>
      <c r="G446" s="36" t="str">
        <f t="shared" si="26"/>
        <v>2023-10</v>
      </c>
    </row>
    <row r="447" spans="1:7" x14ac:dyDescent="0.25">
      <c r="A447" s="37">
        <v>45210</v>
      </c>
      <c r="B447" s="38">
        <v>97289.632639999996</v>
      </c>
      <c r="C447" s="39">
        <f t="shared" si="27"/>
        <v>7.0960077707544755E-3</v>
      </c>
      <c r="D447" s="38">
        <f>MAX($B$2:B447)</f>
        <v>109967.49430000001</v>
      </c>
      <c r="E447" s="40">
        <f t="shared" si="24"/>
        <v>-0.11528735596551654</v>
      </c>
      <c r="F447" s="41">
        <f t="shared" si="25"/>
        <v>88.471264403448345</v>
      </c>
      <c r="G447" s="42" t="str">
        <f t="shared" si="26"/>
        <v>2023-10</v>
      </c>
    </row>
    <row r="448" spans="1:7" x14ac:dyDescent="0.25">
      <c r="A448" s="31">
        <v>45211</v>
      </c>
      <c r="B448" s="32">
        <v>96788.401029999994</v>
      </c>
      <c r="C448" s="33">
        <f t="shared" si="27"/>
        <v>-5.1519529511916407E-3</v>
      </c>
      <c r="D448" s="32">
        <f>MAX($B$2:B448)</f>
        <v>109967.49430000001</v>
      </c>
      <c r="E448" s="34">
        <f t="shared" si="24"/>
        <v>-0.11984535388290662</v>
      </c>
      <c r="F448" s="35">
        <f t="shared" si="25"/>
        <v>88.015464611709334</v>
      </c>
      <c r="G448" s="36" t="str">
        <f t="shared" si="26"/>
        <v>2023-10</v>
      </c>
    </row>
    <row r="449" spans="1:7" x14ac:dyDescent="0.25">
      <c r="A449" s="37">
        <v>45212</v>
      </c>
      <c r="B449" s="38">
        <v>95642.931750000003</v>
      </c>
      <c r="C449" s="39">
        <f t="shared" si="27"/>
        <v>-1.1834778421899395E-2</v>
      </c>
      <c r="D449" s="38">
        <f>MAX($B$2:B449)</f>
        <v>109967.49430000001</v>
      </c>
      <c r="E449" s="40">
        <f t="shared" si="24"/>
        <v>-0.13026178909670771</v>
      </c>
      <c r="F449" s="41">
        <f t="shared" si="25"/>
        <v>86.973821090329224</v>
      </c>
      <c r="G449" s="42" t="str">
        <f t="shared" si="26"/>
        <v>2023-10</v>
      </c>
    </row>
    <row r="450" spans="1:7" x14ac:dyDescent="0.25">
      <c r="A450" s="31">
        <v>45215</v>
      </c>
      <c r="B450" s="32">
        <v>96616.743050000005</v>
      </c>
      <c r="C450" s="33">
        <f t="shared" si="27"/>
        <v>1.0181738286164643E-2</v>
      </c>
      <c r="D450" s="32">
        <f>MAX($B$2:B450)</f>
        <v>109967.49430000001</v>
      </c>
      <c r="E450" s="34">
        <f t="shared" ref="E450:E513" si="28">B450/D450-1</f>
        <v>-0.12140634225581337</v>
      </c>
      <c r="F450" s="35">
        <f t="shared" ref="F450:F513" si="29">B450/$B$2*100</f>
        <v>87.859365774418663</v>
      </c>
      <c r="G450" s="36" t="str">
        <f t="shared" ref="G450:G513" si="30">TEXT(A450,"YYYY-MM")</f>
        <v>2023-10</v>
      </c>
    </row>
    <row r="451" spans="1:7" x14ac:dyDescent="0.25">
      <c r="A451" s="37">
        <v>45216</v>
      </c>
      <c r="B451" s="38">
        <v>96429.95766</v>
      </c>
      <c r="C451" s="39">
        <f t="shared" ref="C451:C514" si="31">B451/B450-1</f>
        <v>-1.9332610901957592E-3</v>
      </c>
      <c r="D451" s="38">
        <f>MAX($B$2:B451)</f>
        <v>109967.49430000001</v>
      </c>
      <c r="E451" s="40">
        <f t="shared" si="28"/>
        <v>-0.12310489318842288</v>
      </c>
      <c r="F451" s="41">
        <f t="shared" si="29"/>
        <v>87.689510681157714</v>
      </c>
      <c r="G451" s="42" t="str">
        <f t="shared" si="30"/>
        <v>2023-10</v>
      </c>
    </row>
    <row r="452" spans="1:7" x14ac:dyDescent="0.25">
      <c r="A452" s="31">
        <v>45217</v>
      </c>
      <c r="B452" s="32">
        <v>94818.591230000005</v>
      </c>
      <c r="C452" s="33">
        <f t="shared" si="31"/>
        <v>-1.6710226459721866E-2</v>
      </c>
      <c r="D452" s="32">
        <f>MAX($B$2:B452)</f>
        <v>109967.49430000001</v>
      </c>
      <c r="E452" s="34">
        <f t="shared" si="28"/>
        <v>-0.13775800900466639</v>
      </c>
      <c r="F452" s="35">
        <f t="shared" si="29"/>
        <v>86.224199099533365</v>
      </c>
      <c r="G452" s="36" t="str">
        <f t="shared" si="30"/>
        <v>2023-10</v>
      </c>
    </row>
    <row r="453" spans="1:7" x14ac:dyDescent="0.25">
      <c r="A453" s="37">
        <v>45218</v>
      </c>
      <c r="B453" s="38">
        <v>93550.813869999998</v>
      </c>
      <c r="C453" s="39">
        <f t="shared" si="31"/>
        <v>-1.3370556802776989E-2</v>
      </c>
      <c r="D453" s="38">
        <f>MAX($B$2:B453)</f>
        <v>109967.49430000001</v>
      </c>
      <c r="E453" s="40">
        <f t="shared" si="28"/>
        <v>-0.14928666452300898</v>
      </c>
      <c r="F453" s="41">
        <f t="shared" si="29"/>
        <v>85.071333547699098</v>
      </c>
      <c r="G453" s="42" t="str">
        <f t="shared" si="30"/>
        <v>2023-10</v>
      </c>
    </row>
    <row r="454" spans="1:7" x14ac:dyDescent="0.25">
      <c r="A454" s="31">
        <v>45219</v>
      </c>
      <c r="B454" s="32">
        <v>92052.484970000005</v>
      </c>
      <c r="C454" s="33">
        <f t="shared" si="31"/>
        <v>-1.6016203793609907E-2</v>
      </c>
      <c r="D454" s="32">
        <f>MAX($B$2:B454)</f>
        <v>109967.49430000001</v>
      </c>
      <c r="E454" s="34">
        <f t="shared" si="28"/>
        <v>-0.16291186267395019</v>
      </c>
      <c r="F454" s="35">
        <f t="shared" si="29"/>
        <v>83.70881373260498</v>
      </c>
      <c r="G454" s="36" t="str">
        <f t="shared" si="30"/>
        <v>2023-10</v>
      </c>
    </row>
    <row r="455" spans="1:7" x14ac:dyDescent="0.25">
      <c r="A455" s="37">
        <v>45222</v>
      </c>
      <c r="B455" s="38">
        <v>92228.131640000007</v>
      </c>
      <c r="C455" s="39">
        <f t="shared" si="31"/>
        <v>1.9081143768930886E-3</v>
      </c>
      <c r="D455" s="38">
        <f>MAX($B$2:B455)</f>
        <v>109967.49430000001</v>
      </c>
      <c r="E455" s="40">
        <f t="shared" si="28"/>
        <v>-0.16131460276439158</v>
      </c>
      <c r="F455" s="41">
        <f t="shared" si="29"/>
        <v>83.868539723560843</v>
      </c>
      <c r="G455" s="42" t="str">
        <f t="shared" si="30"/>
        <v>2023-10</v>
      </c>
    </row>
    <row r="456" spans="1:7" x14ac:dyDescent="0.25">
      <c r="A456" s="31">
        <v>45223</v>
      </c>
      <c r="B456" s="32">
        <v>93069.582330000005</v>
      </c>
      <c r="C456" s="33">
        <f t="shared" si="31"/>
        <v>9.1235794874875431E-3</v>
      </c>
      <c r="D456" s="32">
        <f>MAX($B$2:B456)</f>
        <v>109967.49430000001</v>
      </c>
      <c r="E456" s="34">
        <f t="shared" si="28"/>
        <v>-0.15366278987771753</v>
      </c>
      <c r="F456" s="35">
        <f t="shared" si="29"/>
        <v>84.63372101222825</v>
      </c>
      <c r="G456" s="36" t="str">
        <f t="shared" si="30"/>
        <v>2023-10</v>
      </c>
    </row>
    <row r="457" spans="1:7" x14ac:dyDescent="0.25">
      <c r="A457" s="37">
        <v>45224</v>
      </c>
      <c r="B457" s="38">
        <v>91491.247099999993</v>
      </c>
      <c r="C457" s="39">
        <f t="shared" si="31"/>
        <v>-1.6958658140354133E-2</v>
      </c>
      <c r="D457" s="38">
        <f>MAX($B$2:B457)</f>
        <v>109967.49430000001</v>
      </c>
      <c r="E457" s="40">
        <f t="shared" si="28"/>
        <v>-0.16801553329564234</v>
      </c>
      <c r="F457" s="41">
        <f t="shared" si="29"/>
        <v>83.198446670435771</v>
      </c>
      <c r="G457" s="42" t="str">
        <f t="shared" si="30"/>
        <v>2023-10</v>
      </c>
    </row>
    <row r="458" spans="1:7" x14ac:dyDescent="0.25">
      <c r="A458" s="31">
        <v>45225</v>
      </c>
      <c r="B458" s="32">
        <v>89633.090859999997</v>
      </c>
      <c r="C458" s="33">
        <f t="shared" si="31"/>
        <v>-2.0309661294364401E-2</v>
      </c>
      <c r="D458" s="32">
        <f>MAX($B$2:B458)</f>
        <v>109967.49430000001</v>
      </c>
      <c r="E458" s="34">
        <f t="shared" si="28"/>
        <v>-0.18491285601658025</v>
      </c>
      <c r="F458" s="35">
        <f t="shared" si="29"/>
        <v>81.508714398341979</v>
      </c>
      <c r="G458" s="36" t="str">
        <f t="shared" si="30"/>
        <v>2023-10</v>
      </c>
    </row>
    <row r="459" spans="1:7" x14ac:dyDescent="0.25">
      <c r="A459" s="37">
        <v>45226</v>
      </c>
      <c r="B459" s="38">
        <v>89876.576610000004</v>
      </c>
      <c r="C459" s="39">
        <f t="shared" si="31"/>
        <v>2.7164716475114314E-3</v>
      </c>
      <c r="D459" s="38">
        <f>MAX($B$2:B459)</f>
        <v>109967.49430000001</v>
      </c>
      <c r="E459" s="40">
        <f t="shared" si="28"/>
        <v>-0.18269869489969826</v>
      </c>
      <c r="F459" s="41">
        <f t="shared" si="29"/>
        <v>81.730130510030179</v>
      </c>
      <c r="G459" s="42" t="str">
        <f t="shared" si="30"/>
        <v>2023-10</v>
      </c>
    </row>
    <row r="460" spans="1:7" x14ac:dyDescent="0.25">
      <c r="A460" s="31">
        <v>45229</v>
      </c>
      <c r="B460" s="32">
        <v>90616.598209999996</v>
      </c>
      <c r="C460" s="33">
        <f t="shared" si="31"/>
        <v>8.2337537533405669E-3</v>
      </c>
      <c r="D460" s="32">
        <f>MAX($B$2:B460)</f>
        <v>109967.49430000001</v>
      </c>
      <c r="E460" s="34">
        <f t="shared" si="28"/>
        <v>-0.17596923721121838</v>
      </c>
      <c r="F460" s="35">
        <f t="shared" si="29"/>
        <v>82.40307627887816</v>
      </c>
      <c r="G460" s="36" t="str">
        <f t="shared" si="30"/>
        <v>2023-10</v>
      </c>
    </row>
    <row r="461" spans="1:7" x14ac:dyDescent="0.25">
      <c r="A461" s="37">
        <v>45230</v>
      </c>
      <c r="B461" s="38">
        <v>91114.251560000004</v>
      </c>
      <c r="C461" s="39">
        <f t="shared" si="31"/>
        <v>5.4918564570998196E-3</v>
      </c>
      <c r="D461" s="38">
        <f>MAX($B$2:B461)</f>
        <v>109967.49430000001</v>
      </c>
      <c r="E461" s="40">
        <f t="shared" si="28"/>
        <v>-0.17144377854574799</v>
      </c>
      <c r="F461" s="41">
        <f t="shared" si="29"/>
        <v>82.855622145425201</v>
      </c>
      <c r="G461" s="42" t="str">
        <f t="shared" si="30"/>
        <v>2023-10</v>
      </c>
    </row>
    <row r="462" spans="1:7" x14ac:dyDescent="0.25">
      <c r="A462" s="31">
        <v>45231</v>
      </c>
      <c r="B462" s="32">
        <v>92714.681549999994</v>
      </c>
      <c r="C462" s="33">
        <f t="shared" si="31"/>
        <v>1.7565089572689763E-2</v>
      </c>
      <c r="D462" s="32">
        <f>MAX($B$2:B462)</f>
        <v>109967.49430000001</v>
      </c>
      <c r="E462" s="34">
        <f t="shared" si="28"/>
        <v>-0.15689011429989463</v>
      </c>
      <c r="F462" s="35">
        <f t="shared" si="29"/>
        <v>84.310988570010537</v>
      </c>
      <c r="G462" s="36" t="str">
        <f t="shared" si="30"/>
        <v>2023-11</v>
      </c>
    </row>
    <row r="463" spans="1:7" x14ac:dyDescent="0.25">
      <c r="A463" s="37">
        <v>45232</v>
      </c>
      <c r="B463" s="38">
        <v>94719.784580000007</v>
      </c>
      <c r="C463" s="39">
        <f t="shared" si="31"/>
        <v>2.1626596742595483E-2</v>
      </c>
      <c r="D463" s="38">
        <f>MAX($B$2:B463)</f>
        <v>109967.49430000001</v>
      </c>
      <c r="E463" s="40">
        <f t="shared" si="28"/>
        <v>-0.13865651679216262</v>
      </c>
      <c r="F463" s="41">
        <f t="shared" si="29"/>
        <v>86.134348320783744</v>
      </c>
      <c r="G463" s="42" t="str">
        <f t="shared" si="30"/>
        <v>2023-11</v>
      </c>
    </row>
    <row r="464" spans="1:7" x14ac:dyDescent="0.25">
      <c r="A464" s="31">
        <v>45233</v>
      </c>
      <c r="B464" s="32">
        <v>95603.495710000003</v>
      </c>
      <c r="C464" s="33">
        <f t="shared" si="31"/>
        <v>9.3297417632280943E-3</v>
      </c>
      <c r="D464" s="32">
        <f>MAX($B$2:B464)</f>
        <v>109967.49430000001</v>
      </c>
      <c r="E464" s="34">
        <f t="shared" si="28"/>
        <v>-0.13062040452439405</v>
      </c>
      <c r="F464" s="35">
        <f t="shared" si="29"/>
        <v>86.937959547560595</v>
      </c>
      <c r="G464" s="36" t="str">
        <f t="shared" si="30"/>
        <v>2023-11</v>
      </c>
    </row>
    <row r="465" spans="1:7" x14ac:dyDescent="0.25">
      <c r="A465" s="37">
        <v>45236</v>
      </c>
      <c r="B465" s="38">
        <v>96127.764890000006</v>
      </c>
      <c r="C465" s="39">
        <f t="shared" si="31"/>
        <v>5.4837867183257227E-3</v>
      </c>
      <c r="D465" s="38">
        <f>MAX($B$2:B465)</f>
        <v>109967.49430000001</v>
      </c>
      <c r="E465" s="40">
        <f t="shared" si="28"/>
        <v>-0.12585291224554163</v>
      </c>
      <c r="F465" s="41">
        <f t="shared" si="29"/>
        <v>87.414708775445831</v>
      </c>
      <c r="G465" s="42" t="str">
        <f t="shared" si="30"/>
        <v>2023-11</v>
      </c>
    </row>
    <row r="466" spans="1:7" x14ac:dyDescent="0.25">
      <c r="A466" s="31">
        <v>45237</v>
      </c>
      <c r="B466" s="32">
        <v>96811.727639999997</v>
      </c>
      <c r="C466" s="33">
        <f t="shared" si="31"/>
        <v>7.1151425478648278E-3</v>
      </c>
      <c r="D466" s="32">
        <f>MAX($B$2:B466)</f>
        <v>109967.49430000001</v>
      </c>
      <c r="E466" s="34">
        <f t="shared" si="28"/>
        <v>-0.11963323110836765</v>
      </c>
      <c r="F466" s="35">
        <f t="shared" si="29"/>
        <v>88.036676889163232</v>
      </c>
      <c r="G466" s="36" t="str">
        <f t="shared" si="30"/>
        <v>2023-11</v>
      </c>
    </row>
    <row r="467" spans="1:7" x14ac:dyDescent="0.25">
      <c r="A467" s="37">
        <v>45238</v>
      </c>
      <c r="B467" s="38">
        <v>96895.712169999999</v>
      </c>
      <c r="C467" s="39">
        <f t="shared" si="31"/>
        <v>8.6750368005317213E-4</v>
      </c>
      <c r="D467" s="38">
        <f>MAX($B$2:B467)</f>
        <v>109967.49430000001</v>
      </c>
      <c r="E467" s="40">
        <f t="shared" si="28"/>
        <v>-0.11886950969655774</v>
      </c>
      <c r="F467" s="41">
        <f t="shared" si="29"/>
        <v>88.113049030344229</v>
      </c>
      <c r="G467" s="42" t="str">
        <f t="shared" si="30"/>
        <v>2023-11</v>
      </c>
    </row>
    <row r="468" spans="1:7" x14ac:dyDescent="0.25">
      <c r="A468" s="31">
        <v>45239</v>
      </c>
      <c r="B468" s="32">
        <v>95808.500790000006</v>
      </c>
      <c r="C468" s="33">
        <f t="shared" si="31"/>
        <v>-1.1220428186672682E-2</v>
      </c>
      <c r="D468" s="32">
        <f>MAX($B$2:B468)</f>
        <v>109967.49430000001</v>
      </c>
      <c r="E468" s="34">
        <f t="shared" si="28"/>
        <v>-0.12875617108609516</v>
      </c>
      <c r="F468" s="35">
        <f t="shared" si="29"/>
        <v>87.124382891390482</v>
      </c>
      <c r="G468" s="36" t="str">
        <f t="shared" si="30"/>
        <v>2023-11</v>
      </c>
    </row>
    <row r="469" spans="1:7" x14ac:dyDescent="0.25">
      <c r="A469" s="37">
        <v>45240</v>
      </c>
      <c r="B469" s="38">
        <v>97918.530239999993</v>
      </c>
      <c r="C469" s="39">
        <f t="shared" si="31"/>
        <v>2.2023405361752735E-2</v>
      </c>
      <c r="D469" s="38">
        <f>MAX($B$2:B469)</f>
        <v>109967.49430000001</v>
      </c>
      <c r="E469" s="40">
        <f t="shared" si="28"/>
        <v>-0.10956841507299864</v>
      </c>
      <c r="F469" s="41">
        <f t="shared" si="29"/>
        <v>89.04315849270013</v>
      </c>
      <c r="G469" s="42" t="str">
        <f t="shared" si="30"/>
        <v>2023-11</v>
      </c>
    </row>
    <row r="470" spans="1:7" x14ac:dyDescent="0.25">
      <c r="A470" s="31">
        <v>45243</v>
      </c>
      <c r="B470" s="32">
        <v>97970.768590000007</v>
      </c>
      <c r="C470" s="33">
        <f t="shared" si="31"/>
        <v>5.3348788908480493E-4</v>
      </c>
      <c r="D470" s="32">
        <f>MAX($B$2:B470)</f>
        <v>109967.49430000001</v>
      </c>
      <c r="E470" s="34">
        <f t="shared" si="28"/>
        <v>-0.10909338060638163</v>
      </c>
      <c r="F470" s="35">
        <f t="shared" si="29"/>
        <v>89.090661939361837</v>
      </c>
      <c r="G470" s="36" t="str">
        <f t="shared" si="30"/>
        <v>2023-11</v>
      </c>
    </row>
    <row r="471" spans="1:7" x14ac:dyDescent="0.25">
      <c r="A471" s="37">
        <v>45244</v>
      </c>
      <c r="B471" s="38">
        <v>100153.0472</v>
      </c>
      <c r="C471" s="39">
        <f t="shared" si="31"/>
        <v>2.2274793200129483E-2</v>
      </c>
      <c r="D471" s="38">
        <f>MAX($B$2:B471)</f>
        <v>109967.49430000001</v>
      </c>
      <c r="E471" s="40">
        <f t="shared" si="28"/>
        <v>-8.9248619898762205E-2</v>
      </c>
      <c r="F471" s="41">
        <f t="shared" si="29"/>
        <v>91.07513801012378</v>
      </c>
      <c r="G471" s="42" t="str">
        <f t="shared" si="30"/>
        <v>2023-11</v>
      </c>
    </row>
    <row r="472" spans="1:7" x14ac:dyDescent="0.25">
      <c r="A472" s="31">
        <v>45245</v>
      </c>
      <c r="B472" s="32">
        <v>100426.7037</v>
      </c>
      <c r="C472" s="33">
        <f t="shared" si="31"/>
        <v>2.7323831640739815E-3</v>
      </c>
      <c r="D472" s="32">
        <f>MAX($B$2:B472)</f>
        <v>109967.49430000001</v>
      </c>
      <c r="E472" s="34">
        <f t="shared" si="28"/>
        <v>-8.6760098161116406E-2</v>
      </c>
      <c r="F472" s="35">
        <f t="shared" si="29"/>
        <v>91.323990183888355</v>
      </c>
      <c r="G472" s="36" t="str">
        <f t="shared" si="30"/>
        <v>2023-11</v>
      </c>
    </row>
    <row r="473" spans="1:7" x14ac:dyDescent="0.25">
      <c r="A473" s="37">
        <v>45246</v>
      </c>
      <c r="B473" s="38">
        <v>100454.50350000001</v>
      </c>
      <c r="C473" s="39">
        <f t="shared" si="31"/>
        <v>2.7681681241920053E-4</v>
      </c>
      <c r="D473" s="38">
        <f>MAX($B$2:B473)</f>
        <v>109967.49430000001</v>
      </c>
      <c r="E473" s="40">
        <f t="shared" si="28"/>
        <v>-8.6507298002515221E-2</v>
      </c>
      <c r="F473" s="41">
        <f t="shared" si="29"/>
        <v>91.349270199748474</v>
      </c>
      <c r="G473" s="42" t="str">
        <f t="shared" si="30"/>
        <v>2023-11</v>
      </c>
    </row>
    <row r="474" spans="1:7" x14ac:dyDescent="0.25">
      <c r="A474" s="31">
        <v>45247</v>
      </c>
      <c r="B474" s="32">
        <v>100399.8232</v>
      </c>
      <c r="C474" s="33">
        <f t="shared" si="31"/>
        <v>-5.4432900561807163E-4</v>
      </c>
      <c r="D474" s="32">
        <f>MAX($B$2:B474)</f>
        <v>109967.49430000001</v>
      </c>
      <c r="E474" s="34">
        <f t="shared" si="28"/>
        <v>-8.7004538576632928E-2</v>
      </c>
      <c r="F474" s="35">
        <f t="shared" si="29"/>
        <v>91.299546142336709</v>
      </c>
      <c r="G474" s="36" t="str">
        <f t="shared" si="30"/>
        <v>2023-11</v>
      </c>
    </row>
    <row r="475" spans="1:7" x14ac:dyDescent="0.25">
      <c r="A475" s="37">
        <v>45250</v>
      </c>
      <c r="B475" s="38">
        <v>101377.1336</v>
      </c>
      <c r="C475" s="39">
        <f t="shared" si="31"/>
        <v>9.7341844721494653E-3</v>
      </c>
      <c r="D475" s="38">
        <f>MAX($B$2:B475)</f>
        <v>109967.49430000001</v>
      </c>
      <c r="E475" s="40">
        <f t="shared" si="28"/>
        <v>-7.8117272332902554E-2</v>
      </c>
      <c r="F475" s="41">
        <f t="shared" si="29"/>
        <v>92.188272766709744</v>
      </c>
      <c r="G475" s="42" t="str">
        <f t="shared" si="30"/>
        <v>2023-11</v>
      </c>
    </row>
    <row r="476" spans="1:7" x14ac:dyDescent="0.25">
      <c r="A476" s="31">
        <v>45251</v>
      </c>
      <c r="B476" s="32">
        <v>101078.94010000001</v>
      </c>
      <c r="C476" s="33">
        <f t="shared" si="31"/>
        <v>-2.9414276120349747E-3</v>
      </c>
      <c r="D476" s="32">
        <f>MAX($B$2:B476)</f>
        <v>109967.49430000001</v>
      </c>
      <c r="E476" s="34">
        <f t="shared" si="28"/>
        <v>-8.0828923643120554E-2</v>
      </c>
      <c r="F476" s="35">
        <f t="shared" si="29"/>
        <v>91.917107635687941</v>
      </c>
      <c r="G476" s="36" t="str">
        <f t="shared" si="30"/>
        <v>2023-11</v>
      </c>
    </row>
    <row r="477" spans="1:7" x14ac:dyDescent="0.25">
      <c r="A477" s="37">
        <v>45252</v>
      </c>
      <c r="B477" s="38">
        <v>101284.0046</v>
      </c>
      <c r="C477" s="39">
        <f t="shared" si="31"/>
        <v>2.0287559386467091E-3</v>
      </c>
      <c r="D477" s="38">
        <f>MAX($B$2:B477)</f>
        <v>109967.49430000001</v>
      </c>
      <c r="E477" s="40">
        <f t="shared" si="28"/>
        <v>-7.8964149863329225E-2</v>
      </c>
      <c r="F477" s="41">
        <f t="shared" si="29"/>
        <v>92.103585013667072</v>
      </c>
      <c r="G477" s="42" t="str">
        <f t="shared" si="30"/>
        <v>2023-11</v>
      </c>
    </row>
    <row r="478" spans="1:7" x14ac:dyDescent="0.25">
      <c r="A478" s="31">
        <v>45254</v>
      </c>
      <c r="B478" s="32">
        <v>101115.4687</v>
      </c>
      <c r="C478" s="33">
        <f t="shared" si="31"/>
        <v>-1.6639932501247845E-3</v>
      </c>
      <c r="D478" s="32">
        <f>MAX($B$2:B478)</f>
        <v>109967.49430000001</v>
      </c>
      <c r="E478" s="34">
        <f t="shared" si="28"/>
        <v>-8.0496747301079585E-2</v>
      </c>
      <c r="F478" s="35">
        <f t="shared" si="29"/>
        <v>91.950325269892048</v>
      </c>
      <c r="G478" s="36" t="str">
        <f t="shared" si="30"/>
        <v>2023-11</v>
      </c>
    </row>
    <row r="479" spans="1:7" x14ac:dyDescent="0.25">
      <c r="A479" s="37">
        <v>45257</v>
      </c>
      <c r="B479" s="38">
        <v>101143.91959999999</v>
      </c>
      <c r="C479" s="39">
        <f t="shared" si="31"/>
        <v>2.8137040124298629E-4</v>
      </c>
      <c r="D479" s="38">
        <f>MAX($B$2:B479)</f>
        <v>109967.49430000001</v>
      </c>
      <c r="E479" s="40">
        <f t="shared" si="28"/>
        <v>-8.0238026301923449E-2</v>
      </c>
      <c r="F479" s="41">
        <f t="shared" si="29"/>
        <v>91.97619736980765</v>
      </c>
      <c r="G479" s="42" t="str">
        <f t="shared" si="30"/>
        <v>2023-11</v>
      </c>
    </row>
    <row r="480" spans="1:7" x14ac:dyDescent="0.25">
      <c r="A480" s="31">
        <v>45258</v>
      </c>
      <c r="B480" s="32">
        <v>101854.0071</v>
      </c>
      <c r="C480" s="33">
        <f t="shared" si="31"/>
        <v>7.0205653766259868E-3</v>
      </c>
      <c r="D480" s="32">
        <f>MAX($B$2:B480)</f>
        <v>109967.49430000001</v>
      </c>
      <c r="E480" s="34">
        <f t="shared" si="28"/>
        <v>-7.3780777234641493E-2</v>
      </c>
      <c r="F480" s="35">
        <f t="shared" si="29"/>
        <v>92.621922276535855</v>
      </c>
      <c r="G480" s="36" t="str">
        <f t="shared" si="30"/>
        <v>2023-11</v>
      </c>
    </row>
    <row r="481" spans="1:7" x14ac:dyDescent="0.25">
      <c r="A481" s="37">
        <v>45259</v>
      </c>
      <c r="B481" s="38">
        <v>101505.42230000001</v>
      </c>
      <c r="C481" s="39">
        <f t="shared" si="31"/>
        <v>-3.4223965254284172E-3</v>
      </c>
      <c r="D481" s="38">
        <f>MAX($B$2:B481)</f>
        <v>109967.49430000001</v>
      </c>
      <c r="E481" s="40">
        <f t="shared" si="28"/>
        <v>-7.6950666684418523E-2</v>
      </c>
      <c r="F481" s="41">
        <f t="shared" si="29"/>
        <v>92.304933331558146</v>
      </c>
      <c r="G481" s="42" t="str">
        <f t="shared" si="30"/>
        <v>2023-11</v>
      </c>
    </row>
    <row r="482" spans="1:7" x14ac:dyDescent="0.25">
      <c r="A482" s="31">
        <v>45260</v>
      </c>
      <c r="B482" s="32">
        <v>101256.56020000001</v>
      </c>
      <c r="C482" s="33">
        <f t="shared" si="31"/>
        <v>-2.4517123751722769E-3</v>
      </c>
      <c r="D482" s="32">
        <f>MAX($B$2:B482)</f>
        <v>109967.49430000001</v>
      </c>
      <c r="E482" s="34">
        <f t="shared" si="28"/>
        <v>-7.921371815780287E-2</v>
      </c>
      <c r="F482" s="35">
        <f t="shared" si="29"/>
        <v>92.07862818421971</v>
      </c>
      <c r="G482" s="36" t="str">
        <f t="shared" si="30"/>
        <v>2023-11</v>
      </c>
    </row>
    <row r="483" spans="1:7" x14ac:dyDescent="0.25">
      <c r="A483" s="37">
        <v>45261</v>
      </c>
      <c r="B483" s="38">
        <v>101469.705</v>
      </c>
      <c r="C483" s="39">
        <f t="shared" si="31"/>
        <v>2.1049974399585114E-3</v>
      </c>
      <c r="D483" s="38">
        <f>MAX($B$2:B483)</f>
        <v>109967.49430000001</v>
      </c>
      <c r="E483" s="40">
        <f t="shared" si="28"/>
        <v>-7.727546539177621E-2</v>
      </c>
      <c r="F483" s="41">
        <f t="shared" si="29"/>
        <v>92.272453460822376</v>
      </c>
      <c r="G483" s="42" t="str">
        <f t="shared" si="30"/>
        <v>2023-12</v>
      </c>
    </row>
    <row r="484" spans="1:7" x14ac:dyDescent="0.25">
      <c r="A484" s="31">
        <v>45264</v>
      </c>
      <c r="B484" s="32">
        <v>100425.9932</v>
      </c>
      <c r="C484" s="33">
        <f t="shared" si="31"/>
        <v>-1.0285944952732495E-2</v>
      </c>
      <c r="D484" s="32">
        <f>MAX($B$2:B484)</f>
        <v>109967.49430000001</v>
      </c>
      <c r="E484" s="34">
        <f t="shared" si="28"/>
        <v>-8.6766559161292167E-2</v>
      </c>
      <c r="F484" s="35">
        <f t="shared" si="29"/>
        <v>91.323344083870779</v>
      </c>
      <c r="G484" s="36" t="str">
        <f t="shared" si="30"/>
        <v>2023-12</v>
      </c>
    </row>
    <row r="485" spans="1:7" x14ac:dyDescent="0.25">
      <c r="A485" s="37">
        <v>45265</v>
      </c>
      <c r="B485" s="38">
        <v>101139.37270000001</v>
      </c>
      <c r="C485" s="39">
        <f t="shared" si="31"/>
        <v>7.1035344263841171E-3</v>
      </c>
      <c r="D485" s="38">
        <f>MAX($B$2:B485)</f>
        <v>109967.49430000001</v>
      </c>
      <c r="E485" s="40">
        <f t="shared" si="28"/>
        <v>-8.0279373974969204E-2</v>
      </c>
      <c r="F485" s="41">
        <f t="shared" si="29"/>
        <v>91.972062602503087</v>
      </c>
      <c r="G485" s="42" t="str">
        <f t="shared" si="30"/>
        <v>2023-12</v>
      </c>
    </row>
    <row r="486" spans="1:7" x14ac:dyDescent="0.25">
      <c r="A486" s="31">
        <v>45266</v>
      </c>
      <c r="B486" s="32">
        <v>100720.4745</v>
      </c>
      <c r="C486" s="33">
        <f t="shared" si="31"/>
        <v>-4.1417915577007802E-3</v>
      </c>
      <c r="D486" s="32">
        <f>MAX($B$2:B486)</f>
        <v>109967.49430000001</v>
      </c>
      <c r="E486" s="34">
        <f t="shared" si="28"/>
        <v>-8.4088665099282922E-2</v>
      </c>
      <c r="F486" s="35">
        <f t="shared" si="29"/>
        <v>91.591133490071712</v>
      </c>
      <c r="G486" s="36" t="str">
        <f t="shared" si="30"/>
        <v>2023-12</v>
      </c>
    </row>
    <row r="487" spans="1:7" x14ac:dyDescent="0.25">
      <c r="A487" s="37">
        <v>45267</v>
      </c>
      <c r="B487" s="38">
        <v>101881.94</v>
      </c>
      <c r="C487" s="39">
        <f t="shared" si="31"/>
        <v>1.1531572957393044E-2</v>
      </c>
      <c r="D487" s="38">
        <f>MAX($B$2:B487)</f>
        <v>109967.49430000001</v>
      </c>
      <c r="E487" s="40">
        <f t="shared" si="28"/>
        <v>-7.3526766718371994E-2</v>
      </c>
      <c r="F487" s="41">
        <f t="shared" si="29"/>
        <v>92.647323328162798</v>
      </c>
      <c r="G487" s="42" t="str">
        <f t="shared" si="30"/>
        <v>2023-12</v>
      </c>
    </row>
    <row r="488" spans="1:7" x14ac:dyDescent="0.25">
      <c r="A488" s="31">
        <v>45268</v>
      </c>
      <c r="B488" s="32">
        <v>102462.93180000001</v>
      </c>
      <c r="C488" s="33">
        <f t="shared" si="31"/>
        <v>5.7025985174605776E-3</v>
      </c>
      <c r="D488" s="32">
        <f>MAX($B$2:B488)</f>
        <v>109967.49430000001</v>
      </c>
      <c r="E488" s="34">
        <f t="shared" si="28"/>
        <v>-6.8243461831793306E-2</v>
      </c>
      <c r="F488" s="35">
        <f t="shared" si="29"/>
        <v>93.17565381682067</v>
      </c>
      <c r="G488" s="36" t="str">
        <f t="shared" si="30"/>
        <v>2023-12</v>
      </c>
    </row>
    <row r="489" spans="1:7" x14ac:dyDescent="0.25">
      <c r="A489" s="37">
        <v>45271</v>
      </c>
      <c r="B489" s="38">
        <v>102180.00659999999</v>
      </c>
      <c r="C489" s="39">
        <f t="shared" si="31"/>
        <v>-2.7612444327892449E-3</v>
      </c>
      <c r="D489" s="38">
        <f>MAX($B$2:B489)</f>
        <v>109967.49430000001</v>
      </c>
      <c r="E489" s="40">
        <f t="shared" si="28"/>
        <v>-7.081626938552521E-2</v>
      </c>
      <c r="F489" s="41">
        <f t="shared" si="29"/>
        <v>92.918373061447483</v>
      </c>
      <c r="G489" s="42" t="str">
        <f t="shared" si="30"/>
        <v>2023-12</v>
      </c>
    </row>
    <row r="490" spans="1:7" x14ac:dyDescent="0.25">
      <c r="A490" s="31">
        <v>45272</v>
      </c>
      <c r="B490" s="32">
        <v>102587.88039999999</v>
      </c>
      <c r="C490" s="33">
        <f t="shared" si="31"/>
        <v>3.9917182780844218E-3</v>
      </c>
      <c r="D490" s="32">
        <f>MAX($B$2:B490)</f>
        <v>109967.49430000001</v>
      </c>
      <c r="E490" s="34">
        <f t="shared" si="28"/>
        <v>-6.7107229704332805E-2</v>
      </c>
      <c r="F490" s="35">
        <f t="shared" si="29"/>
        <v>93.289277029566719</v>
      </c>
      <c r="G490" s="36" t="str">
        <f t="shared" si="30"/>
        <v>2023-12</v>
      </c>
    </row>
    <row r="491" spans="1:7" x14ac:dyDescent="0.25">
      <c r="A491" s="37">
        <v>45273</v>
      </c>
      <c r="B491" s="38">
        <v>103686.6455</v>
      </c>
      <c r="C491" s="39">
        <f t="shared" si="31"/>
        <v>1.0710476673422065E-2</v>
      </c>
      <c r="D491" s="38">
        <f>MAX($B$2:B491)</f>
        <v>109967.49430000001</v>
      </c>
      <c r="E491" s="40">
        <f t="shared" si="28"/>
        <v>-5.7115503449277072E-2</v>
      </c>
      <c r="F491" s="41">
        <f t="shared" si="29"/>
        <v>94.288449655072299</v>
      </c>
      <c r="G491" s="42" t="str">
        <f t="shared" si="30"/>
        <v>2023-12</v>
      </c>
    </row>
    <row r="492" spans="1:7" x14ac:dyDescent="0.25">
      <c r="A492" s="31">
        <v>45274</v>
      </c>
      <c r="B492" s="32">
        <v>104187.60920000001</v>
      </c>
      <c r="C492" s="33">
        <f t="shared" si="31"/>
        <v>4.8315161280823027E-3</v>
      </c>
      <c r="D492" s="32">
        <f>MAX($B$2:B492)</f>
        <v>109967.49430000001</v>
      </c>
      <c r="E492" s="34">
        <f t="shared" si="28"/>
        <v>-5.2559941797273413E-2</v>
      </c>
      <c r="F492" s="35">
        <f t="shared" si="29"/>
        <v>94.744005820272662</v>
      </c>
      <c r="G492" s="36" t="str">
        <f t="shared" si="30"/>
        <v>2023-12</v>
      </c>
    </row>
    <row r="493" spans="1:7" x14ac:dyDescent="0.25">
      <c r="A493" s="37">
        <v>45275</v>
      </c>
      <c r="B493" s="38">
        <v>104394.0209</v>
      </c>
      <c r="C493" s="39">
        <f t="shared" si="31"/>
        <v>1.9811540123140237E-3</v>
      </c>
      <c r="D493" s="38">
        <f>MAX($B$2:B493)</f>
        <v>109967.49430000001</v>
      </c>
      <c r="E493" s="40">
        <f t="shared" si="28"/>
        <v>-5.0682917124537985E-2</v>
      </c>
      <c r="F493" s="41">
        <f t="shared" si="29"/>
        <v>94.931708287546201</v>
      </c>
      <c r="G493" s="42" t="str">
        <f t="shared" si="30"/>
        <v>2023-12</v>
      </c>
    </row>
    <row r="494" spans="1:7" x14ac:dyDescent="0.25">
      <c r="A494" s="31">
        <v>45278</v>
      </c>
      <c r="B494" s="32">
        <v>104901.2252</v>
      </c>
      <c r="C494" s="33">
        <f t="shared" si="31"/>
        <v>4.8585569904031622E-3</v>
      </c>
      <c r="D494" s="32">
        <f>MAX($B$2:B494)</f>
        <v>109967.49430000001</v>
      </c>
      <c r="E494" s="34">
        <f t="shared" si="28"/>
        <v>-4.6070605975424228E-2</v>
      </c>
      <c r="F494" s="35">
        <f t="shared" si="29"/>
        <v>95.392939402457571</v>
      </c>
      <c r="G494" s="36" t="str">
        <f t="shared" si="30"/>
        <v>2023-12</v>
      </c>
    </row>
    <row r="495" spans="1:7" x14ac:dyDescent="0.25">
      <c r="A495" s="37">
        <v>45279</v>
      </c>
      <c r="B495" s="38">
        <v>105668.2408</v>
      </c>
      <c r="C495" s="39">
        <f t="shared" si="31"/>
        <v>7.3117887664100323E-3</v>
      </c>
      <c r="D495" s="38">
        <f>MAX($B$2:B495)</f>
        <v>109967.49430000001</v>
      </c>
      <c r="E495" s="40">
        <f t="shared" si="28"/>
        <v>-3.9095675748247016E-2</v>
      </c>
      <c r="F495" s="41">
        <f t="shared" si="29"/>
        <v>96.090432425175294</v>
      </c>
      <c r="G495" s="42" t="str">
        <f t="shared" si="30"/>
        <v>2023-12</v>
      </c>
    </row>
    <row r="496" spans="1:7" x14ac:dyDescent="0.25">
      <c r="A496" s="31">
        <v>45280</v>
      </c>
      <c r="B496" s="32">
        <v>103895.344</v>
      </c>
      <c r="C496" s="33">
        <f t="shared" si="31"/>
        <v>-1.6777953210705854E-2</v>
      </c>
      <c r="D496" s="32">
        <f>MAX($B$2:B496)</f>
        <v>109967.49430000001</v>
      </c>
      <c r="E496" s="34">
        <f t="shared" si="28"/>
        <v>-5.5217683540507934E-2</v>
      </c>
      <c r="F496" s="35">
        <f t="shared" si="29"/>
        <v>94.478231645949208</v>
      </c>
      <c r="G496" s="36" t="str">
        <f t="shared" si="30"/>
        <v>2023-12</v>
      </c>
    </row>
    <row r="497" spans="1:7" x14ac:dyDescent="0.25">
      <c r="A497" s="37">
        <v>45281</v>
      </c>
      <c r="B497" s="38">
        <v>105355.16469999999</v>
      </c>
      <c r="C497" s="39">
        <f t="shared" si="31"/>
        <v>1.4050877005614471E-2</v>
      </c>
      <c r="D497" s="38">
        <f>MAX($B$2:B497)</f>
        <v>109967.49430000001</v>
      </c>
      <c r="E497" s="40">
        <f t="shared" si="28"/>
        <v>-4.1942663414856196E-2</v>
      </c>
      <c r="F497" s="41">
        <f t="shared" si="29"/>
        <v>95.805733658514384</v>
      </c>
      <c r="G497" s="42" t="str">
        <f t="shared" si="30"/>
        <v>2023-12</v>
      </c>
    </row>
    <row r="498" spans="1:7" x14ac:dyDescent="0.25">
      <c r="A498" s="31">
        <v>45282</v>
      </c>
      <c r="B498" s="32">
        <v>105429.2205</v>
      </c>
      <c r="C498" s="33">
        <f t="shared" si="31"/>
        <v>7.0291570622926791E-4</v>
      </c>
      <c r="D498" s="32">
        <f>MAX($B$2:B498)</f>
        <v>109967.49430000001</v>
      </c>
      <c r="E498" s="34">
        <f t="shared" si="28"/>
        <v>-4.1269229865502299E-2</v>
      </c>
      <c r="F498" s="35">
        <f t="shared" si="29"/>
        <v>95.873077013449773</v>
      </c>
      <c r="G498" s="36" t="str">
        <f t="shared" si="30"/>
        <v>2023-12</v>
      </c>
    </row>
    <row r="499" spans="1:7" x14ac:dyDescent="0.25">
      <c r="A499" s="37">
        <v>45286</v>
      </c>
      <c r="B499" s="38">
        <v>105891.1633</v>
      </c>
      <c r="C499" s="39">
        <f t="shared" si="31"/>
        <v>4.3815442987173991E-3</v>
      </c>
      <c r="D499" s="38">
        <f>MAX($B$2:B499)</f>
        <v>109967.49430000001</v>
      </c>
      <c r="E499" s="40">
        <f t="shared" si="28"/>
        <v>-3.7068508525614385E-2</v>
      </c>
      <c r="F499" s="41">
        <f t="shared" si="29"/>
        <v>96.293149147438555</v>
      </c>
      <c r="G499" s="42" t="str">
        <f t="shared" si="30"/>
        <v>2023-12</v>
      </c>
    </row>
    <row r="500" spans="1:7" x14ac:dyDescent="0.25">
      <c r="A500" s="31">
        <v>45287</v>
      </c>
      <c r="B500" s="32">
        <v>106160.06849999999</v>
      </c>
      <c r="C500" s="33">
        <f t="shared" si="31"/>
        <v>2.5394489173582446E-3</v>
      </c>
      <c r="D500" s="32">
        <f>MAX($B$2:B500)</f>
        <v>109967.49430000001</v>
      </c>
      <c r="E500" s="34">
        <f t="shared" si="28"/>
        <v>-3.4623193192099611E-2</v>
      </c>
      <c r="F500" s="35">
        <f t="shared" si="29"/>
        <v>96.537680680790032</v>
      </c>
      <c r="G500" s="36" t="str">
        <f t="shared" si="30"/>
        <v>2023-12</v>
      </c>
    </row>
    <row r="501" spans="1:7" x14ac:dyDescent="0.25">
      <c r="A501" s="37">
        <v>45288</v>
      </c>
      <c r="B501" s="38">
        <v>105850.5154</v>
      </c>
      <c r="C501" s="39">
        <f t="shared" si="31"/>
        <v>-2.9159090077263139E-3</v>
      </c>
      <c r="D501" s="38">
        <f>MAX($B$2:B501)</f>
        <v>109967.49430000001</v>
      </c>
      <c r="E501" s="40">
        <f t="shared" si="28"/>
        <v>-3.7438144118920769E-2</v>
      </c>
      <c r="F501" s="41">
        <f t="shared" si="29"/>
        <v>96.256185588107925</v>
      </c>
      <c r="G501" s="42" t="str">
        <f t="shared" si="30"/>
        <v>2023-12</v>
      </c>
    </row>
    <row r="502" spans="1:7" x14ac:dyDescent="0.25">
      <c r="A502" s="31">
        <v>45289</v>
      </c>
      <c r="B502" s="32">
        <v>105316.5579</v>
      </c>
      <c r="C502" s="33">
        <f t="shared" si="31"/>
        <v>-5.0444487490894918E-3</v>
      </c>
      <c r="D502" s="32">
        <f>MAX($B$2:B502)</f>
        <v>109967.49430000001</v>
      </c>
      <c r="E502" s="34">
        <f t="shared" si="28"/>
        <v>-4.2293738068741371E-2</v>
      </c>
      <c r="F502" s="35">
        <f t="shared" si="29"/>
        <v>95.770626193125864</v>
      </c>
      <c r="G502" s="36" t="str">
        <f t="shared" si="30"/>
        <v>2023-12</v>
      </c>
    </row>
    <row r="503" spans="1:7" x14ac:dyDescent="0.25">
      <c r="A503" s="37">
        <v>45293</v>
      </c>
      <c r="B503" s="38">
        <v>103983.2594</v>
      </c>
      <c r="C503" s="39">
        <f t="shared" si="31"/>
        <v>-1.2659913375311804E-2</v>
      </c>
      <c r="D503" s="38">
        <f>MAX($B$2:B503)</f>
        <v>109967.49430000001</v>
      </c>
      <c r="E503" s="40">
        <f t="shared" si="28"/>
        <v>-5.4418216383784745E-2</v>
      </c>
      <c r="F503" s="41">
        <f t="shared" si="29"/>
        <v>94.558178361621529</v>
      </c>
      <c r="G503" s="42" t="str">
        <f t="shared" si="30"/>
        <v>2024-01</v>
      </c>
    </row>
    <row r="504" spans="1:7" x14ac:dyDescent="0.25">
      <c r="A504" s="31">
        <v>45294</v>
      </c>
      <c r="B504" s="32">
        <v>102897.20419999999</v>
      </c>
      <c r="C504" s="33">
        <f t="shared" si="31"/>
        <v>-1.0444519687752729E-2</v>
      </c>
      <c r="D504" s="32">
        <f>MAX($B$2:B504)</f>
        <v>109967.49430000001</v>
      </c>
      <c r="E504" s="34">
        <f t="shared" si="28"/>
        <v>-6.4294363939144672E-2</v>
      </c>
      <c r="F504" s="35">
        <f t="shared" si="29"/>
        <v>93.570563606085528</v>
      </c>
      <c r="G504" s="36" t="str">
        <f t="shared" si="30"/>
        <v>2024-01</v>
      </c>
    </row>
    <row r="505" spans="1:7" x14ac:dyDescent="0.25">
      <c r="A505" s="37">
        <v>45295</v>
      </c>
      <c r="B505" s="38">
        <v>102278.3498</v>
      </c>
      <c r="C505" s="39">
        <f t="shared" si="31"/>
        <v>-6.0142975196598725E-3</v>
      </c>
      <c r="D505" s="38">
        <f>MAX($B$2:B505)</f>
        <v>109967.49430000001</v>
      </c>
      <c r="E505" s="40">
        <f t="shared" si="28"/>
        <v>-6.9921976025237198E-2</v>
      </c>
      <c r="F505" s="41">
        <f t="shared" si="29"/>
        <v>93.007802397476283</v>
      </c>
      <c r="G505" s="42" t="str">
        <f t="shared" si="30"/>
        <v>2024-01</v>
      </c>
    </row>
    <row r="506" spans="1:7" x14ac:dyDescent="0.25">
      <c r="A506" s="31">
        <v>45296</v>
      </c>
      <c r="B506" s="32">
        <v>102369.689</v>
      </c>
      <c r="C506" s="33">
        <f t="shared" si="31"/>
        <v>8.9304530410005967E-4</v>
      </c>
      <c r="D506" s="32">
        <f>MAX($B$2:B506)</f>
        <v>109967.49430000001</v>
      </c>
      <c r="E506" s="34">
        <f t="shared" si="28"/>
        <v>-6.9091374213479773E-2</v>
      </c>
      <c r="F506" s="35">
        <f t="shared" si="29"/>
        <v>93.090862578652022</v>
      </c>
      <c r="G506" s="36" t="str">
        <f t="shared" si="30"/>
        <v>2024-01</v>
      </c>
    </row>
    <row r="507" spans="1:7" x14ac:dyDescent="0.25">
      <c r="A507" s="37">
        <v>45299</v>
      </c>
      <c r="B507" s="38">
        <v>104306.6471</v>
      </c>
      <c r="C507" s="39">
        <f t="shared" si="31"/>
        <v>1.8921207233520088E-2</v>
      </c>
      <c r="D507" s="38">
        <f>MAX($B$2:B507)</f>
        <v>109967.49430000001</v>
      </c>
      <c r="E507" s="40">
        <f t="shared" si="28"/>
        <v>-5.147745918950164E-2</v>
      </c>
      <c r="F507" s="41">
        <f t="shared" si="29"/>
        <v>94.852254081049836</v>
      </c>
      <c r="G507" s="42" t="str">
        <f t="shared" si="30"/>
        <v>2024-01</v>
      </c>
    </row>
    <row r="508" spans="1:7" x14ac:dyDescent="0.25">
      <c r="A508" s="31">
        <v>45300</v>
      </c>
      <c r="B508" s="32">
        <v>104093.001</v>
      </c>
      <c r="C508" s="33">
        <f t="shared" si="31"/>
        <v>-2.0482500966134687E-3</v>
      </c>
      <c r="D508" s="32">
        <f>MAX($B$2:B508)</f>
        <v>109967.49430000001</v>
      </c>
      <c r="E508" s="34">
        <f t="shared" si="28"/>
        <v>-5.342027057535681E-2</v>
      </c>
      <c r="F508" s="35">
        <f t="shared" si="29"/>
        <v>94.657972942464312</v>
      </c>
      <c r="G508" s="36" t="str">
        <f t="shared" si="30"/>
        <v>2024-01</v>
      </c>
    </row>
    <row r="509" spans="1:7" x14ac:dyDescent="0.25">
      <c r="A509" s="37">
        <v>45301</v>
      </c>
      <c r="B509" s="38">
        <v>104720.23050000001</v>
      </c>
      <c r="C509" s="39">
        <f t="shared" si="31"/>
        <v>6.0256644920824165E-3</v>
      </c>
      <c r="D509" s="38">
        <f>MAX($B$2:B509)</f>
        <v>109967.49430000001</v>
      </c>
      <c r="E509" s="40">
        <f t="shared" si="28"/>
        <v>-4.7716498710837718E-2</v>
      </c>
      <c r="F509" s="41">
        <f t="shared" si="29"/>
        <v>95.228350128916233</v>
      </c>
      <c r="G509" s="42" t="str">
        <f t="shared" si="30"/>
        <v>2024-01</v>
      </c>
    </row>
    <row r="510" spans="1:7" x14ac:dyDescent="0.25">
      <c r="A510" s="31">
        <v>45302</v>
      </c>
      <c r="B510" s="32">
        <v>104522.9871</v>
      </c>
      <c r="C510" s="33">
        <f t="shared" si="31"/>
        <v>-1.8835271757734473E-3</v>
      </c>
      <c r="D510" s="32">
        <f>MAX($B$2:B510)</f>
        <v>109967.49430000001</v>
      </c>
      <c r="E510" s="34">
        <f t="shared" si="28"/>
        <v>-4.9510150564556432E-2</v>
      </c>
      <c r="F510" s="35">
        <f t="shared" si="29"/>
        <v>95.048984943544355</v>
      </c>
      <c r="G510" s="36" t="str">
        <f t="shared" si="30"/>
        <v>2024-01</v>
      </c>
    </row>
    <row r="511" spans="1:7" x14ac:dyDescent="0.25">
      <c r="A511" s="37">
        <v>45303</v>
      </c>
      <c r="B511" s="38">
        <v>104253.9911</v>
      </c>
      <c r="C511" s="39">
        <f t="shared" si="31"/>
        <v>-2.5735582905093146E-3</v>
      </c>
      <c r="D511" s="38">
        <f>MAX($B$2:B511)</f>
        <v>109967.49430000001</v>
      </c>
      <c r="E511" s="40">
        <f t="shared" si="28"/>
        <v>-5.1956291596615967E-2</v>
      </c>
      <c r="F511" s="41">
        <f t="shared" si="29"/>
        <v>94.804370840338407</v>
      </c>
      <c r="G511" s="42" t="str">
        <f t="shared" si="30"/>
        <v>2024-01</v>
      </c>
    </row>
    <row r="512" spans="1:7" x14ac:dyDescent="0.25">
      <c r="A512" s="31">
        <v>45307</v>
      </c>
      <c r="B512" s="32">
        <v>104202.6747</v>
      </c>
      <c r="C512" s="33">
        <f t="shared" si="31"/>
        <v>-4.9222480078270348E-4</v>
      </c>
      <c r="D512" s="32">
        <f>MAX($B$2:B512)</f>
        <v>109967.49430000001</v>
      </c>
      <c r="E512" s="34">
        <f t="shared" si="28"/>
        <v>-5.2422942222118074E-2</v>
      </c>
      <c r="F512" s="35">
        <f t="shared" si="29"/>
        <v>94.757705777788189</v>
      </c>
      <c r="G512" s="36" t="str">
        <f t="shared" si="30"/>
        <v>2024-01</v>
      </c>
    </row>
    <row r="513" spans="1:7" x14ac:dyDescent="0.25">
      <c r="A513" s="37">
        <v>45308</v>
      </c>
      <c r="B513" s="38">
        <v>103560.1096</v>
      </c>
      <c r="C513" s="39">
        <f t="shared" si="31"/>
        <v>-6.1664933443402736E-3</v>
      </c>
      <c r="D513" s="38">
        <f>MAX($B$2:B513)</f>
        <v>109967.49430000001</v>
      </c>
      <c r="E513" s="40">
        <f t="shared" si="28"/>
        <v>-5.8266169842154936E-2</v>
      </c>
      <c r="F513" s="41">
        <f t="shared" si="29"/>
        <v>94.173383015784509</v>
      </c>
      <c r="G513" s="42" t="str">
        <f t="shared" si="30"/>
        <v>2024-01</v>
      </c>
    </row>
    <row r="514" spans="1:7" x14ac:dyDescent="0.25">
      <c r="A514" s="31">
        <v>45309</v>
      </c>
      <c r="B514" s="32">
        <v>105103.67750000001</v>
      </c>
      <c r="C514" s="33">
        <f t="shared" si="31"/>
        <v>1.4905043128691453E-2</v>
      </c>
      <c r="D514" s="32">
        <f>MAX($B$2:B514)</f>
        <v>109967.49430000001</v>
      </c>
      <c r="E514" s="34">
        <f t="shared" ref="E514:E577" si="32">B514/D514-1</f>
        <v>-4.4229586487904538E-2</v>
      </c>
      <c r="F514" s="35">
        <f t="shared" ref="F514:F577" si="33">B514/$B$2*100</f>
        <v>95.577041351209544</v>
      </c>
      <c r="G514" s="36" t="str">
        <f t="shared" ref="G514:G577" si="34">TEXT(A514,"YYYY-MM")</f>
        <v>2024-01</v>
      </c>
    </row>
    <row r="515" spans="1:7" x14ac:dyDescent="0.25">
      <c r="A515" s="37">
        <v>45310</v>
      </c>
      <c r="B515" s="38">
        <v>106503.43399999999</v>
      </c>
      <c r="C515" s="39">
        <f t="shared" ref="C515:C578" si="35">B515/B514-1</f>
        <v>1.3317864163221005E-2</v>
      </c>
      <c r="D515" s="38">
        <f>MAX($B$2:B515)</f>
        <v>109967.49430000001</v>
      </c>
      <c r="E515" s="40">
        <f t="shared" si="32"/>
        <v>-3.1500765949524889E-2</v>
      </c>
      <c r="F515" s="41">
        <f t="shared" si="33"/>
        <v>96.849923405047505</v>
      </c>
      <c r="G515" s="42" t="str">
        <f t="shared" si="34"/>
        <v>2024-01</v>
      </c>
    </row>
    <row r="516" spans="1:7" x14ac:dyDescent="0.25">
      <c r="A516" s="31">
        <v>45313</v>
      </c>
      <c r="B516" s="32">
        <v>106509.95819999999</v>
      </c>
      <c r="C516" s="33">
        <f t="shared" si="35"/>
        <v>6.1258118681850604E-5</v>
      </c>
      <c r="D516" s="32">
        <f>MAX($B$2:B516)</f>
        <v>109967.49430000001</v>
      </c>
      <c r="E516" s="34">
        <f t="shared" si="32"/>
        <v>-3.1441437508502146E-2</v>
      </c>
      <c r="F516" s="35">
        <f t="shared" si="33"/>
        <v>96.855856249149781</v>
      </c>
      <c r="G516" s="36" t="str">
        <f t="shared" si="34"/>
        <v>2024-01</v>
      </c>
    </row>
    <row r="517" spans="1:7" x14ac:dyDescent="0.25">
      <c r="A517" s="37">
        <v>45314</v>
      </c>
      <c r="B517" s="38">
        <v>106904.4945</v>
      </c>
      <c r="C517" s="39">
        <f t="shared" si="35"/>
        <v>3.7042198369767743E-3</v>
      </c>
      <c r="D517" s="38">
        <f>MAX($B$2:B517)</f>
        <v>109967.49430000001</v>
      </c>
      <c r="E517" s="40">
        <f t="shared" si="32"/>
        <v>-2.7853683668047413E-2</v>
      </c>
      <c r="F517" s="41">
        <f t="shared" si="33"/>
        <v>97.214631633195253</v>
      </c>
      <c r="G517" s="42" t="str">
        <f t="shared" si="34"/>
        <v>2024-01</v>
      </c>
    </row>
    <row r="518" spans="1:7" x14ac:dyDescent="0.25">
      <c r="A518" s="31">
        <v>45315</v>
      </c>
      <c r="B518" s="32">
        <v>107295.5336</v>
      </c>
      <c r="C518" s="33">
        <f t="shared" si="35"/>
        <v>3.6578359200789556E-3</v>
      </c>
      <c r="D518" s="32">
        <f>MAX($B$2:B518)</f>
        <v>109967.49430000001</v>
      </c>
      <c r="E518" s="34">
        <f t="shared" si="32"/>
        <v>-2.429773195259588E-2</v>
      </c>
      <c r="F518" s="35">
        <f t="shared" si="33"/>
        <v>97.570226804740415</v>
      </c>
      <c r="G518" s="36" t="str">
        <f t="shared" si="34"/>
        <v>2024-01</v>
      </c>
    </row>
    <row r="519" spans="1:7" x14ac:dyDescent="0.25">
      <c r="A519" s="37">
        <v>45316</v>
      </c>
      <c r="B519" s="38">
        <v>106675.7346</v>
      </c>
      <c r="C519" s="39">
        <f t="shared" si="35"/>
        <v>-5.7765591838204733E-3</v>
      </c>
      <c r="D519" s="38">
        <f>MAX($B$2:B519)</f>
        <v>109967.49430000001</v>
      </c>
      <c r="E519" s="40">
        <f t="shared" si="32"/>
        <v>-2.9933933849759509E-2</v>
      </c>
      <c r="F519" s="41">
        <f t="shared" si="33"/>
        <v>97.006606615024054</v>
      </c>
      <c r="G519" s="42" t="str">
        <f t="shared" si="34"/>
        <v>2024-01</v>
      </c>
    </row>
    <row r="520" spans="1:7" x14ac:dyDescent="0.25">
      <c r="A520" s="31">
        <v>45317</v>
      </c>
      <c r="B520" s="32">
        <v>106524.52589999999</v>
      </c>
      <c r="C520" s="33">
        <f t="shared" si="35"/>
        <v>-1.417461061477443E-3</v>
      </c>
      <c r="D520" s="32">
        <f>MAX($B$2:B520)</f>
        <v>109967.49430000001</v>
      </c>
      <c r="E520" s="34">
        <f t="shared" si="32"/>
        <v>-3.1308964725588084E-2</v>
      </c>
      <c r="F520" s="35">
        <f t="shared" si="33"/>
        <v>96.869103527441197</v>
      </c>
      <c r="G520" s="36" t="str">
        <f t="shared" si="34"/>
        <v>2024-01</v>
      </c>
    </row>
    <row r="521" spans="1:7" x14ac:dyDescent="0.25">
      <c r="A521" s="37">
        <v>45320</v>
      </c>
      <c r="B521" s="38">
        <v>107679.8058</v>
      </c>
      <c r="C521" s="39">
        <f t="shared" si="35"/>
        <v>1.084520104867237E-2</v>
      </c>
      <c r="D521" s="38">
        <f>MAX($B$2:B521)</f>
        <v>109967.49430000001</v>
      </c>
      <c r="E521" s="40">
        <f t="shared" si="32"/>
        <v>-2.0803315693990521E-2</v>
      </c>
      <c r="F521" s="41">
        <f t="shared" si="33"/>
        <v>97.91966843060095</v>
      </c>
      <c r="G521" s="42" t="str">
        <f t="shared" si="34"/>
        <v>2024-01</v>
      </c>
    </row>
    <row r="522" spans="1:7" x14ac:dyDescent="0.25">
      <c r="A522" s="31">
        <v>45321</v>
      </c>
      <c r="B522" s="32">
        <v>107097.41039999999</v>
      </c>
      <c r="C522" s="33">
        <f t="shared" si="35"/>
        <v>-5.4085851629573911E-3</v>
      </c>
      <c r="D522" s="32">
        <f>MAX($B$2:B522)</f>
        <v>109967.49430000001</v>
      </c>
      <c r="E522" s="34">
        <f t="shared" si="32"/>
        <v>-2.6099384352345045E-2</v>
      </c>
      <c r="F522" s="35">
        <f t="shared" si="33"/>
        <v>97.390061564765489</v>
      </c>
      <c r="G522" s="36" t="str">
        <f t="shared" si="34"/>
        <v>2024-01</v>
      </c>
    </row>
    <row r="523" spans="1:7" x14ac:dyDescent="0.25">
      <c r="A523" s="37">
        <v>45322</v>
      </c>
      <c r="B523" s="38">
        <v>104705.1485</v>
      </c>
      <c r="C523" s="39">
        <f t="shared" si="35"/>
        <v>-2.2337252516798412E-2</v>
      </c>
      <c r="D523" s="38">
        <f>MAX($B$2:B523)</f>
        <v>109967.49430000001</v>
      </c>
      <c r="E523" s="40">
        <f t="shared" si="32"/>
        <v>-4.7853648330332232E-2</v>
      </c>
      <c r="F523" s="41">
        <f t="shared" si="33"/>
        <v>95.214635166966772</v>
      </c>
      <c r="G523" s="42" t="str">
        <f t="shared" si="34"/>
        <v>2024-01</v>
      </c>
    </row>
    <row r="524" spans="1:7" x14ac:dyDescent="0.25">
      <c r="A524" s="31">
        <v>45323</v>
      </c>
      <c r="B524" s="32">
        <v>106043.4938</v>
      </c>
      <c r="C524" s="33">
        <f t="shared" si="35"/>
        <v>1.2782039079959784E-2</v>
      </c>
      <c r="D524" s="32">
        <f>MAX($B$2:B524)</f>
        <v>109967.49430000001</v>
      </c>
      <c r="E524" s="34">
        <f t="shared" si="32"/>
        <v>-3.5683276453449264E-2</v>
      </c>
      <c r="F524" s="35">
        <f t="shared" si="33"/>
        <v>96.431672354655078</v>
      </c>
      <c r="G524" s="36" t="str">
        <f t="shared" si="34"/>
        <v>2024-02</v>
      </c>
    </row>
    <row r="525" spans="1:7" x14ac:dyDescent="0.25">
      <c r="A525" s="37">
        <v>45324</v>
      </c>
      <c r="B525" s="38">
        <v>107468.2341</v>
      </c>
      <c r="C525" s="39">
        <f t="shared" si="35"/>
        <v>1.3435433414586306E-2</v>
      </c>
      <c r="D525" s="38">
        <f>MAX($B$2:B525)</f>
        <v>109967.49430000001</v>
      </c>
      <c r="E525" s="40">
        <f t="shared" si="32"/>
        <v>-2.2727263323667479E-2</v>
      </c>
      <c r="F525" s="41">
        <f t="shared" si="33"/>
        <v>97.727273667633256</v>
      </c>
      <c r="G525" s="42" t="str">
        <f t="shared" si="34"/>
        <v>2024-02</v>
      </c>
    </row>
    <row r="526" spans="1:7" x14ac:dyDescent="0.25">
      <c r="A526" s="31">
        <v>45327</v>
      </c>
      <c r="B526" s="32">
        <v>107186.5684</v>
      </c>
      <c r="C526" s="33">
        <f t="shared" si="35"/>
        <v>-2.620920519992076E-3</v>
      </c>
      <c r="D526" s="32">
        <f>MAX($B$2:B526)</f>
        <v>109967.49430000001</v>
      </c>
      <c r="E526" s="34">
        <f t="shared" si="32"/>
        <v>-2.5288617492851273E-2</v>
      </c>
      <c r="F526" s="35">
        <f t="shared" si="33"/>
        <v>97.471138250714873</v>
      </c>
      <c r="G526" s="36" t="str">
        <f t="shared" si="34"/>
        <v>2024-02</v>
      </c>
    </row>
    <row r="527" spans="1:7" x14ac:dyDescent="0.25">
      <c r="A527" s="37">
        <v>45328</v>
      </c>
      <c r="B527" s="38">
        <v>107475.9996</v>
      </c>
      <c r="C527" s="39">
        <f t="shared" si="35"/>
        <v>2.7002562384486062E-3</v>
      </c>
      <c r="D527" s="38">
        <f>MAX($B$2:B527)</f>
        <v>109967.49430000001</v>
      </c>
      <c r="E527" s="40">
        <f t="shared" si="32"/>
        <v>-2.2656647001549568E-2</v>
      </c>
      <c r="F527" s="41">
        <f t="shared" si="33"/>
        <v>97.734335299845043</v>
      </c>
      <c r="G527" s="42" t="str">
        <f t="shared" si="34"/>
        <v>2024-02</v>
      </c>
    </row>
    <row r="528" spans="1:7" x14ac:dyDescent="0.25">
      <c r="A528" s="31">
        <v>45329</v>
      </c>
      <c r="B528" s="32">
        <v>108853.2687</v>
      </c>
      <c r="C528" s="33">
        <f t="shared" si="35"/>
        <v>1.2814666577895206E-2</v>
      </c>
      <c r="D528" s="32">
        <f>MAX($B$2:B528)</f>
        <v>109967.49430000001</v>
      </c>
      <c r="E528" s="34">
        <f t="shared" si="32"/>
        <v>-1.0132317800752189E-2</v>
      </c>
      <c r="F528" s="35">
        <f t="shared" si="33"/>
        <v>98.986768219924784</v>
      </c>
      <c r="G528" s="36" t="str">
        <f t="shared" si="34"/>
        <v>2024-02</v>
      </c>
    </row>
    <row r="529" spans="1:7" x14ac:dyDescent="0.25">
      <c r="A529" s="37">
        <v>45330</v>
      </c>
      <c r="B529" s="38">
        <v>109342.5944</v>
      </c>
      <c r="C529" s="39">
        <f t="shared" si="35"/>
        <v>4.4952779631137751E-3</v>
      </c>
      <c r="D529" s="38">
        <f>MAX($B$2:B529)</f>
        <v>109967.49430000001</v>
      </c>
      <c r="E529" s="40">
        <f t="shared" si="32"/>
        <v>-5.6825874225635564E-3</v>
      </c>
      <c r="F529" s="41">
        <f t="shared" si="33"/>
        <v>99.431741257743639</v>
      </c>
      <c r="G529" s="42" t="str">
        <f t="shared" si="34"/>
        <v>2024-02</v>
      </c>
    </row>
    <row r="530" spans="1:7" x14ac:dyDescent="0.25">
      <c r="A530" s="31">
        <v>45331</v>
      </c>
      <c r="B530" s="32">
        <v>110491.30039999999</v>
      </c>
      <c r="C530" s="33">
        <f t="shared" si="35"/>
        <v>1.0505567444263786E-2</v>
      </c>
      <c r="D530" s="32">
        <f>MAX($B$2:B530)</f>
        <v>110491.30039999999</v>
      </c>
      <c r="E530" s="34">
        <f t="shared" si="32"/>
        <v>0</v>
      </c>
      <c r="F530" s="35">
        <f t="shared" si="33"/>
        <v>100.47632812162747</v>
      </c>
      <c r="G530" s="36" t="str">
        <f t="shared" si="34"/>
        <v>2024-02</v>
      </c>
    </row>
    <row r="531" spans="1:7" x14ac:dyDescent="0.25">
      <c r="A531" s="37">
        <v>45334</v>
      </c>
      <c r="B531" s="38">
        <v>109709.30839999999</v>
      </c>
      <c r="C531" s="39">
        <f t="shared" si="35"/>
        <v>-7.0774078788921058E-3</v>
      </c>
      <c r="D531" s="38">
        <f>MAX($B$2:B531)</f>
        <v>110491.30039999999</v>
      </c>
      <c r="E531" s="40">
        <f t="shared" si="32"/>
        <v>-7.0774078788921058E-3</v>
      </c>
      <c r="F531" s="41">
        <f t="shared" si="33"/>
        <v>99.765216165337307</v>
      </c>
      <c r="G531" s="42" t="str">
        <f t="shared" si="34"/>
        <v>2024-02</v>
      </c>
    </row>
    <row r="532" spans="1:7" x14ac:dyDescent="0.25">
      <c r="A532" s="31">
        <v>45335</v>
      </c>
      <c r="B532" s="32">
        <v>107844.53109999999</v>
      </c>
      <c r="C532" s="33">
        <f t="shared" si="35"/>
        <v>-1.6997439207264264E-2</v>
      </c>
      <c r="D532" s="32">
        <f>MAX($B$2:B532)</f>
        <v>110491.30039999999</v>
      </c>
      <c r="E532" s="34">
        <f t="shared" si="32"/>
        <v>-2.3954549275989834E-2</v>
      </c>
      <c r="F532" s="35">
        <f t="shared" si="33"/>
        <v>98.069462968567422</v>
      </c>
      <c r="G532" s="36" t="str">
        <f t="shared" si="34"/>
        <v>2024-02</v>
      </c>
    </row>
    <row r="533" spans="1:7" x14ac:dyDescent="0.25">
      <c r="A533" s="37">
        <v>45336</v>
      </c>
      <c r="B533" s="38">
        <v>109005.73360000001</v>
      </c>
      <c r="C533" s="39">
        <f t="shared" si="35"/>
        <v>1.0767374925329198E-2</v>
      </c>
      <c r="D533" s="38">
        <f>MAX($B$2:B533)</f>
        <v>110491.30039999999</v>
      </c>
      <c r="E533" s="40">
        <f t="shared" si="32"/>
        <v>-1.34451019638826E-2</v>
      </c>
      <c r="F533" s="41">
        <f t="shared" si="33"/>
        <v>99.125413645075668</v>
      </c>
      <c r="G533" s="42" t="str">
        <f t="shared" si="34"/>
        <v>2024-02</v>
      </c>
    </row>
    <row r="534" spans="1:7" x14ac:dyDescent="0.25">
      <c r="A534" s="31">
        <v>45337</v>
      </c>
      <c r="B534" s="32">
        <v>109510.674</v>
      </c>
      <c r="C534" s="33">
        <f t="shared" si="35"/>
        <v>4.6322370697755577E-3</v>
      </c>
      <c r="D534" s="32">
        <f>MAX($B$2:B534)</f>
        <v>110491.30039999999</v>
      </c>
      <c r="E534" s="34">
        <f t="shared" si="32"/>
        <v>-8.8751457938311962E-3</v>
      </c>
      <c r="F534" s="35">
        <f t="shared" si="33"/>
        <v>99.584586060719218</v>
      </c>
      <c r="G534" s="36" t="str">
        <f t="shared" si="34"/>
        <v>2024-02</v>
      </c>
    </row>
    <row r="535" spans="1:7" x14ac:dyDescent="0.25">
      <c r="A535" s="37">
        <v>45338</v>
      </c>
      <c r="B535" s="38">
        <v>108803.4428</v>
      </c>
      <c r="C535" s="39">
        <f t="shared" si="35"/>
        <v>-6.4581028877604973E-3</v>
      </c>
      <c r="D535" s="38">
        <f>MAX($B$2:B535)</f>
        <v>110491.30039999999</v>
      </c>
      <c r="E535" s="40">
        <f t="shared" si="32"/>
        <v>-1.5275932076911136E-2</v>
      </c>
      <c r="F535" s="41">
        <f t="shared" si="33"/>
        <v>98.941458557904056</v>
      </c>
      <c r="G535" s="42" t="str">
        <f t="shared" si="34"/>
        <v>2024-02</v>
      </c>
    </row>
    <row r="536" spans="1:7" x14ac:dyDescent="0.25">
      <c r="A536" s="31">
        <v>45342</v>
      </c>
      <c r="B536" s="32">
        <v>107936.4307</v>
      </c>
      <c r="C536" s="33">
        <f t="shared" si="35"/>
        <v>-7.9686090594920378E-3</v>
      </c>
      <c r="D536" s="32">
        <f>MAX($B$2:B536)</f>
        <v>110491.30039999999</v>
      </c>
      <c r="E536" s="34">
        <f t="shared" si="32"/>
        <v>-2.3122813205663006E-2</v>
      </c>
      <c r="F536" s="35">
        <f t="shared" si="33"/>
        <v>98.153032754880172</v>
      </c>
      <c r="G536" s="36" t="str">
        <f t="shared" si="34"/>
        <v>2024-02</v>
      </c>
    </row>
    <row r="537" spans="1:7" x14ac:dyDescent="0.25">
      <c r="A537" s="37">
        <v>45343</v>
      </c>
      <c r="B537" s="38">
        <v>108034.2984</v>
      </c>
      <c r="C537" s="39">
        <f t="shared" si="35"/>
        <v>9.0671610470449693E-4</v>
      </c>
      <c r="D537" s="38">
        <f>MAX($B$2:B537)</f>
        <v>110491.30039999999</v>
      </c>
      <c r="E537" s="40">
        <f t="shared" si="32"/>
        <v>-2.2237062928078255E-2</v>
      </c>
      <c r="F537" s="41">
        <f t="shared" si="33"/>
        <v>98.242029690404607</v>
      </c>
      <c r="G537" s="42" t="str">
        <f t="shared" si="34"/>
        <v>2024-02</v>
      </c>
    </row>
    <row r="538" spans="1:7" x14ac:dyDescent="0.25">
      <c r="A538" s="31">
        <v>45344</v>
      </c>
      <c r="B538" s="32">
        <v>110835.8358</v>
      </c>
      <c r="C538" s="33">
        <f t="shared" si="35"/>
        <v>2.5931925707771253E-2</v>
      </c>
      <c r="D538" s="32">
        <f>MAX($B$2:B538)</f>
        <v>110835.8358</v>
      </c>
      <c r="E538" s="34">
        <f t="shared" si="32"/>
        <v>0</v>
      </c>
      <c r="F538" s="35">
        <f t="shared" si="33"/>
        <v>100.78963470571685</v>
      </c>
      <c r="G538" s="36" t="str">
        <f t="shared" si="34"/>
        <v>2024-02</v>
      </c>
    </row>
    <row r="539" spans="1:7" x14ac:dyDescent="0.25">
      <c r="A539" s="37">
        <v>45345</v>
      </c>
      <c r="B539" s="38">
        <v>110554.1865</v>
      </c>
      <c r="C539" s="39">
        <f t="shared" si="35"/>
        <v>-2.5411393162427798E-3</v>
      </c>
      <c r="D539" s="38">
        <f>MAX($B$2:B539)</f>
        <v>110835.8358</v>
      </c>
      <c r="E539" s="40">
        <f t="shared" si="32"/>
        <v>-2.5411393162427798E-3</v>
      </c>
      <c r="F539" s="41">
        <f t="shared" si="33"/>
        <v>100.53351420229642</v>
      </c>
      <c r="G539" s="42" t="str">
        <f t="shared" si="34"/>
        <v>2024-02</v>
      </c>
    </row>
    <row r="540" spans="1:7" x14ac:dyDescent="0.25">
      <c r="A540" s="31">
        <v>45348</v>
      </c>
      <c r="B540" s="32">
        <v>110586.565</v>
      </c>
      <c r="C540" s="33">
        <f t="shared" si="35"/>
        <v>2.928744810581918E-4</v>
      </c>
      <c r="D540" s="32">
        <f>MAX($B$2:B540)</f>
        <v>110835.8358</v>
      </c>
      <c r="E540" s="34">
        <f t="shared" si="32"/>
        <v>-2.2490090700429954E-3</v>
      </c>
      <c r="F540" s="35">
        <f t="shared" si="33"/>
        <v>100.56295790309737</v>
      </c>
      <c r="G540" s="36" t="str">
        <f t="shared" si="34"/>
        <v>2024-02</v>
      </c>
    </row>
    <row r="541" spans="1:7" x14ac:dyDescent="0.25">
      <c r="A541" s="37">
        <v>45349</v>
      </c>
      <c r="B541" s="38">
        <v>110806.3651</v>
      </c>
      <c r="C541" s="39">
        <f t="shared" si="35"/>
        <v>1.9875841156653529E-3</v>
      </c>
      <c r="D541" s="38">
        <f>MAX($B$2:B541)</f>
        <v>110835.8358</v>
      </c>
      <c r="E541" s="40">
        <f t="shared" si="32"/>
        <v>-2.6589504908125505E-4</v>
      </c>
      <c r="F541" s="41">
        <f t="shared" si="33"/>
        <v>100.76283524084988</v>
      </c>
      <c r="G541" s="42" t="str">
        <f t="shared" si="34"/>
        <v>2024-02</v>
      </c>
    </row>
    <row r="542" spans="1:7" x14ac:dyDescent="0.25">
      <c r="A542" s="31">
        <v>45350</v>
      </c>
      <c r="B542" s="32">
        <v>110473.9577</v>
      </c>
      <c r="C542" s="33">
        <f t="shared" si="35"/>
        <v>-2.9998944528142335E-3</v>
      </c>
      <c r="D542" s="32">
        <f>MAX($B$2:B542)</f>
        <v>110835.8358</v>
      </c>
      <c r="E542" s="34">
        <f t="shared" si="32"/>
        <v>-3.2649918448127702E-3</v>
      </c>
      <c r="F542" s="35">
        <f t="shared" si="33"/>
        <v>100.46055737036103</v>
      </c>
      <c r="G542" s="36" t="str">
        <f t="shared" si="34"/>
        <v>2024-02</v>
      </c>
    </row>
    <row r="543" spans="1:7" x14ac:dyDescent="0.25">
      <c r="A543" s="37">
        <v>45351</v>
      </c>
      <c r="B543" s="38">
        <v>111207.6122</v>
      </c>
      <c r="C543" s="39">
        <f t="shared" si="35"/>
        <v>6.6409723637519402E-3</v>
      </c>
      <c r="D543" s="38">
        <f>MAX($B$2:B543)</f>
        <v>111207.6122</v>
      </c>
      <c r="E543" s="40">
        <f t="shared" si="32"/>
        <v>0</v>
      </c>
      <c r="F543" s="41">
        <f t="shared" si="33"/>
        <v>101.12771315550471</v>
      </c>
      <c r="G543" s="42" t="str">
        <f t="shared" si="34"/>
        <v>2024-02</v>
      </c>
    </row>
    <row r="544" spans="1:7" x14ac:dyDescent="0.25">
      <c r="A544" s="31">
        <v>45352</v>
      </c>
      <c r="B544" s="32">
        <v>112349.473</v>
      </c>
      <c r="C544" s="33">
        <f t="shared" si="35"/>
        <v>1.0267829489463587E-2</v>
      </c>
      <c r="D544" s="32">
        <f>MAX($B$2:B544)</f>
        <v>112349.473</v>
      </c>
      <c r="E544" s="34">
        <f t="shared" si="32"/>
        <v>0</v>
      </c>
      <c r="F544" s="35">
        <f t="shared" si="33"/>
        <v>102.16607527084483</v>
      </c>
      <c r="G544" s="36" t="str">
        <f t="shared" si="34"/>
        <v>2024-03</v>
      </c>
    </row>
    <row r="545" spans="1:7" x14ac:dyDescent="0.25">
      <c r="A545" s="37">
        <v>45355</v>
      </c>
      <c r="B545" s="38">
        <v>111607.5699</v>
      </c>
      <c r="C545" s="39">
        <f t="shared" si="35"/>
        <v>-6.6035298625743977E-3</v>
      </c>
      <c r="D545" s="38">
        <f>MAX($B$2:B545)</f>
        <v>112349.473</v>
      </c>
      <c r="E545" s="40">
        <f t="shared" si="32"/>
        <v>-6.6035298625743977E-3</v>
      </c>
      <c r="F545" s="41">
        <f t="shared" si="33"/>
        <v>101.49141854185177</v>
      </c>
      <c r="G545" s="42" t="str">
        <f t="shared" si="34"/>
        <v>2024-03</v>
      </c>
    </row>
    <row r="546" spans="1:7" x14ac:dyDescent="0.25">
      <c r="A546" s="31">
        <v>45356</v>
      </c>
      <c r="B546" s="32">
        <v>109625.75260000001</v>
      </c>
      <c r="C546" s="33">
        <f t="shared" si="35"/>
        <v>-1.7757015064262194E-2</v>
      </c>
      <c r="D546" s="32">
        <f>MAX($B$2:B546)</f>
        <v>112349.473</v>
      </c>
      <c r="E546" s="34">
        <f t="shared" si="32"/>
        <v>-2.424328594758951E-2</v>
      </c>
      <c r="F546" s="35">
        <f t="shared" si="33"/>
        <v>99.689233893910782</v>
      </c>
      <c r="G546" s="36" t="str">
        <f t="shared" si="34"/>
        <v>2024-03</v>
      </c>
    </row>
    <row r="547" spans="1:7" x14ac:dyDescent="0.25">
      <c r="A547" s="37">
        <v>45357</v>
      </c>
      <c r="B547" s="38">
        <v>110111.219</v>
      </c>
      <c r="C547" s="39">
        <f t="shared" si="35"/>
        <v>4.4283974201877463E-3</v>
      </c>
      <c r="D547" s="38">
        <f>MAX($B$2:B547)</f>
        <v>112349.473</v>
      </c>
      <c r="E547" s="40">
        <f t="shared" si="32"/>
        <v>-1.9922247432348938E-2</v>
      </c>
      <c r="F547" s="41">
        <f t="shared" si="33"/>
        <v>100.13069744010707</v>
      </c>
      <c r="G547" s="42" t="str">
        <f t="shared" si="34"/>
        <v>2024-03</v>
      </c>
    </row>
    <row r="548" spans="1:7" x14ac:dyDescent="0.25">
      <c r="A548" s="31">
        <v>45358</v>
      </c>
      <c r="B548" s="32">
        <v>111906.8654</v>
      </c>
      <c r="C548" s="33">
        <f t="shared" si="35"/>
        <v>1.6307569894399299E-2</v>
      </c>
      <c r="D548" s="32">
        <f>MAX($B$2:B548)</f>
        <v>112349.473</v>
      </c>
      <c r="E548" s="34">
        <f t="shared" si="32"/>
        <v>-3.9395609804062648E-3</v>
      </c>
      <c r="F548" s="35">
        <f t="shared" si="33"/>
        <v>101.76358578718656</v>
      </c>
      <c r="G548" s="36" t="str">
        <f t="shared" si="34"/>
        <v>2024-03</v>
      </c>
    </row>
    <row r="549" spans="1:7" x14ac:dyDescent="0.25">
      <c r="A549" s="37">
        <v>45359</v>
      </c>
      <c r="B549" s="38">
        <v>111027.5471</v>
      </c>
      <c r="C549" s="39">
        <f t="shared" si="35"/>
        <v>-7.8575902993704982E-3</v>
      </c>
      <c r="D549" s="38">
        <f>MAX($B$2:B549)</f>
        <v>112349.473</v>
      </c>
      <c r="E549" s="40">
        <f t="shared" si="32"/>
        <v>-1.1766195823633252E-2</v>
      </c>
      <c r="F549" s="41">
        <f t="shared" si="33"/>
        <v>100.96396922267601</v>
      </c>
      <c r="G549" s="42" t="str">
        <f t="shared" si="34"/>
        <v>2024-03</v>
      </c>
    </row>
    <row r="550" spans="1:7" x14ac:dyDescent="0.25">
      <c r="A550" s="31">
        <v>45362</v>
      </c>
      <c r="B550" s="32">
        <v>110510.6149</v>
      </c>
      <c r="C550" s="33">
        <f t="shared" si="35"/>
        <v>-4.655891384634514E-3</v>
      </c>
      <c r="D550" s="32">
        <f>MAX($B$2:B550)</f>
        <v>112349.473</v>
      </c>
      <c r="E550" s="34">
        <f t="shared" si="32"/>
        <v>-1.6367305078502703E-2</v>
      </c>
      <c r="F550" s="35">
        <f t="shared" si="33"/>
        <v>100.49389194821363</v>
      </c>
      <c r="G550" s="36" t="str">
        <f t="shared" si="34"/>
        <v>2024-03</v>
      </c>
    </row>
    <row r="551" spans="1:7" x14ac:dyDescent="0.25">
      <c r="A551" s="37">
        <v>45363</v>
      </c>
      <c r="B551" s="38">
        <v>112288.05009999999</v>
      </c>
      <c r="C551" s="39">
        <f t="shared" si="35"/>
        <v>1.6083841372237284E-2</v>
      </c>
      <c r="D551" s="38">
        <f>MAX($B$2:B551)</f>
        <v>112349.473</v>
      </c>
      <c r="E551" s="40">
        <f t="shared" si="32"/>
        <v>-5.4671284483909233E-4</v>
      </c>
      <c r="F551" s="41">
        <f t="shared" si="33"/>
        <v>102.11021976518747</v>
      </c>
      <c r="G551" s="42" t="str">
        <f t="shared" si="34"/>
        <v>2024-03</v>
      </c>
    </row>
    <row r="552" spans="1:7" x14ac:dyDescent="0.25">
      <c r="A552" s="31">
        <v>45364</v>
      </c>
      <c r="B552" s="32">
        <v>111555.51179999999</v>
      </c>
      <c r="C552" s="33">
        <f t="shared" si="35"/>
        <v>-6.5237422802125744E-3</v>
      </c>
      <c r="D552" s="32">
        <f>MAX($B$2:B552)</f>
        <v>112349.473</v>
      </c>
      <c r="E552" s="34">
        <f t="shared" si="32"/>
        <v>-7.0668885113507329E-3</v>
      </c>
      <c r="F552" s="35">
        <f t="shared" si="33"/>
        <v>101.44407900726351</v>
      </c>
      <c r="G552" s="36" t="str">
        <f t="shared" si="34"/>
        <v>2024-03</v>
      </c>
    </row>
    <row r="553" spans="1:7" x14ac:dyDescent="0.25">
      <c r="A553" s="37">
        <v>45365</v>
      </c>
      <c r="B553" s="38">
        <v>111513.5903</v>
      </c>
      <c r="C553" s="39">
        <f t="shared" si="35"/>
        <v>-3.7579048604208243E-4</v>
      </c>
      <c r="D553" s="38">
        <f>MAX($B$2:B553)</f>
        <v>112349.473</v>
      </c>
      <c r="E553" s="40">
        <f t="shared" si="32"/>
        <v>-7.4400233279242611E-3</v>
      </c>
      <c r="F553" s="41">
        <f t="shared" si="33"/>
        <v>101.40595728750728</v>
      </c>
      <c r="G553" s="42" t="str">
        <f t="shared" si="34"/>
        <v>2024-03</v>
      </c>
    </row>
    <row r="554" spans="1:7" x14ac:dyDescent="0.25">
      <c r="A554" s="31">
        <v>45366</v>
      </c>
      <c r="B554" s="32">
        <v>110587.8317</v>
      </c>
      <c r="C554" s="33">
        <f t="shared" si="35"/>
        <v>-8.3017558443726491E-3</v>
      </c>
      <c r="D554" s="32">
        <f>MAX($B$2:B554)</f>
        <v>112349.473</v>
      </c>
      <c r="E554" s="34">
        <f t="shared" si="32"/>
        <v>-1.5680013915152058E-2</v>
      </c>
      <c r="F554" s="35">
        <f t="shared" si="33"/>
        <v>100.56410978894151</v>
      </c>
      <c r="G554" s="36" t="str">
        <f t="shared" si="34"/>
        <v>2024-03</v>
      </c>
    </row>
    <row r="555" spans="1:7" x14ac:dyDescent="0.25">
      <c r="A555" s="37">
        <v>45369</v>
      </c>
      <c r="B555" s="38">
        <v>111739.3624</v>
      </c>
      <c r="C555" s="39">
        <f t="shared" si="35"/>
        <v>1.0412815608175086E-2</v>
      </c>
      <c r="D555" s="38">
        <f>MAX($B$2:B555)</f>
        <v>112349.473</v>
      </c>
      <c r="E555" s="40">
        <f t="shared" si="32"/>
        <v>-5.4304714006090382E-3</v>
      </c>
      <c r="F555" s="41">
        <f t="shared" si="33"/>
        <v>101.61126532097401</v>
      </c>
      <c r="G555" s="42" t="str">
        <f t="shared" si="34"/>
        <v>2024-03</v>
      </c>
    </row>
    <row r="556" spans="1:7" x14ac:dyDescent="0.25">
      <c r="A556" s="31">
        <v>45370</v>
      </c>
      <c r="B556" s="32">
        <v>112109.89109999999</v>
      </c>
      <c r="C556" s="33">
        <f t="shared" si="35"/>
        <v>3.316008719233432E-3</v>
      </c>
      <c r="D556" s="32">
        <f>MAX($B$2:B556)</f>
        <v>112349.473</v>
      </c>
      <c r="E556" s="34">
        <f t="shared" si="32"/>
        <v>-2.1324701718894445E-3</v>
      </c>
      <c r="F556" s="35">
        <f t="shared" si="33"/>
        <v>101.94820916275074</v>
      </c>
      <c r="G556" s="36" t="str">
        <f t="shared" si="34"/>
        <v>2024-03</v>
      </c>
    </row>
    <row r="557" spans="1:7" x14ac:dyDescent="0.25">
      <c r="A557" s="37">
        <v>45371</v>
      </c>
      <c r="B557" s="38">
        <v>113544.49619999999</v>
      </c>
      <c r="C557" s="39">
        <f t="shared" si="35"/>
        <v>1.2796418638212348E-2</v>
      </c>
      <c r="D557" s="38">
        <f>MAX($B$2:B557)</f>
        <v>113544.49619999999</v>
      </c>
      <c r="E557" s="40">
        <f t="shared" si="32"/>
        <v>0</v>
      </c>
      <c r="F557" s="41">
        <f t="shared" si="33"/>
        <v>103.25278112661334</v>
      </c>
      <c r="G557" s="42" t="str">
        <f t="shared" si="34"/>
        <v>2024-03</v>
      </c>
    </row>
    <row r="558" spans="1:7" x14ac:dyDescent="0.25">
      <c r="A558" s="31">
        <v>45372</v>
      </c>
      <c r="B558" s="32">
        <v>114053.19650000001</v>
      </c>
      <c r="C558" s="33">
        <f t="shared" si="35"/>
        <v>4.4801845710247257E-3</v>
      </c>
      <c r="D558" s="32">
        <f>MAX($B$2:B558)</f>
        <v>114053.19650000001</v>
      </c>
      <c r="E558" s="34">
        <f t="shared" si="32"/>
        <v>0</v>
      </c>
      <c r="F558" s="35">
        <f t="shared" si="33"/>
        <v>103.71537264353216</v>
      </c>
      <c r="G558" s="36" t="str">
        <f t="shared" si="34"/>
        <v>2024-03</v>
      </c>
    </row>
    <row r="559" spans="1:7" x14ac:dyDescent="0.25">
      <c r="A559" s="37">
        <v>45373</v>
      </c>
      <c r="B559" s="38">
        <v>114179.9167</v>
      </c>
      <c r="C559" s="39">
        <f t="shared" si="35"/>
        <v>1.1110622401537817E-3</v>
      </c>
      <c r="D559" s="38">
        <f>MAX($B$2:B559)</f>
        <v>114179.9167</v>
      </c>
      <c r="E559" s="40">
        <f t="shared" si="32"/>
        <v>0</v>
      </c>
      <c r="F559" s="41">
        <f t="shared" si="33"/>
        <v>103.83060687779988</v>
      </c>
      <c r="G559" s="42" t="str">
        <f t="shared" si="34"/>
        <v>2024-03</v>
      </c>
    </row>
    <row r="560" spans="1:7" x14ac:dyDescent="0.25">
      <c r="A560" s="31">
        <v>45376</v>
      </c>
      <c r="B560" s="32">
        <v>114161.5491</v>
      </c>
      <c r="C560" s="33">
        <f t="shared" si="35"/>
        <v>-1.6086541776216823E-4</v>
      </c>
      <c r="D560" s="32">
        <f>MAX($B$2:B560)</f>
        <v>114179.9167</v>
      </c>
      <c r="E560" s="34">
        <f t="shared" si="32"/>
        <v>-1.6086541776216823E-4</v>
      </c>
      <c r="F560" s="35">
        <f t="shared" si="33"/>
        <v>103.81390412384799</v>
      </c>
      <c r="G560" s="36" t="str">
        <f t="shared" si="34"/>
        <v>2024-03</v>
      </c>
    </row>
    <row r="561" spans="1:7" x14ac:dyDescent="0.25">
      <c r="A561" s="37">
        <v>45377</v>
      </c>
      <c r="B561" s="38">
        <v>114044.23480000001</v>
      </c>
      <c r="C561" s="39">
        <f t="shared" si="35"/>
        <v>-1.0276165742744148E-3</v>
      </c>
      <c r="D561" s="38">
        <f>MAX($B$2:B561)</f>
        <v>114179.9167</v>
      </c>
      <c r="E561" s="40">
        <f t="shared" si="32"/>
        <v>-1.1883166840670478E-3</v>
      </c>
      <c r="F561" s="41">
        <f t="shared" si="33"/>
        <v>103.70722323533019</v>
      </c>
      <c r="G561" s="42" t="str">
        <f t="shared" si="34"/>
        <v>2024-03</v>
      </c>
    </row>
    <row r="562" spans="1:7" x14ac:dyDescent="0.25">
      <c r="A562" s="31">
        <v>45378</v>
      </c>
      <c r="B562" s="32">
        <v>114670.00350000001</v>
      </c>
      <c r="C562" s="33">
        <f t="shared" si="35"/>
        <v>5.4870700048750276E-3</v>
      </c>
      <c r="D562" s="32">
        <f>MAX($B$2:B562)</f>
        <v>114670.00350000001</v>
      </c>
      <c r="E562" s="34">
        <f t="shared" si="32"/>
        <v>0</v>
      </c>
      <c r="F562" s="35">
        <f t="shared" si="33"/>
        <v>104.27627202923364</v>
      </c>
      <c r="G562" s="36" t="str">
        <f t="shared" si="34"/>
        <v>2024-03</v>
      </c>
    </row>
    <row r="563" spans="1:7" x14ac:dyDescent="0.25">
      <c r="A563" s="37">
        <v>45379</v>
      </c>
      <c r="B563" s="38">
        <v>114291.6571</v>
      </c>
      <c r="C563" s="39">
        <f t="shared" si="35"/>
        <v>-3.2994365435770057E-3</v>
      </c>
      <c r="D563" s="38">
        <f>MAX($B$2:B563)</f>
        <v>114670.00350000001</v>
      </c>
      <c r="E563" s="40">
        <f t="shared" si="32"/>
        <v>-3.2994365435770057E-3</v>
      </c>
      <c r="F563" s="41">
        <f t="shared" si="33"/>
        <v>103.9322190866724</v>
      </c>
      <c r="G563" s="42" t="str">
        <f t="shared" si="34"/>
        <v>2024-03</v>
      </c>
    </row>
    <row r="564" spans="1:7" x14ac:dyDescent="0.25">
      <c r="A564" s="31">
        <v>45383</v>
      </c>
      <c r="B564" s="32">
        <v>114906.6502</v>
      </c>
      <c r="C564" s="33">
        <f t="shared" si="35"/>
        <v>5.3809098197072913E-3</v>
      </c>
      <c r="D564" s="32">
        <f>MAX($B$2:B564)</f>
        <v>114906.6502</v>
      </c>
      <c r="E564" s="34">
        <f t="shared" si="32"/>
        <v>0</v>
      </c>
      <c r="F564" s="35">
        <f t="shared" si="33"/>
        <v>104.49146898493984</v>
      </c>
      <c r="G564" s="36" t="str">
        <f t="shared" si="34"/>
        <v>2024-04</v>
      </c>
    </row>
    <row r="565" spans="1:7" x14ac:dyDescent="0.25">
      <c r="A565" s="37">
        <v>45384</v>
      </c>
      <c r="B565" s="38">
        <v>113770.7053</v>
      </c>
      <c r="C565" s="39">
        <f t="shared" si="35"/>
        <v>-9.8858064178429794E-3</v>
      </c>
      <c r="D565" s="38">
        <f>MAX($B$2:B565)</f>
        <v>114906.6502</v>
      </c>
      <c r="E565" s="40">
        <f t="shared" si="32"/>
        <v>-9.8858064178429794E-3</v>
      </c>
      <c r="F565" s="41">
        <f t="shared" si="33"/>
        <v>103.45848655023869</v>
      </c>
      <c r="G565" s="42" t="str">
        <f t="shared" si="34"/>
        <v>2024-04</v>
      </c>
    </row>
    <row r="566" spans="1:7" x14ac:dyDescent="0.25">
      <c r="A566" s="31">
        <v>45385</v>
      </c>
      <c r="B566" s="32">
        <v>114258.7644</v>
      </c>
      <c r="C566" s="33">
        <f t="shared" si="35"/>
        <v>4.2898485925093599E-3</v>
      </c>
      <c r="D566" s="32">
        <f>MAX($B$2:B566)</f>
        <v>114906.6502</v>
      </c>
      <c r="E566" s="34">
        <f t="shared" si="32"/>
        <v>-5.6383664380811327E-3</v>
      </c>
      <c r="F566" s="35">
        <f t="shared" si="33"/>
        <v>103.90230779314938</v>
      </c>
      <c r="G566" s="36" t="str">
        <f t="shared" si="34"/>
        <v>2024-04</v>
      </c>
    </row>
    <row r="567" spans="1:7" x14ac:dyDescent="0.25">
      <c r="A567" s="37">
        <v>45386</v>
      </c>
      <c r="B567" s="38">
        <v>112895.06329999999</v>
      </c>
      <c r="C567" s="39">
        <f t="shared" si="35"/>
        <v>-1.1935199082198422E-2</v>
      </c>
      <c r="D567" s="38">
        <f>MAX($B$2:B567)</f>
        <v>114906.6502</v>
      </c>
      <c r="E567" s="40">
        <f t="shared" si="32"/>
        <v>-1.7506270494342613E-2</v>
      </c>
      <c r="F567" s="41">
        <f t="shared" si="33"/>
        <v>102.66221306453829</v>
      </c>
      <c r="G567" s="42" t="str">
        <f t="shared" si="34"/>
        <v>2024-04</v>
      </c>
    </row>
    <row r="568" spans="1:7" x14ac:dyDescent="0.25">
      <c r="A568" s="31">
        <v>45387</v>
      </c>
      <c r="B568" s="32">
        <v>113875.03810000001</v>
      </c>
      <c r="C568" s="33">
        <f t="shared" si="35"/>
        <v>8.6804043627302097E-3</v>
      </c>
      <c r="D568" s="32">
        <f>MAX($B$2:B568)</f>
        <v>114906.6502</v>
      </c>
      <c r="E568" s="34">
        <f t="shared" si="32"/>
        <v>-8.9778276383867262E-3</v>
      </c>
      <c r="F568" s="35">
        <f t="shared" si="33"/>
        <v>103.55336258671122</v>
      </c>
      <c r="G568" s="36" t="str">
        <f t="shared" si="34"/>
        <v>2024-04</v>
      </c>
    </row>
    <row r="569" spans="1:7" x14ac:dyDescent="0.25">
      <c r="A569" s="37">
        <v>45390</v>
      </c>
      <c r="B569" s="38">
        <v>114268.8493</v>
      </c>
      <c r="C569" s="39">
        <f t="shared" si="35"/>
        <v>3.4582750229612547E-3</v>
      </c>
      <c r="D569" s="38">
        <f>MAX($B$2:B569)</f>
        <v>114906.6502</v>
      </c>
      <c r="E569" s="40">
        <f t="shared" si="32"/>
        <v>-5.5506004125077668E-3</v>
      </c>
      <c r="F569" s="41">
        <f t="shared" si="33"/>
        <v>103.91147859408851</v>
      </c>
      <c r="G569" s="42" t="str">
        <f t="shared" si="34"/>
        <v>2024-04</v>
      </c>
    </row>
    <row r="570" spans="1:7" x14ac:dyDescent="0.25">
      <c r="A570" s="31">
        <v>45391</v>
      </c>
      <c r="B570" s="32">
        <v>114733.9944</v>
      </c>
      <c r="C570" s="33">
        <f t="shared" si="35"/>
        <v>4.0706203208435987E-3</v>
      </c>
      <c r="D570" s="32">
        <f>MAX($B$2:B570)</f>
        <v>114906.6502</v>
      </c>
      <c r="E570" s="34">
        <f t="shared" si="32"/>
        <v>-1.5025744784962214E-3</v>
      </c>
      <c r="F570" s="35">
        <f t="shared" si="33"/>
        <v>104.3344627704225</v>
      </c>
      <c r="G570" s="36" t="str">
        <f t="shared" si="34"/>
        <v>2024-04</v>
      </c>
    </row>
    <row r="571" spans="1:7" x14ac:dyDescent="0.25">
      <c r="A571" s="37">
        <v>45392</v>
      </c>
      <c r="B571" s="38">
        <v>113872.76730000001</v>
      </c>
      <c r="C571" s="39">
        <f t="shared" si="35"/>
        <v>-7.5062940543799694E-3</v>
      </c>
      <c r="D571" s="38">
        <f>MAX($B$2:B571)</f>
        <v>114906.6502</v>
      </c>
      <c r="E571" s="40">
        <f t="shared" si="32"/>
        <v>-8.9975897670019345E-3</v>
      </c>
      <c r="F571" s="41">
        <f t="shared" si="33"/>
        <v>103.55129761286194</v>
      </c>
      <c r="G571" s="42" t="str">
        <f t="shared" si="34"/>
        <v>2024-04</v>
      </c>
    </row>
    <row r="572" spans="1:7" x14ac:dyDescent="0.25">
      <c r="A572" s="31">
        <v>45393</v>
      </c>
      <c r="B572" s="32">
        <v>115694.308</v>
      </c>
      <c r="C572" s="33">
        <f t="shared" si="35"/>
        <v>1.5996280262524198E-2</v>
      </c>
      <c r="D572" s="32">
        <f>MAX($B$2:B572)</f>
        <v>115694.308</v>
      </c>
      <c r="E572" s="34">
        <f t="shared" si="32"/>
        <v>0</v>
      </c>
      <c r="F572" s="35">
        <f t="shared" si="33"/>
        <v>105.20773319102534</v>
      </c>
      <c r="G572" s="36" t="str">
        <f t="shared" si="34"/>
        <v>2024-04</v>
      </c>
    </row>
    <row r="573" spans="1:7" x14ac:dyDescent="0.25">
      <c r="A573" s="37">
        <v>45394</v>
      </c>
      <c r="B573" s="38">
        <v>113893.0625</v>
      </c>
      <c r="C573" s="39">
        <f t="shared" si="35"/>
        <v>-1.556900707682185E-2</v>
      </c>
      <c r="D573" s="38">
        <f>MAX($B$2:B573)</f>
        <v>115694.308</v>
      </c>
      <c r="E573" s="40">
        <f t="shared" si="32"/>
        <v>-1.556900707682185E-2</v>
      </c>
      <c r="F573" s="41">
        <f t="shared" si="33"/>
        <v>103.56975324843789</v>
      </c>
      <c r="G573" s="42" t="str">
        <f t="shared" si="34"/>
        <v>2024-04</v>
      </c>
    </row>
    <row r="574" spans="1:7" x14ac:dyDescent="0.25">
      <c r="A574" s="31">
        <v>45397</v>
      </c>
      <c r="B574" s="32">
        <v>111766.003</v>
      </c>
      <c r="C574" s="33">
        <f t="shared" si="35"/>
        <v>-1.8675935595287019E-2</v>
      </c>
      <c r="D574" s="32">
        <f>MAX($B$2:B574)</f>
        <v>115694.308</v>
      </c>
      <c r="E574" s="34">
        <f t="shared" si="32"/>
        <v>-3.3954176898659538E-2</v>
      </c>
      <c r="F574" s="35">
        <f t="shared" si="33"/>
        <v>101.63549120715028</v>
      </c>
      <c r="G574" s="36" t="str">
        <f t="shared" si="34"/>
        <v>2024-04</v>
      </c>
    </row>
    <row r="575" spans="1:7" x14ac:dyDescent="0.25">
      <c r="A575" s="37">
        <v>45398</v>
      </c>
      <c r="B575" s="38">
        <v>111373.0254</v>
      </c>
      <c r="C575" s="39">
        <f t="shared" si="35"/>
        <v>-3.5160745615998579E-3</v>
      </c>
      <c r="D575" s="38">
        <f>MAX($B$2:B575)</f>
        <v>115694.308</v>
      </c>
      <c r="E575" s="40">
        <f t="shared" si="32"/>
        <v>-3.7350866042606068E-2</v>
      </c>
      <c r="F575" s="41">
        <f t="shared" si="33"/>
        <v>101.27813324196111</v>
      </c>
      <c r="G575" s="42" t="str">
        <f t="shared" si="34"/>
        <v>2024-04</v>
      </c>
    </row>
    <row r="576" spans="1:7" x14ac:dyDescent="0.25">
      <c r="A576" s="31">
        <v>45399</v>
      </c>
      <c r="B576" s="32">
        <v>110350.0289</v>
      </c>
      <c r="C576" s="33">
        <f t="shared" si="35"/>
        <v>-9.1853166089891358E-3</v>
      </c>
      <c r="D576" s="32">
        <f>MAX($B$2:B576)</f>
        <v>115694.308</v>
      </c>
      <c r="E576" s="34">
        <f t="shared" si="32"/>
        <v>-4.6193103121373924E-2</v>
      </c>
      <c r="F576" s="35">
        <f t="shared" si="33"/>
        <v>100.34786152256632</v>
      </c>
      <c r="G576" s="36" t="str">
        <f t="shared" si="34"/>
        <v>2024-04</v>
      </c>
    </row>
    <row r="577" spans="1:7" x14ac:dyDescent="0.25">
      <c r="A577" s="37">
        <v>45400</v>
      </c>
      <c r="B577" s="38">
        <v>109099.29760000001</v>
      </c>
      <c r="C577" s="39">
        <f t="shared" si="35"/>
        <v>-1.1334218146271779E-2</v>
      </c>
      <c r="D577" s="38">
        <f>MAX($B$2:B577)</f>
        <v>115694.308</v>
      </c>
      <c r="E577" s="40">
        <f t="shared" si="32"/>
        <v>-5.7003758560014939E-2</v>
      </c>
      <c r="F577" s="41">
        <f t="shared" si="33"/>
        <v>99.210496969557667</v>
      </c>
      <c r="G577" s="42" t="str">
        <f t="shared" si="34"/>
        <v>2024-04</v>
      </c>
    </row>
    <row r="578" spans="1:7" x14ac:dyDescent="0.25">
      <c r="A578" s="31">
        <v>45401</v>
      </c>
      <c r="B578" s="32">
        <v>107109.15609999999</v>
      </c>
      <c r="C578" s="33">
        <f t="shared" si="35"/>
        <v>-1.8241561071242085E-2</v>
      </c>
      <c r="D578" s="32">
        <f>MAX($B$2:B578)</f>
        <v>115694.308</v>
      </c>
      <c r="E578" s="34">
        <f t="shared" ref="E578:E641" si="36">B578/D578-1</f>
        <v>-7.4205482088194108E-2</v>
      </c>
      <c r="F578" s="35">
        <f t="shared" ref="F578:F641" si="37">B578/$B$2*100</f>
        <v>97.400742630179209</v>
      </c>
      <c r="G578" s="36" t="str">
        <f t="shared" ref="G578:G641" si="38">TEXT(A578,"YYYY-MM")</f>
        <v>2024-04</v>
      </c>
    </row>
    <row r="579" spans="1:7" x14ac:dyDescent="0.25">
      <c r="A579" s="37">
        <v>45404</v>
      </c>
      <c r="B579" s="38">
        <v>108017.7178</v>
      </c>
      <c r="C579" s="39">
        <f t="shared" ref="C579:C642" si="39">B579/B578-1</f>
        <v>8.4825773358885304E-3</v>
      </c>
      <c r="D579" s="38">
        <f>MAX($B$2:B579)</f>
        <v>115694.308</v>
      </c>
      <c r="E579" s="40">
        <f t="shared" si="36"/>
        <v>-6.6352358492865582E-2</v>
      </c>
      <c r="F579" s="41">
        <f t="shared" si="37"/>
        <v>98.226951962112679</v>
      </c>
      <c r="G579" s="42" t="str">
        <f t="shared" si="38"/>
        <v>2024-04</v>
      </c>
    </row>
    <row r="580" spans="1:7" x14ac:dyDescent="0.25">
      <c r="A580" s="31">
        <v>45405</v>
      </c>
      <c r="B580" s="32">
        <v>109683.06570000001</v>
      </c>
      <c r="C580" s="33">
        <f t="shared" si="39"/>
        <v>1.5417358688168958E-2</v>
      </c>
      <c r="D580" s="32">
        <f>MAX($B$2:B580)</f>
        <v>115694.308</v>
      </c>
      <c r="E580" s="34">
        <f t="shared" si="36"/>
        <v>-5.1957977915387143E-2</v>
      </c>
      <c r="F580" s="35">
        <f t="shared" si="37"/>
        <v>99.741352113358104</v>
      </c>
      <c r="G580" s="36" t="str">
        <f t="shared" si="38"/>
        <v>2024-04</v>
      </c>
    </row>
    <row r="581" spans="1:7" x14ac:dyDescent="0.25">
      <c r="A581" s="37">
        <v>45406</v>
      </c>
      <c r="B581" s="38">
        <v>110357.67600000001</v>
      </c>
      <c r="C581" s="39">
        <f t="shared" si="39"/>
        <v>6.1505419792438065E-3</v>
      </c>
      <c r="D581" s="38">
        <f>MAX($B$2:B581)</f>
        <v>115694.308</v>
      </c>
      <c r="E581" s="40">
        <f t="shared" si="36"/>
        <v>-4.6127005660468567E-2</v>
      </c>
      <c r="F581" s="41">
        <f t="shared" si="37"/>
        <v>100.35481548659784</v>
      </c>
      <c r="G581" s="42" t="str">
        <f t="shared" si="38"/>
        <v>2024-04</v>
      </c>
    </row>
    <row r="582" spans="1:7" x14ac:dyDescent="0.25">
      <c r="A582" s="31">
        <v>45407</v>
      </c>
      <c r="B582" s="32">
        <v>110311.8887</v>
      </c>
      <c r="C582" s="33">
        <f t="shared" si="39"/>
        <v>-4.1489909591796437E-4</v>
      </c>
      <c r="D582" s="32">
        <f>MAX($B$2:B582)</f>
        <v>115694.308</v>
      </c>
      <c r="E582" s="34">
        <f t="shared" si="36"/>
        <v>-4.6522766703440688E-2</v>
      </c>
      <c r="F582" s="35">
        <f t="shared" si="37"/>
        <v>100.31317836438143</v>
      </c>
      <c r="G582" s="36" t="str">
        <f t="shared" si="38"/>
        <v>2024-04</v>
      </c>
    </row>
    <row r="583" spans="1:7" x14ac:dyDescent="0.25">
      <c r="A583" s="37">
        <v>45408</v>
      </c>
      <c r="B583" s="38">
        <v>112211.2283</v>
      </c>
      <c r="C583" s="39">
        <f t="shared" si="39"/>
        <v>1.7217904818630947E-2</v>
      </c>
      <c r="D583" s="38">
        <f>MAX($B$2:B583)</f>
        <v>115694.308</v>
      </c>
      <c r="E583" s="40">
        <f t="shared" si="36"/>
        <v>-3.0105886453808961E-2</v>
      </c>
      <c r="F583" s="41">
        <f t="shared" si="37"/>
        <v>102.04036112151371</v>
      </c>
      <c r="G583" s="42" t="str">
        <f t="shared" si="38"/>
        <v>2024-04</v>
      </c>
    </row>
    <row r="584" spans="1:7" x14ac:dyDescent="0.25">
      <c r="A584" s="31">
        <v>45411</v>
      </c>
      <c r="B584" s="32">
        <v>113423.7047</v>
      </c>
      <c r="C584" s="33">
        <f t="shared" si="39"/>
        <v>1.0805303697045465E-2</v>
      </c>
      <c r="D584" s="32">
        <f>MAX($B$2:B584)</f>
        <v>115694.308</v>
      </c>
      <c r="E584" s="34">
        <f t="shared" si="36"/>
        <v>-1.9625886002965665E-2</v>
      </c>
      <c r="F584" s="35">
        <f t="shared" si="37"/>
        <v>103.14293821278784</v>
      </c>
      <c r="G584" s="36" t="str">
        <f t="shared" si="38"/>
        <v>2024-04</v>
      </c>
    </row>
    <row r="585" spans="1:7" x14ac:dyDescent="0.25">
      <c r="A585" s="37">
        <v>45412</v>
      </c>
      <c r="B585" s="38">
        <v>110907.1189</v>
      </c>
      <c r="C585" s="39">
        <f t="shared" si="39"/>
        <v>-2.218747665363463E-2</v>
      </c>
      <c r="D585" s="38">
        <f>MAX($B$2:B585)</f>
        <v>115694.308</v>
      </c>
      <c r="E585" s="40">
        <f t="shared" si="36"/>
        <v>-4.1377913769102603E-2</v>
      </c>
      <c r="F585" s="41">
        <f t="shared" si="37"/>
        <v>100.85445667920435</v>
      </c>
      <c r="G585" s="42" t="str">
        <f t="shared" si="38"/>
        <v>2024-04</v>
      </c>
    </row>
    <row r="586" spans="1:7" x14ac:dyDescent="0.25">
      <c r="A586" s="31">
        <v>45413</v>
      </c>
      <c r="B586" s="32">
        <v>110504.4293</v>
      </c>
      <c r="C586" s="33">
        <f t="shared" si="39"/>
        <v>-3.6308724272522408E-3</v>
      </c>
      <c r="D586" s="32">
        <f>MAX($B$2:B586)</f>
        <v>115694.308</v>
      </c>
      <c r="E586" s="34">
        <f t="shared" si="36"/>
        <v>-4.4858548270153453E-2</v>
      </c>
      <c r="F586" s="35">
        <f t="shared" si="37"/>
        <v>100.48826701328231</v>
      </c>
      <c r="G586" s="36" t="str">
        <f t="shared" si="38"/>
        <v>2024-05</v>
      </c>
    </row>
    <row r="587" spans="1:7" x14ac:dyDescent="0.25">
      <c r="A587" s="37">
        <v>45414</v>
      </c>
      <c r="B587" s="38">
        <v>111952.73940000001</v>
      </c>
      <c r="C587" s="39">
        <f t="shared" si="39"/>
        <v>1.3106353375827995E-2</v>
      </c>
      <c r="D587" s="38">
        <f>MAX($B$2:B587)</f>
        <v>115694.308</v>
      </c>
      <c r="E587" s="40">
        <f t="shared" si="36"/>
        <v>-3.2340126879880748E-2</v>
      </c>
      <c r="F587" s="41">
        <f t="shared" si="37"/>
        <v>101.80530175088293</v>
      </c>
      <c r="G587" s="42" t="str">
        <f t="shared" si="38"/>
        <v>2024-05</v>
      </c>
    </row>
    <row r="588" spans="1:7" x14ac:dyDescent="0.25">
      <c r="A588" s="31">
        <v>45415</v>
      </c>
      <c r="B588" s="32">
        <v>114197.74400000001</v>
      </c>
      <c r="C588" s="33">
        <f t="shared" si="39"/>
        <v>2.0053145747320533E-2</v>
      </c>
      <c r="D588" s="32">
        <f>MAX($B$2:B588)</f>
        <v>115694.308</v>
      </c>
      <c r="E588" s="34">
        <f t="shared" si="36"/>
        <v>-1.2935502410369226E-2</v>
      </c>
      <c r="F588" s="35">
        <f t="shared" si="37"/>
        <v>103.84681830474337</v>
      </c>
      <c r="G588" s="36" t="str">
        <f t="shared" si="38"/>
        <v>2024-05</v>
      </c>
    </row>
    <row r="589" spans="1:7" x14ac:dyDescent="0.25">
      <c r="A589" s="37">
        <v>45418</v>
      </c>
      <c r="B589" s="38">
        <v>115585.538</v>
      </c>
      <c r="C589" s="39">
        <f t="shared" si="39"/>
        <v>1.2152551805226564E-2</v>
      </c>
      <c r="D589" s="38">
        <f>MAX($B$2:B589)</f>
        <v>115694.308</v>
      </c>
      <c r="E589" s="40">
        <f t="shared" si="36"/>
        <v>-9.4014996831137676E-4</v>
      </c>
      <c r="F589" s="41">
        <f t="shared" si="37"/>
        <v>105.10882214399967</v>
      </c>
      <c r="G589" s="42" t="str">
        <f t="shared" si="38"/>
        <v>2024-05</v>
      </c>
    </row>
    <row r="590" spans="1:7" x14ac:dyDescent="0.25">
      <c r="A590" s="31">
        <v>45419</v>
      </c>
      <c r="B590" s="32">
        <v>115124.406</v>
      </c>
      <c r="C590" s="33">
        <f t="shared" si="39"/>
        <v>-3.9895302472875427E-3</v>
      </c>
      <c r="D590" s="32">
        <f>MAX($B$2:B590)</f>
        <v>115694.308</v>
      </c>
      <c r="E590" s="34">
        <f t="shared" si="36"/>
        <v>-4.9259294588632763E-3</v>
      </c>
      <c r="F590" s="35">
        <f t="shared" si="37"/>
        <v>104.68948731879944</v>
      </c>
      <c r="G590" s="36" t="str">
        <f t="shared" si="38"/>
        <v>2024-05</v>
      </c>
    </row>
    <row r="591" spans="1:7" x14ac:dyDescent="0.25">
      <c r="A591" s="37">
        <v>45420</v>
      </c>
      <c r="B591" s="38">
        <v>115089.10769999999</v>
      </c>
      <c r="C591" s="39">
        <f t="shared" si="39"/>
        <v>-3.0661005104348771E-4</v>
      </c>
      <c r="D591" s="38">
        <f>MAX($B$2:B591)</f>
        <v>115694.308</v>
      </c>
      <c r="E591" s="40">
        <f t="shared" si="36"/>
        <v>-5.2310291704239509E-3</v>
      </c>
      <c r="F591" s="41">
        <f t="shared" si="37"/>
        <v>104.65738846974889</v>
      </c>
      <c r="G591" s="42" t="str">
        <f t="shared" si="38"/>
        <v>2024-05</v>
      </c>
    </row>
    <row r="592" spans="1:7" x14ac:dyDescent="0.25">
      <c r="A592" s="31">
        <v>45421</v>
      </c>
      <c r="B592" s="32">
        <v>115268.9423</v>
      </c>
      <c r="C592" s="33">
        <f t="shared" si="39"/>
        <v>1.5625683750088992E-3</v>
      </c>
      <c r="D592" s="32">
        <f>MAX($B$2:B592)</f>
        <v>115694.308</v>
      </c>
      <c r="E592" s="34">
        <f t="shared" si="36"/>
        <v>-3.6766346361656321E-3</v>
      </c>
      <c r="F592" s="35">
        <f t="shared" si="37"/>
        <v>104.82092279518275</v>
      </c>
      <c r="G592" s="36" t="str">
        <f t="shared" si="38"/>
        <v>2024-05</v>
      </c>
    </row>
    <row r="593" spans="1:7" x14ac:dyDescent="0.25">
      <c r="A593" s="37">
        <v>45422</v>
      </c>
      <c r="B593" s="38">
        <v>115543.1528</v>
      </c>
      <c r="C593" s="39">
        <f t="shared" si="39"/>
        <v>2.3788758231713114E-3</v>
      </c>
      <c r="D593" s="38">
        <f>MAX($B$2:B593)</f>
        <v>115694.308</v>
      </c>
      <c r="E593" s="40">
        <f t="shared" si="36"/>
        <v>-1.306505070240882E-3</v>
      </c>
      <c r="F593" s="41">
        <f t="shared" si="37"/>
        <v>105.07027875418271</v>
      </c>
      <c r="G593" s="42" t="str">
        <f t="shared" si="38"/>
        <v>2024-05</v>
      </c>
    </row>
    <row r="594" spans="1:7" x14ac:dyDescent="0.25">
      <c r="A594" s="31">
        <v>45425</v>
      </c>
      <c r="B594" s="32">
        <v>115841.9825</v>
      </c>
      <c r="C594" s="33">
        <f t="shared" si="39"/>
        <v>2.5863038419702278E-3</v>
      </c>
      <c r="D594" s="32">
        <f>MAX($B$2:B594)</f>
        <v>115841.9825</v>
      </c>
      <c r="E594" s="34">
        <f t="shared" si="36"/>
        <v>0</v>
      </c>
      <c r="F594" s="35">
        <f t="shared" si="37"/>
        <v>105.34202241980155</v>
      </c>
      <c r="G594" s="36" t="str">
        <f t="shared" si="38"/>
        <v>2024-05</v>
      </c>
    </row>
    <row r="595" spans="1:7" x14ac:dyDescent="0.25">
      <c r="A595" s="37">
        <v>45426</v>
      </c>
      <c r="B595" s="38">
        <v>117072.2846</v>
      </c>
      <c r="C595" s="39">
        <f t="shared" si="39"/>
        <v>1.0620520069224426E-2</v>
      </c>
      <c r="D595" s="38">
        <f>MAX($B$2:B595)</f>
        <v>117072.2846</v>
      </c>
      <c r="E595" s="40">
        <f t="shared" si="36"/>
        <v>0</v>
      </c>
      <c r="F595" s="41">
        <f t="shared" si="37"/>
        <v>106.46080948304375</v>
      </c>
      <c r="G595" s="42" t="str">
        <f t="shared" si="38"/>
        <v>2024-05</v>
      </c>
    </row>
    <row r="596" spans="1:7" x14ac:dyDescent="0.25">
      <c r="A596" s="31">
        <v>45427</v>
      </c>
      <c r="B596" s="32">
        <v>118525.0814</v>
      </c>
      <c r="C596" s="33">
        <f t="shared" si="39"/>
        <v>1.2409399927264975E-2</v>
      </c>
      <c r="D596" s="32">
        <f>MAX($B$2:B596)</f>
        <v>118525.0814</v>
      </c>
      <c r="E596" s="34">
        <f t="shared" si="36"/>
        <v>0</v>
      </c>
      <c r="F596" s="35">
        <f t="shared" si="37"/>
        <v>107.78192424449922</v>
      </c>
      <c r="G596" s="36" t="str">
        <f t="shared" si="38"/>
        <v>2024-05</v>
      </c>
    </row>
    <row r="597" spans="1:7" x14ac:dyDescent="0.25">
      <c r="A597" s="37">
        <v>45428</v>
      </c>
      <c r="B597" s="38">
        <v>118130.1326</v>
      </c>
      <c r="C597" s="39">
        <f t="shared" si="39"/>
        <v>-3.3321959819383462E-3</v>
      </c>
      <c r="D597" s="38">
        <f>MAX($B$2:B597)</f>
        <v>118525.0814</v>
      </c>
      <c r="E597" s="40">
        <f t="shared" si="36"/>
        <v>-3.3321959819383462E-3</v>
      </c>
      <c r="F597" s="41">
        <f t="shared" si="37"/>
        <v>107.42277374960611</v>
      </c>
      <c r="G597" s="42" t="str">
        <f t="shared" si="38"/>
        <v>2024-05</v>
      </c>
    </row>
    <row r="598" spans="1:7" x14ac:dyDescent="0.25">
      <c r="A598" s="31">
        <v>45429</v>
      </c>
      <c r="B598" s="32">
        <v>118339.1246</v>
      </c>
      <c r="C598" s="33">
        <f t="shared" si="39"/>
        <v>1.769167573083763E-3</v>
      </c>
      <c r="D598" s="32">
        <f>MAX($B$2:B598)</f>
        <v>118525.0814</v>
      </c>
      <c r="E598" s="34">
        <f t="shared" si="36"/>
        <v>-1.5689236219330605E-3</v>
      </c>
      <c r="F598" s="35">
        <f t="shared" si="37"/>
        <v>107.61282263753462</v>
      </c>
      <c r="G598" s="36" t="str">
        <f t="shared" si="38"/>
        <v>2024-05</v>
      </c>
    </row>
    <row r="599" spans="1:7" x14ac:dyDescent="0.25">
      <c r="A599" s="37">
        <v>45432</v>
      </c>
      <c r="B599" s="38">
        <v>118974.4062</v>
      </c>
      <c r="C599" s="39">
        <f t="shared" si="39"/>
        <v>5.3683141746005969E-3</v>
      </c>
      <c r="D599" s="38">
        <f>MAX($B$2:B599)</f>
        <v>118974.4062</v>
      </c>
      <c r="E599" s="40">
        <f t="shared" si="36"/>
        <v>0</v>
      </c>
      <c r="F599" s="41">
        <f t="shared" si="37"/>
        <v>108.19052207866847</v>
      </c>
      <c r="G599" s="42" t="str">
        <f t="shared" si="38"/>
        <v>2024-05</v>
      </c>
    </row>
    <row r="600" spans="1:7" x14ac:dyDescent="0.25">
      <c r="A600" s="31">
        <v>45433</v>
      </c>
      <c r="B600" s="32">
        <v>119856.12089999999</v>
      </c>
      <c r="C600" s="33">
        <f t="shared" si="39"/>
        <v>7.4109611315715807E-3</v>
      </c>
      <c r="D600" s="32">
        <f>MAX($B$2:B600)</f>
        <v>119856.12089999999</v>
      </c>
      <c r="E600" s="34">
        <f t="shared" si="36"/>
        <v>0</v>
      </c>
      <c r="F600" s="35">
        <f t="shared" si="37"/>
        <v>108.99231783259791</v>
      </c>
      <c r="G600" s="36" t="str">
        <f t="shared" si="38"/>
        <v>2024-05</v>
      </c>
    </row>
    <row r="601" spans="1:7" x14ac:dyDescent="0.25">
      <c r="A601" s="37">
        <v>45434</v>
      </c>
      <c r="B601" s="38">
        <v>119293.8557</v>
      </c>
      <c r="C601" s="39">
        <f t="shared" si="39"/>
        <v>-4.6911680085918173E-3</v>
      </c>
      <c r="D601" s="38">
        <f>MAX($B$2:B601)</f>
        <v>119856.12089999999</v>
      </c>
      <c r="E601" s="40">
        <f t="shared" si="36"/>
        <v>-4.6911680085918173E-3</v>
      </c>
      <c r="F601" s="41">
        <f t="shared" si="37"/>
        <v>108.48101655799935</v>
      </c>
      <c r="G601" s="42" t="str">
        <f t="shared" si="38"/>
        <v>2024-05</v>
      </c>
    </row>
    <row r="602" spans="1:7" x14ac:dyDescent="0.25">
      <c r="A602" s="31">
        <v>45435</v>
      </c>
      <c r="B602" s="32">
        <v>118549.98699999999</v>
      </c>
      <c r="C602" s="33">
        <f t="shared" si="39"/>
        <v>-6.235599441690276E-3</v>
      </c>
      <c r="D602" s="32">
        <f>MAX($B$2:B602)</f>
        <v>119856.12089999999</v>
      </c>
      <c r="E602" s="34">
        <f t="shared" si="36"/>
        <v>-1.0897515205666952E-2</v>
      </c>
      <c r="F602" s="35">
        <f t="shared" si="37"/>
        <v>107.80457239171631</v>
      </c>
      <c r="G602" s="36" t="str">
        <f t="shared" si="38"/>
        <v>2024-05</v>
      </c>
    </row>
    <row r="603" spans="1:7" x14ac:dyDescent="0.25">
      <c r="A603" s="37">
        <v>45436</v>
      </c>
      <c r="B603" s="38">
        <v>120004.4584</v>
      </c>
      <c r="C603" s="39">
        <f t="shared" si="39"/>
        <v>1.2268844871319962E-2</v>
      </c>
      <c r="D603" s="38">
        <f>MAX($B$2:B603)</f>
        <v>120004.4584</v>
      </c>
      <c r="E603" s="40">
        <f t="shared" si="36"/>
        <v>0</v>
      </c>
      <c r="F603" s="41">
        <f t="shared" si="37"/>
        <v>109.12720996680925</v>
      </c>
      <c r="G603" s="42" t="str">
        <f t="shared" si="38"/>
        <v>2024-05</v>
      </c>
    </row>
    <row r="604" spans="1:7" x14ac:dyDescent="0.25">
      <c r="A604" s="31">
        <v>45440</v>
      </c>
      <c r="B604" s="32">
        <v>120488.7867</v>
      </c>
      <c r="C604" s="33">
        <f t="shared" si="39"/>
        <v>4.035919218814632E-3</v>
      </c>
      <c r="D604" s="32">
        <f>MAX($B$2:B604)</f>
        <v>120488.7867</v>
      </c>
      <c r="E604" s="34">
        <f t="shared" si="36"/>
        <v>0</v>
      </c>
      <c r="F604" s="35">
        <f t="shared" si="37"/>
        <v>109.5676385708099</v>
      </c>
      <c r="G604" s="36" t="str">
        <f t="shared" si="38"/>
        <v>2024-05</v>
      </c>
    </row>
    <row r="605" spans="1:7" x14ac:dyDescent="0.25">
      <c r="A605" s="37">
        <v>45441</v>
      </c>
      <c r="B605" s="38">
        <v>119834.66160000001</v>
      </c>
      <c r="C605" s="39">
        <f t="shared" si="39"/>
        <v>-5.4289292631742869E-3</v>
      </c>
      <c r="D605" s="38">
        <f>MAX($B$2:B605)</f>
        <v>120488.7867</v>
      </c>
      <c r="E605" s="40">
        <f t="shared" si="36"/>
        <v>-5.4289292631742869E-3</v>
      </c>
      <c r="F605" s="41">
        <f t="shared" si="37"/>
        <v>108.97280361147594</v>
      </c>
      <c r="G605" s="42" t="str">
        <f t="shared" si="38"/>
        <v>2024-05</v>
      </c>
    </row>
    <row r="606" spans="1:7" x14ac:dyDescent="0.25">
      <c r="A606" s="31">
        <v>45442</v>
      </c>
      <c r="B606" s="32">
        <v>118448.4319</v>
      </c>
      <c r="C606" s="33">
        <f t="shared" si="39"/>
        <v>-1.1567852585315896E-2</v>
      </c>
      <c r="D606" s="32">
        <f>MAX($B$2:B606)</f>
        <v>120488.7867</v>
      </c>
      <c r="E606" s="34">
        <f t="shared" si="36"/>
        <v>-1.6933980795077574E-2</v>
      </c>
      <c r="F606" s="35">
        <f t="shared" si="37"/>
        <v>107.71222228348982</v>
      </c>
      <c r="G606" s="36" t="str">
        <f t="shared" si="38"/>
        <v>2024-05</v>
      </c>
    </row>
    <row r="607" spans="1:7" x14ac:dyDescent="0.25">
      <c r="A607" s="37">
        <v>45443</v>
      </c>
      <c r="B607" s="38">
        <v>118609.9942</v>
      </c>
      <c r="C607" s="39">
        <f t="shared" si="39"/>
        <v>1.3639885088254644E-3</v>
      </c>
      <c r="D607" s="38">
        <f>MAX($B$2:B607)</f>
        <v>120488.7867</v>
      </c>
      <c r="E607" s="40">
        <f t="shared" si="36"/>
        <v>-1.5593090041465252E-2</v>
      </c>
      <c r="F607" s="41">
        <f t="shared" si="37"/>
        <v>107.85914051694456</v>
      </c>
      <c r="G607" s="42" t="str">
        <f t="shared" si="38"/>
        <v>2024-05</v>
      </c>
    </row>
    <row r="608" spans="1:7" x14ac:dyDescent="0.25">
      <c r="A608" s="31">
        <v>45446</v>
      </c>
      <c r="B608" s="32">
        <v>119327.23269999999</v>
      </c>
      <c r="C608" s="33">
        <f t="shared" si="39"/>
        <v>6.0470325863990482E-3</v>
      </c>
      <c r="D608" s="32">
        <f>MAX($B$2:B608)</f>
        <v>120488.7867</v>
      </c>
      <c r="E608" s="34">
        <f t="shared" si="36"/>
        <v>-9.6403493786696437E-3</v>
      </c>
      <c r="F608" s="35">
        <f t="shared" si="37"/>
        <v>108.5113682543915</v>
      </c>
      <c r="G608" s="36" t="str">
        <f t="shared" si="38"/>
        <v>2024-06</v>
      </c>
    </row>
    <row r="609" spans="1:7" x14ac:dyDescent="0.25">
      <c r="A609" s="37">
        <v>45447</v>
      </c>
      <c r="B609" s="38">
        <v>119325.6348</v>
      </c>
      <c r="C609" s="39">
        <f t="shared" si="39"/>
        <v>-1.3390908041976957E-5</v>
      </c>
      <c r="D609" s="38">
        <f>MAX($B$2:B609)</f>
        <v>120488.7867</v>
      </c>
      <c r="E609" s="40">
        <f t="shared" si="36"/>
        <v>-9.6536111936795788E-3</v>
      </c>
      <c r="F609" s="41">
        <f t="shared" si="37"/>
        <v>108.50991518863771</v>
      </c>
      <c r="G609" s="42" t="str">
        <f t="shared" si="38"/>
        <v>2024-06</v>
      </c>
    </row>
    <row r="610" spans="1:7" x14ac:dyDescent="0.25">
      <c r="A610" s="31">
        <v>45448</v>
      </c>
      <c r="B610" s="32">
        <v>121667.2356</v>
      </c>
      <c r="C610" s="33">
        <f t="shared" si="39"/>
        <v>1.9623619048201313E-2</v>
      </c>
      <c r="D610" s="32">
        <f>MAX($B$2:B610)</f>
        <v>121667.2356</v>
      </c>
      <c r="E610" s="34">
        <f t="shared" si="36"/>
        <v>0</v>
      </c>
      <c r="F610" s="35">
        <f t="shared" si="37"/>
        <v>110.63927242725215</v>
      </c>
      <c r="G610" s="36" t="str">
        <f t="shared" si="38"/>
        <v>2024-06</v>
      </c>
    </row>
    <row r="611" spans="1:7" x14ac:dyDescent="0.25">
      <c r="A611" s="37">
        <v>45449</v>
      </c>
      <c r="B611" s="38">
        <v>121743.36139999999</v>
      </c>
      <c r="C611" s="39">
        <f t="shared" si="39"/>
        <v>6.2568858102651781E-4</v>
      </c>
      <c r="D611" s="38">
        <f>MAX($B$2:B611)</f>
        <v>121743.36139999999</v>
      </c>
      <c r="E611" s="40">
        <f t="shared" si="36"/>
        <v>0</v>
      </c>
      <c r="F611" s="41">
        <f t="shared" si="37"/>
        <v>110.70849815662298</v>
      </c>
      <c r="G611" s="42" t="str">
        <f t="shared" si="38"/>
        <v>2024-06</v>
      </c>
    </row>
    <row r="612" spans="1:7" x14ac:dyDescent="0.25">
      <c r="A612" s="31">
        <v>45450</v>
      </c>
      <c r="B612" s="32">
        <v>121766.47</v>
      </c>
      <c r="C612" s="33">
        <f t="shared" si="39"/>
        <v>1.8981404599216489E-4</v>
      </c>
      <c r="D612" s="32">
        <f>MAX($B$2:B612)</f>
        <v>121766.47</v>
      </c>
      <c r="E612" s="34">
        <f t="shared" si="36"/>
        <v>0</v>
      </c>
      <c r="F612" s="35">
        <f t="shared" si="37"/>
        <v>110.7295121845838</v>
      </c>
      <c r="G612" s="36" t="str">
        <f t="shared" si="38"/>
        <v>2024-06</v>
      </c>
    </row>
    <row r="613" spans="1:7" x14ac:dyDescent="0.25">
      <c r="A613" s="37">
        <v>45453</v>
      </c>
      <c r="B613" s="38">
        <v>122303.8493</v>
      </c>
      <c r="C613" s="39">
        <f t="shared" si="39"/>
        <v>4.4131960136482018E-3</v>
      </c>
      <c r="D613" s="38">
        <f>MAX($B$2:B613)</f>
        <v>122303.8493</v>
      </c>
      <c r="E613" s="40">
        <f t="shared" si="36"/>
        <v>0</v>
      </c>
      <c r="F613" s="41">
        <f t="shared" si="37"/>
        <v>111.21818322634999</v>
      </c>
      <c r="G613" s="42" t="str">
        <f t="shared" si="38"/>
        <v>2024-06</v>
      </c>
    </row>
    <row r="614" spans="1:7" x14ac:dyDescent="0.25">
      <c r="A614" s="31">
        <v>45454</v>
      </c>
      <c r="B614" s="32">
        <v>123193.1695</v>
      </c>
      <c r="C614" s="33">
        <f t="shared" si="39"/>
        <v>7.2713999198714685E-3</v>
      </c>
      <c r="D614" s="32">
        <f>MAX($B$2:B614)</f>
        <v>123193.1695</v>
      </c>
      <c r="E614" s="34">
        <f t="shared" si="36"/>
        <v>0</v>
      </c>
      <c r="F614" s="35">
        <f t="shared" si="37"/>
        <v>112.02689511495035</v>
      </c>
      <c r="G614" s="36" t="str">
        <f t="shared" si="38"/>
        <v>2024-06</v>
      </c>
    </row>
    <row r="615" spans="1:7" x14ac:dyDescent="0.25">
      <c r="A615" s="37">
        <v>45455</v>
      </c>
      <c r="B615" s="38">
        <v>125500.2772</v>
      </c>
      <c r="C615" s="39">
        <f t="shared" si="39"/>
        <v>1.8727561839376072E-2</v>
      </c>
      <c r="D615" s="38">
        <f>MAX($B$2:B615)</f>
        <v>125500.2772</v>
      </c>
      <c r="E615" s="40">
        <f t="shared" si="36"/>
        <v>0</v>
      </c>
      <c r="F615" s="41">
        <f t="shared" si="37"/>
        <v>114.12488572088888</v>
      </c>
      <c r="G615" s="42" t="str">
        <f t="shared" si="38"/>
        <v>2024-06</v>
      </c>
    </row>
    <row r="616" spans="1:7" x14ac:dyDescent="0.25">
      <c r="A616" s="31">
        <v>45456</v>
      </c>
      <c r="B616" s="32">
        <v>126055.7488</v>
      </c>
      <c r="C616" s="33">
        <f t="shared" si="39"/>
        <v>4.4260587497730874E-3</v>
      </c>
      <c r="D616" s="32">
        <f>MAX($B$2:B616)</f>
        <v>126055.7488</v>
      </c>
      <c r="E616" s="34">
        <f t="shared" si="36"/>
        <v>0</v>
      </c>
      <c r="F616" s="35">
        <f t="shared" si="37"/>
        <v>114.63000916990067</v>
      </c>
      <c r="G616" s="36" t="str">
        <f t="shared" si="38"/>
        <v>2024-06</v>
      </c>
    </row>
    <row r="617" spans="1:7" x14ac:dyDescent="0.25">
      <c r="A617" s="37">
        <v>45457</v>
      </c>
      <c r="B617" s="38">
        <v>125823.55929999999</v>
      </c>
      <c r="C617" s="39">
        <f t="shared" si="39"/>
        <v>-1.8419588333761228E-3</v>
      </c>
      <c r="D617" s="38">
        <f>MAX($B$2:B617)</f>
        <v>126055.7488</v>
      </c>
      <c r="E617" s="40">
        <f t="shared" si="36"/>
        <v>-1.8419588333761228E-3</v>
      </c>
      <c r="F617" s="41">
        <f t="shared" si="37"/>
        <v>114.41886541194017</v>
      </c>
      <c r="G617" s="42" t="str">
        <f t="shared" si="38"/>
        <v>2024-06</v>
      </c>
    </row>
    <row r="618" spans="1:7" x14ac:dyDescent="0.25">
      <c r="A618" s="31">
        <v>45460</v>
      </c>
      <c r="B618" s="32">
        <v>127625.33719999999</v>
      </c>
      <c r="C618" s="33">
        <f t="shared" si="39"/>
        <v>1.4319877056601538E-2</v>
      </c>
      <c r="D618" s="32">
        <f>MAX($B$2:B618)</f>
        <v>127625.33719999999</v>
      </c>
      <c r="E618" s="34">
        <f t="shared" si="36"/>
        <v>0</v>
      </c>
      <c r="F618" s="35">
        <f t="shared" si="37"/>
        <v>116.05732949759499</v>
      </c>
      <c r="G618" s="36" t="str">
        <f t="shared" si="38"/>
        <v>2024-06</v>
      </c>
    </row>
    <row r="619" spans="1:7" x14ac:dyDescent="0.25">
      <c r="A619" s="37">
        <v>45461</v>
      </c>
      <c r="B619" s="38">
        <v>127863.90579999999</v>
      </c>
      <c r="C619" s="39">
        <f t="shared" si="39"/>
        <v>1.8692886948157295E-3</v>
      </c>
      <c r="D619" s="38">
        <f>MAX($B$2:B619)</f>
        <v>127863.90579999999</v>
      </c>
      <c r="E619" s="40">
        <f t="shared" si="36"/>
        <v>0</v>
      </c>
      <c r="F619" s="41">
        <f t="shared" si="37"/>
        <v>116.27427415157534</v>
      </c>
      <c r="G619" s="42" t="str">
        <f t="shared" si="38"/>
        <v>2024-06</v>
      </c>
    </row>
    <row r="620" spans="1:7" x14ac:dyDescent="0.25">
      <c r="A620" s="31">
        <v>45463</v>
      </c>
      <c r="B620" s="32">
        <v>126563.1459</v>
      </c>
      <c r="C620" s="33">
        <f t="shared" si="39"/>
        <v>-1.0173003021154314E-2</v>
      </c>
      <c r="D620" s="32">
        <f>MAX($B$2:B620)</f>
        <v>127863.90579999999</v>
      </c>
      <c r="E620" s="34">
        <f t="shared" si="36"/>
        <v>-1.0173003021154314E-2</v>
      </c>
      <c r="F620" s="35">
        <f t="shared" si="37"/>
        <v>115.09141560934883</v>
      </c>
      <c r="G620" s="36" t="str">
        <f t="shared" si="38"/>
        <v>2024-06</v>
      </c>
    </row>
    <row r="621" spans="1:7" x14ac:dyDescent="0.25">
      <c r="A621" s="37">
        <v>45464</v>
      </c>
      <c r="B621" s="38">
        <v>126365.79120000001</v>
      </c>
      <c r="C621" s="39">
        <f t="shared" si="39"/>
        <v>-1.559337819841522E-3</v>
      </c>
      <c r="D621" s="38">
        <f>MAX($B$2:B621)</f>
        <v>127863.90579999999</v>
      </c>
      <c r="E621" s="40">
        <f t="shared" si="36"/>
        <v>-1.1716477692643612E-2</v>
      </c>
      <c r="F621" s="41">
        <f t="shared" si="37"/>
        <v>114.91194921225008</v>
      </c>
      <c r="G621" s="42" t="str">
        <f t="shared" si="38"/>
        <v>2024-06</v>
      </c>
    </row>
    <row r="622" spans="1:7" x14ac:dyDescent="0.25">
      <c r="A622" s="31">
        <v>45467</v>
      </c>
      <c r="B622" s="32">
        <v>125162.84910000001</v>
      </c>
      <c r="C622" s="33">
        <f t="shared" si="39"/>
        <v>-9.519523350240422E-3</v>
      </c>
      <c r="D622" s="32">
        <f>MAX($B$2:B622)</f>
        <v>127863.90579999999</v>
      </c>
      <c r="E622" s="34">
        <f t="shared" si="36"/>
        <v>-2.1124465759906341E-2</v>
      </c>
      <c r="F622" s="35">
        <f t="shared" si="37"/>
        <v>113.81804222850242</v>
      </c>
      <c r="G622" s="36" t="str">
        <f t="shared" si="38"/>
        <v>2024-06</v>
      </c>
    </row>
    <row r="623" spans="1:7" x14ac:dyDescent="0.25">
      <c r="A623" s="37">
        <v>45468</v>
      </c>
      <c r="B623" s="38">
        <v>126756.9228</v>
      </c>
      <c r="C623" s="39">
        <f t="shared" si="39"/>
        <v>1.2735997234502028E-2</v>
      </c>
      <c r="D623" s="38">
        <f>MAX($B$2:B623)</f>
        <v>127863.90579999999</v>
      </c>
      <c r="E623" s="40">
        <f t="shared" si="36"/>
        <v>-8.6575096629027959E-3</v>
      </c>
      <c r="F623" s="41">
        <f t="shared" si="37"/>
        <v>115.26762849956107</v>
      </c>
      <c r="G623" s="42" t="str">
        <f t="shared" si="38"/>
        <v>2024-06</v>
      </c>
    </row>
    <row r="624" spans="1:7" x14ac:dyDescent="0.25">
      <c r="A624" s="31">
        <v>45469</v>
      </c>
      <c r="B624" s="32">
        <v>127788.3453</v>
      </c>
      <c r="C624" s="33">
        <f t="shared" si="39"/>
        <v>8.1370111960465952E-3</v>
      </c>
      <c r="D624" s="32">
        <f>MAX($B$2:B624)</f>
        <v>127863.90579999999</v>
      </c>
      <c r="E624" s="34">
        <f t="shared" si="36"/>
        <v>-5.9094471991327779E-4</v>
      </c>
      <c r="F624" s="35">
        <f t="shared" si="37"/>
        <v>116.20556248320372</v>
      </c>
      <c r="G624" s="36" t="str">
        <f t="shared" si="38"/>
        <v>2024-06</v>
      </c>
    </row>
    <row r="625" spans="1:7" x14ac:dyDescent="0.25">
      <c r="A625" s="37">
        <v>45470</v>
      </c>
      <c r="B625" s="38">
        <v>127653.8055</v>
      </c>
      <c r="C625" s="39">
        <f t="shared" si="39"/>
        <v>-1.0528331021436577E-3</v>
      </c>
      <c r="D625" s="38">
        <f>MAX($B$2:B625)</f>
        <v>127863.90579999999</v>
      </c>
      <c r="E625" s="40">
        <f t="shared" si="36"/>
        <v>-1.6431556558942351E-3</v>
      </c>
      <c r="F625" s="41">
        <f t="shared" si="37"/>
        <v>116.08321742036819</v>
      </c>
      <c r="G625" s="42" t="str">
        <f t="shared" si="38"/>
        <v>2024-06</v>
      </c>
    </row>
    <row r="626" spans="1:7" x14ac:dyDescent="0.25">
      <c r="A626" s="31">
        <v>45471</v>
      </c>
      <c r="B626" s="32">
        <v>126850.1125</v>
      </c>
      <c r="C626" s="33">
        <f t="shared" si="39"/>
        <v>-6.2958796790433258E-3</v>
      </c>
      <c r="D626" s="32">
        <f>MAX($B$2:B626)</f>
        <v>127863.90579999999</v>
      </c>
      <c r="E626" s="34">
        <f t="shared" si="36"/>
        <v>-7.9286902246340496E-3</v>
      </c>
      <c r="F626" s="35">
        <f t="shared" si="37"/>
        <v>115.35237145073332</v>
      </c>
      <c r="G626" s="36" t="str">
        <f t="shared" si="38"/>
        <v>2024-06</v>
      </c>
    </row>
    <row r="627" spans="1:7" x14ac:dyDescent="0.25">
      <c r="A627" s="37">
        <v>45474</v>
      </c>
      <c r="B627" s="38">
        <v>128360.6823</v>
      </c>
      <c r="C627" s="39">
        <f t="shared" si="39"/>
        <v>1.1908304771901523E-2</v>
      </c>
      <c r="D627" s="38">
        <f>MAX($B$2:B627)</f>
        <v>128360.6823</v>
      </c>
      <c r="E627" s="40">
        <f t="shared" si="36"/>
        <v>0</v>
      </c>
      <c r="F627" s="41">
        <f t="shared" si="37"/>
        <v>116.72602264613026</v>
      </c>
      <c r="G627" s="42" t="str">
        <f t="shared" si="38"/>
        <v>2024-07</v>
      </c>
    </row>
    <row r="628" spans="1:7" x14ac:dyDescent="0.25">
      <c r="A628" s="31">
        <v>45475</v>
      </c>
      <c r="B628" s="32">
        <v>130269.5787</v>
      </c>
      <c r="C628" s="33">
        <f t="shared" si="39"/>
        <v>1.4871348186967337E-2</v>
      </c>
      <c r="D628" s="32">
        <f>MAX($B$2:B628)</f>
        <v>130269.5787</v>
      </c>
      <c r="E628" s="34">
        <f t="shared" si="36"/>
        <v>0</v>
      </c>
      <c r="F628" s="35">
        <f t="shared" si="37"/>
        <v>118.46189597138068</v>
      </c>
      <c r="G628" s="36" t="str">
        <f t="shared" si="38"/>
        <v>2024-07</v>
      </c>
    </row>
    <row r="629" spans="1:7" x14ac:dyDescent="0.25">
      <c r="A629" s="37">
        <v>45476</v>
      </c>
      <c r="B629" s="38">
        <v>132118.98569999999</v>
      </c>
      <c r="C629" s="39">
        <f t="shared" si="39"/>
        <v>1.4196768105460889E-2</v>
      </c>
      <c r="D629" s="38">
        <f>MAX($B$2:B629)</f>
        <v>132118.98569999999</v>
      </c>
      <c r="E629" s="40">
        <f t="shared" si="36"/>
        <v>0</v>
      </c>
      <c r="F629" s="41">
        <f t="shared" si="37"/>
        <v>120.14367203781961</v>
      </c>
      <c r="G629" s="42" t="str">
        <f t="shared" si="38"/>
        <v>2024-07</v>
      </c>
    </row>
    <row r="630" spans="1:7" x14ac:dyDescent="0.25">
      <c r="A630" s="31">
        <v>45478</v>
      </c>
      <c r="B630" s="32">
        <v>133185.10800000001</v>
      </c>
      <c r="C630" s="33">
        <f t="shared" si="39"/>
        <v>8.0694102694736092E-3</v>
      </c>
      <c r="D630" s="32">
        <f>MAX($B$2:B630)</f>
        <v>133185.10800000001</v>
      </c>
      <c r="E630" s="34">
        <f t="shared" si="36"/>
        <v>0</v>
      </c>
      <c r="F630" s="35">
        <f t="shared" si="37"/>
        <v>121.11316061877386</v>
      </c>
      <c r="G630" s="36" t="str">
        <f t="shared" si="38"/>
        <v>2024-07</v>
      </c>
    </row>
    <row r="631" spans="1:7" x14ac:dyDescent="0.25">
      <c r="A631" s="37">
        <v>45481</v>
      </c>
      <c r="B631" s="38">
        <v>133452.81969999999</v>
      </c>
      <c r="C631" s="39">
        <f t="shared" si="39"/>
        <v>2.0100723273053234E-3</v>
      </c>
      <c r="D631" s="38">
        <f>MAX($B$2:B631)</f>
        <v>133452.81969999999</v>
      </c>
      <c r="E631" s="40">
        <f t="shared" si="36"/>
        <v>0</v>
      </c>
      <c r="F631" s="41">
        <f t="shared" si="37"/>
        <v>121.35660683140617</v>
      </c>
      <c r="G631" s="42" t="str">
        <f t="shared" si="38"/>
        <v>2024-07</v>
      </c>
    </row>
    <row r="632" spans="1:7" x14ac:dyDescent="0.25">
      <c r="A632" s="31">
        <v>45482</v>
      </c>
      <c r="B632" s="32">
        <v>133819.46489999999</v>
      </c>
      <c r="C632" s="33">
        <f t="shared" si="39"/>
        <v>2.7473769443329132E-3</v>
      </c>
      <c r="D632" s="32">
        <f>MAX($B$2:B632)</f>
        <v>133819.46489999999</v>
      </c>
      <c r="E632" s="34">
        <f t="shared" si="36"/>
        <v>0</v>
      </c>
      <c r="F632" s="35">
        <f t="shared" si="37"/>
        <v>121.69001917505724</v>
      </c>
      <c r="G632" s="36" t="str">
        <f t="shared" si="38"/>
        <v>2024-07</v>
      </c>
    </row>
    <row r="633" spans="1:7" x14ac:dyDescent="0.25">
      <c r="A633" s="37">
        <v>45483</v>
      </c>
      <c r="B633" s="38">
        <v>135721.2218</v>
      </c>
      <c r="C633" s="39">
        <f t="shared" si="39"/>
        <v>1.4211362311313591E-2</v>
      </c>
      <c r="D633" s="38">
        <f>MAX($B$2:B633)</f>
        <v>135721.2218</v>
      </c>
      <c r="E633" s="40">
        <f t="shared" si="36"/>
        <v>0</v>
      </c>
      <c r="F633" s="41">
        <f t="shared" si="37"/>
        <v>123.41940012722468</v>
      </c>
      <c r="G633" s="42" t="str">
        <f t="shared" si="38"/>
        <v>2024-07</v>
      </c>
    </row>
    <row r="634" spans="1:7" x14ac:dyDescent="0.25">
      <c r="A634" s="31">
        <v>45484</v>
      </c>
      <c r="B634" s="32">
        <v>132140.9344</v>
      </c>
      <c r="C634" s="33">
        <f t="shared" si="39"/>
        <v>-2.6379716838063394E-2</v>
      </c>
      <c r="D634" s="32">
        <f>MAX($B$2:B634)</f>
        <v>135721.2218</v>
      </c>
      <c r="E634" s="34">
        <f t="shared" si="36"/>
        <v>-2.6379716838063394E-2</v>
      </c>
      <c r="F634" s="35">
        <f t="shared" si="37"/>
        <v>120.16363129954483</v>
      </c>
      <c r="G634" s="36" t="str">
        <f t="shared" si="38"/>
        <v>2024-07</v>
      </c>
    </row>
    <row r="635" spans="1:7" x14ac:dyDescent="0.25">
      <c r="A635" s="37">
        <v>45485</v>
      </c>
      <c r="B635" s="38">
        <v>133300.9135</v>
      </c>
      <c r="C635" s="39">
        <f t="shared" si="39"/>
        <v>8.7783479454492941E-3</v>
      </c>
      <c r="D635" s="38">
        <f>MAX($B$2:B635)</f>
        <v>135721.2218</v>
      </c>
      <c r="E635" s="40">
        <f t="shared" si="36"/>
        <v>-1.7832939225721045E-2</v>
      </c>
      <c r="F635" s="41">
        <f t="shared" si="37"/>
        <v>121.21846946548094</v>
      </c>
      <c r="G635" s="42" t="str">
        <f t="shared" si="38"/>
        <v>2024-07</v>
      </c>
    </row>
    <row r="636" spans="1:7" x14ac:dyDescent="0.25">
      <c r="A636" s="31">
        <v>45488</v>
      </c>
      <c r="B636" s="32">
        <v>133765.2703</v>
      </c>
      <c r="C636" s="33">
        <f t="shared" si="39"/>
        <v>3.4835230142666873E-3</v>
      </c>
      <c r="D636" s="32">
        <f>MAX($B$2:B636)</f>
        <v>135721.2218</v>
      </c>
      <c r="E636" s="34">
        <f t="shared" si="36"/>
        <v>-1.441153766565928E-2</v>
      </c>
      <c r="F636" s="35">
        <f t="shared" si="37"/>
        <v>121.6407367936181</v>
      </c>
      <c r="G636" s="36" t="str">
        <f t="shared" si="38"/>
        <v>2024-07</v>
      </c>
    </row>
    <row r="637" spans="1:7" x14ac:dyDescent="0.25">
      <c r="A637" s="37">
        <v>45489</v>
      </c>
      <c r="B637" s="38">
        <v>133896.4143</v>
      </c>
      <c r="C637" s="39">
        <f t="shared" si="39"/>
        <v>9.8040395467280383E-4</v>
      </c>
      <c r="D637" s="38">
        <f>MAX($B$2:B637)</f>
        <v>135721.2218</v>
      </c>
      <c r="E637" s="40">
        <f t="shared" si="36"/>
        <v>-1.3445262839506755E-2</v>
      </c>
      <c r="F637" s="41">
        <f t="shared" si="37"/>
        <v>121.75999385301989</v>
      </c>
      <c r="G637" s="42" t="str">
        <f t="shared" si="38"/>
        <v>2024-07</v>
      </c>
    </row>
    <row r="638" spans="1:7" x14ac:dyDescent="0.25">
      <c r="A638" s="31">
        <v>45490</v>
      </c>
      <c r="B638" s="32">
        <v>130349.7803</v>
      </c>
      <c r="C638" s="33">
        <f t="shared" si="39"/>
        <v>-2.6487893783724736E-2</v>
      </c>
      <c r="D638" s="32">
        <f>MAX($B$2:B638)</f>
        <v>135721.2218</v>
      </c>
      <c r="E638" s="34">
        <f t="shared" si="36"/>
        <v>-3.957701992924445E-2</v>
      </c>
      <c r="F638" s="35">
        <f t="shared" si="37"/>
        <v>118.53482806873413</v>
      </c>
      <c r="G638" s="36" t="str">
        <f t="shared" si="38"/>
        <v>2024-07</v>
      </c>
    </row>
    <row r="639" spans="1:7" x14ac:dyDescent="0.25">
      <c r="A639" s="37">
        <v>45491</v>
      </c>
      <c r="B639" s="38">
        <v>129321.0089</v>
      </c>
      <c r="C639" s="39">
        <f t="shared" si="39"/>
        <v>-7.8923907476659005E-3</v>
      </c>
      <c r="D639" s="38">
        <f>MAX($B$2:B639)</f>
        <v>135721.2218</v>
      </c>
      <c r="E639" s="40">
        <f t="shared" si="36"/>
        <v>-4.7157053371000512E-2</v>
      </c>
      <c r="F639" s="41">
        <f t="shared" si="37"/>
        <v>117.59930488840828</v>
      </c>
      <c r="G639" s="42" t="str">
        <f t="shared" si="38"/>
        <v>2024-07</v>
      </c>
    </row>
    <row r="640" spans="1:7" x14ac:dyDescent="0.25">
      <c r="A640" s="31">
        <v>45492</v>
      </c>
      <c r="B640" s="32">
        <v>127805.60520000001</v>
      </c>
      <c r="C640" s="33">
        <f t="shared" si="39"/>
        <v>-1.1718155564126587E-2</v>
      </c>
      <c r="D640" s="32">
        <f>MAX($B$2:B640)</f>
        <v>135721.2218</v>
      </c>
      <c r="E640" s="34">
        <f t="shared" si="36"/>
        <v>-5.8322615247779819E-2</v>
      </c>
      <c r="F640" s="35">
        <f t="shared" si="37"/>
        <v>116.22125793949276</v>
      </c>
      <c r="G640" s="36" t="str">
        <f t="shared" si="38"/>
        <v>2024-07</v>
      </c>
    </row>
    <row r="641" spans="1:7" x14ac:dyDescent="0.25">
      <c r="A641" s="37">
        <v>45495</v>
      </c>
      <c r="B641" s="38">
        <v>129756.48119999999</v>
      </c>
      <c r="C641" s="39">
        <f t="shared" si="39"/>
        <v>1.526440093880943E-2</v>
      </c>
      <c r="D641" s="38">
        <f>MAX($B$2:B641)</f>
        <v>135721.2218</v>
      </c>
      <c r="E641" s="40">
        <f t="shared" si="36"/>
        <v>-4.3948474091912493E-2</v>
      </c>
      <c r="F641" s="41">
        <f t="shared" si="37"/>
        <v>117.99530581829396</v>
      </c>
      <c r="G641" s="42" t="str">
        <f t="shared" si="38"/>
        <v>2024-07</v>
      </c>
    </row>
    <row r="642" spans="1:7" x14ac:dyDescent="0.25">
      <c r="A642" s="31">
        <v>45496</v>
      </c>
      <c r="B642" s="32">
        <v>129591.1145</v>
      </c>
      <c r="C642" s="33">
        <f t="shared" si="39"/>
        <v>-1.274438844754977E-3</v>
      </c>
      <c r="D642" s="32">
        <f>MAX($B$2:B642)</f>
        <v>135721.2218</v>
      </c>
      <c r="E642" s="34">
        <f t="shared" ref="E642:E705" si="40">B642/D642-1</f>
        <v>-4.5166903294116989E-2</v>
      </c>
      <c r="F642" s="35">
        <f t="shared" ref="F642:F705" si="41">B642/$B$2*100</f>
        <v>117.8449280170604</v>
      </c>
      <c r="G642" s="36" t="str">
        <f t="shared" ref="G642:G705" si="42">TEXT(A642,"YYYY-MM")</f>
        <v>2024-07</v>
      </c>
    </row>
    <row r="643" spans="1:7" x14ac:dyDescent="0.25">
      <c r="A643" s="37">
        <v>45497</v>
      </c>
      <c r="B643" s="38">
        <v>124270.8138</v>
      </c>
      <c r="C643" s="39">
        <f t="shared" ref="C643:C706" si="43">B643/B642-1</f>
        <v>-4.1054517669110613E-2</v>
      </c>
      <c r="D643" s="38">
        <f>MAX($B$2:B643)</f>
        <v>135721.2218</v>
      </c>
      <c r="E643" s="40">
        <f t="shared" si="40"/>
        <v>-8.4367115533880321E-2</v>
      </c>
      <c r="F643" s="41">
        <f t="shared" si="41"/>
        <v>113.00686133756892</v>
      </c>
      <c r="G643" s="42" t="str">
        <f t="shared" si="42"/>
        <v>2024-07</v>
      </c>
    </row>
    <row r="644" spans="1:7" x14ac:dyDescent="0.25">
      <c r="A644" s="31">
        <v>45498</v>
      </c>
      <c r="B644" s="32">
        <v>123292.33719999999</v>
      </c>
      <c r="C644" s="33">
        <f t="shared" si="43"/>
        <v>-7.8737442049325868E-3</v>
      </c>
      <c r="D644" s="32">
        <f>MAX($B$2:B644)</f>
        <v>135721.2218</v>
      </c>
      <c r="E644" s="34">
        <f t="shared" si="40"/>
        <v>-9.1576574651791143E-2</v>
      </c>
      <c r="F644" s="35">
        <f t="shared" si="41"/>
        <v>112.11707421799461</v>
      </c>
      <c r="G644" s="36" t="str">
        <f t="shared" si="42"/>
        <v>2024-07</v>
      </c>
    </row>
    <row r="645" spans="1:7" x14ac:dyDescent="0.25">
      <c r="A645" s="37">
        <v>45499</v>
      </c>
      <c r="B645" s="38">
        <v>124436.9081</v>
      </c>
      <c r="C645" s="39">
        <f t="shared" si="43"/>
        <v>9.2833904036009329E-3</v>
      </c>
      <c r="D645" s="38">
        <f>MAX($B$2:B645)</f>
        <v>135721.2218</v>
      </c>
      <c r="E645" s="40">
        <f t="shared" si="40"/>
        <v>-8.3143325342507346E-2</v>
      </c>
      <c r="F645" s="41">
        <f t="shared" si="41"/>
        <v>113.15790078886974</v>
      </c>
      <c r="G645" s="42" t="str">
        <f t="shared" si="42"/>
        <v>2024-07</v>
      </c>
    </row>
    <row r="646" spans="1:7" x14ac:dyDescent="0.25">
      <c r="A646" s="31">
        <v>45502</v>
      </c>
      <c r="B646" s="32">
        <v>124964.204</v>
      </c>
      <c r="C646" s="33">
        <f t="shared" si="43"/>
        <v>4.2374558163744691E-3</v>
      </c>
      <c r="D646" s="32">
        <f>MAX($B$2:B646)</f>
        <v>135721.2218</v>
      </c>
      <c r="E646" s="34">
        <f t="shared" si="40"/>
        <v>-7.9258185693698247E-2</v>
      </c>
      <c r="F646" s="35">
        <f t="shared" si="41"/>
        <v>113.63740239373628</v>
      </c>
      <c r="G646" s="36" t="str">
        <f t="shared" si="42"/>
        <v>2024-07</v>
      </c>
    </row>
    <row r="647" spans="1:7" x14ac:dyDescent="0.25">
      <c r="A647" s="37">
        <v>45503</v>
      </c>
      <c r="B647" s="38">
        <v>123174.5638</v>
      </c>
      <c r="C647" s="39">
        <f t="shared" si="43"/>
        <v>-1.4321222739913542E-2</v>
      </c>
      <c r="D647" s="38">
        <f>MAX($B$2:B647)</f>
        <v>135721.2218</v>
      </c>
      <c r="E647" s="40">
        <f t="shared" si="40"/>
        <v>-9.2444334302330899E-2</v>
      </c>
      <c r="F647" s="41">
        <f t="shared" si="41"/>
        <v>112.00997584247038</v>
      </c>
      <c r="G647" s="42" t="str">
        <f t="shared" si="42"/>
        <v>2024-07</v>
      </c>
    </row>
    <row r="648" spans="1:7" x14ac:dyDescent="0.25">
      <c r="A648" s="31">
        <v>45504</v>
      </c>
      <c r="B648" s="32">
        <v>126246.5107</v>
      </c>
      <c r="C648" s="33">
        <f t="shared" si="43"/>
        <v>2.4939783062580601E-2</v>
      </c>
      <c r="D648" s="32">
        <f>MAX($B$2:B648)</f>
        <v>135721.2218</v>
      </c>
      <c r="E648" s="34">
        <f t="shared" si="40"/>
        <v>-6.9810092882615082E-2</v>
      </c>
      <c r="F648" s="35">
        <f t="shared" si="41"/>
        <v>114.80348034082648</v>
      </c>
      <c r="G648" s="36" t="str">
        <f t="shared" si="42"/>
        <v>2024-07</v>
      </c>
    </row>
    <row r="649" spans="1:7" x14ac:dyDescent="0.25">
      <c r="A649" s="37">
        <v>45505</v>
      </c>
      <c r="B649" s="38">
        <v>123260.3691</v>
      </c>
      <c r="C649" s="39">
        <f t="shared" si="43"/>
        <v>-2.3653260461954373E-2</v>
      </c>
      <c r="D649" s="38">
        <f>MAX($B$2:B649)</f>
        <v>135721.2218</v>
      </c>
      <c r="E649" s="40">
        <f t="shared" si="40"/>
        <v>-9.1812117034743679E-2</v>
      </c>
      <c r="F649" s="41">
        <f t="shared" si="41"/>
        <v>112.08800371838608</v>
      </c>
      <c r="G649" s="42" t="str">
        <f t="shared" si="42"/>
        <v>2024-08</v>
      </c>
    </row>
    <row r="650" spans="1:7" x14ac:dyDescent="0.25">
      <c r="A650" s="31">
        <v>45506</v>
      </c>
      <c r="B650" s="32">
        <v>119899.44100000001</v>
      </c>
      <c r="C650" s="33">
        <f t="shared" si="43"/>
        <v>-2.7266899527724875E-2</v>
      </c>
      <c r="D650" s="32">
        <f>MAX($B$2:B650)</f>
        <v>135721.2218</v>
      </c>
      <c r="E650" s="34">
        <f t="shared" si="40"/>
        <v>-0.11657558479185448</v>
      </c>
      <c r="F650" s="35">
        <f t="shared" si="41"/>
        <v>109.03171138273358</v>
      </c>
      <c r="G650" s="36" t="str">
        <f t="shared" si="42"/>
        <v>2024-08</v>
      </c>
    </row>
    <row r="651" spans="1:7" x14ac:dyDescent="0.25">
      <c r="A651" s="37">
        <v>45509</v>
      </c>
      <c r="B651" s="38">
        <v>115718.4325</v>
      </c>
      <c r="C651" s="39">
        <f t="shared" si="43"/>
        <v>-3.4870959073111996E-2</v>
      </c>
      <c r="D651" s="38">
        <f>MAX($B$2:B651)</f>
        <v>135721.2218</v>
      </c>
      <c r="E651" s="40">
        <f t="shared" si="40"/>
        <v>-0.14738144141876564</v>
      </c>
      <c r="F651" s="41">
        <f t="shared" si="41"/>
        <v>105.22967103743493</v>
      </c>
      <c r="G651" s="42" t="str">
        <f t="shared" si="42"/>
        <v>2024-08</v>
      </c>
    </row>
    <row r="652" spans="1:7" x14ac:dyDescent="0.25">
      <c r="A652" s="31">
        <v>45510</v>
      </c>
      <c r="B652" s="32">
        <v>116907.2322</v>
      </c>
      <c r="C652" s="33">
        <f t="shared" si="43"/>
        <v>1.0273209499273239E-2</v>
      </c>
      <c r="D652" s="32">
        <f>MAX($B$2:B652)</f>
        <v>135721.2218</v>
      </c>
      <c r="E652" s="34">
        <f t="shared" si="40"/>
        <v>-0.13862231234349232</v>
      </c>
      <c r="F652" s="35">
        <f t="shared" si="41"/>
        <v>106.31071749354209</v>
      </c>
      <c r="G652" s="36" t="str">
        <f t="shared" si="42"/>
        <v>2024-08</v>
      </c>
    </row>
    <row r="653" spans="1:7" x14ac:dyDescent="0.25">
      <c r="A653" s="37">
        <v>45511</v>
      </c>
      <c r="B653" s="38">
        <v>115942.0711</v>
      </c>
      <c r="C653" s="39">
        <f t="shared" si="43"/>
        <v>-8.2557860778779135E-3</v>
      </c>
      <c r="D653" s="38">
        <f>MAX($B$2:B653)</f>
        <v>135721.2218</v>
      </c>
      <c r="E653" s="40">
        <f t="shared" si="40"/>
        <v>-0.14573366226504159</v>
      </c>
      <c r="F653" s="41">
        <f t="shared" si="41"/>
        <v>105.43303895212969</v>
      </c>
      <c r="G653" s="42" t="str">
        <f t="shared" si="42"/>
        <v>2024-08</v>
      </c>
    </row>
    <row r="654" spans="1:7" x14ac:dyDescent="0.25">
      <c r="A654" s="31">
        <v>45512</v>
      </c>
      <c r="B654" s="32">
        <v>119076.28230000001</v>
      </c>
      <c r="C654" s="33">
        <f t="shared" si="43"/>
        <v>2.7032561780759856E-2</v>
      </c>
      <c r="D654" s="32">
        <f>MAX($B$2:B654)</f>
        <v>135721.2218</v>
      </c>
      <c r="E654" s="34">
        <f t="shared" si="40"/>
        <v>-0.12264065471299779</v>
      </c>
      <c r="F654" s="35">
        <f t="shared" si="41"/>
        <v>108.2831640913364</v>
      </c>
      <c r="G654" s="36" t="str">
        <f t="shared" si="42"/>
        <v>2024-08</v>
      </c>
    </row>
    <row r="655" spans="1:7" x14ac:dyDescent="0.25">
      <c r="A655" s="37">
        <v>45513</v>
      </c>
      <c r="B655" s="38">
        <v>119935.8453</v>
      </c>
      <c r="C655" s="39">
        <f t="shared" si="43"/>
        <v>7.2185911702753458E-3</v>
      </c>
      <c r="D655" s="38">
        <f>MAX($B$2:B655)</f>
        <v>135721.2218</v>
      </c>
      <c r="E655" s="40">
        <f t="shared" si="40"/>
        <v>-0.11630735628995048</v>
      </c>
      <c r="F655" s="41">
        <f t="shared" si="41"/>
        <v>109.0648159835356</v>
      </c>
      <c r="G655" s="42" t="str">
        <f t="shared" si="42"/>
        <v>2024-08</v>
      </c>
    </row>
    <row r="656" spans="1:7" x14ac:dyDescent="0.25">
      <c r="A656" s="31">
        <v>45516</v>
      </c>
      <c r="B656" s="32">
        <v>120273.0612</v>
      </c>
      <c r="C656" s="33">
        <f t="shared" si="43"/>
        <v>2.8116356636875839E-3</v>
      </c>
      <c r="D656" s="32">
        <f>MAX($B$2:B656)</f>
        <v>135721.2218</v>
      </c>
      <c r="E656" s="34">
        <f t="shared" si="40"/>
        <v>-0.11382273453715697</v>
      </c>
      <c r="F656" s="35">
        <f t="shared" si="41"/>
        <v>109.37146650980843</v>
      </c>
      <c r="G656" s="36" t="str">
        <f t="shared" si="42"/>
        <v>2024-08</v>
      </c>
    </row>
    <row r="657" spans="1:7" x14ac:dyDescent="0.25">
      <c r="A657" s="37">
        <v>45517</v>
      </c>
      <c r="B657" s="38">
        <v>122978.0653</v>
      </c>
      <c r="C657" s="39">
        <f t="shared" si="43"/>
        <v>2.2490523422380448E-2</v>
      </c>
      <c r="D657" s="38">
        <f>MAX($B$2:B657)</f>
        <v>135721.2218</v>
      </c>
      <c r="E657" s="40">
        <f t="shared" si="40"/>
        <v>-9.3892143991883836E-2</v>
      </c>
      <c r="F657" s="41">
        <f t="shared" si="41"/>
        <v>111.83128803908737</v>
      </c>
      <c r="G657" s="42" t="str">
        <f t="shared" si="42"/>
        <v>2024-08</v>
      </c>
    </row>
    <row r="658" spans="1:7" x14ac:dyDescent="0.25">
      <c r="A658" s="31">
        <v>45518</v>
      </c>
      <c r="B658" s="32">
        <v>122965.4086</v>
      </c>
      <c r="C658" s="33">
        <f t="shared" si="43"/>
        <v>-1.0291835352205236E-4</v>
      </c>
      <c r="D658" s="32">
        <f>MAX($B$2:B658)</f>
        <v>135721.2218</v>
      </c>
      <c r="E658" s="34">
        <f t="shared" si="40"/>
        <v>-9.3985399120537605E-2</v>
      </c>
      <c r="F658" s="35">
        <f t="shared" si="41"/>
        <v>111.81977854705013</v>
      </c>
      <c r="G658" s="36" t="str">
        <f t="shared" si="42"/>
        <v>2024-08</v>
      </c>
    </row>
    <row r="659" spans="1:7" x14ac:dyDescent="0.25">
      <c r="A659" s="37">
        <v>45519</v>
      </c>
      <c r="B659" s="38">
        <v>125864.3888</v>
      </c>
      <c r="C659" s="39">
        <f t="shared" si="43"/>
        <v>2.3575574895458917E-2</v>
      </c>
      <c r="D659" s="38">
        <f>MAX($B$2:B659)</f>
        <v>135721.2218</v>
      </c>
      <c r="E659" s="40">
        <f t="shared" si="40"/>
        <v>-7.2625584041124513E-2</v>
      </c>
      <c r="F659" s="41">
        <f t="shared" si="41"/>
        <v>114.45599411097976</v>
      </c>
      <c r="G659" s="42" t="str">
        <f t="shared" si="42"/>
        <v>2024-08</v>
      </c>
    </row>
    <row r="660" spans="1:7" x14ac:dyDescent="0.25">
      <c r="A660" s="31">
        <v>45520</v>
      </c>
      <c r="B660" s="32">
        <v>126287.2919</v>
      </c>
      <c r="C660" s="33">
        <f t="shared" si="43"/>
        <v>3.359990097532517E-3</v>
      </c>
      <c r="D660" s="32">
        <f>MAX($B$2:B660)</f>
        <v>135721.2218</v>
      </c>
      <c r="E660" s="34">
        <f t="shared" si="40"/>
        <v>-6.9509615186797546E-2</v>
      </c>
      <c r="F660" s="35">
        <f t="shared" si="41"/>
        <v>114.8405651177959</v>
      </c>
      <c r="G660" s="36" t="str">
        <f t="shared" si="42"/>
        <v>2024-08</v>
      </c>
    </row>
    <row r="661" spans="1:7" x14ac:dyDescent="0.25">
      <c r="A661" s="37">
        <v>45523</v>
      </c>
      <c r="B661" s="38">
        <v>127745.664</v>
      </c>
      <c r="C661" s="39">
        <f t="shared" si="43"/>
        <v>1.1548051098877021E-2</v>
      </c>
      <c r="D661" s="38">
        <f>MAX($B$2:B661)</f>
        <v>135721.2218</v>
      </c>
      <c r="E661" s="40">
        <f t="shared" si="40"/>
        <v>-5.8764264675960853E-2</v>
      </c>
      <c r="F661" s="41">
        <f t="shared" si="41"/>
        <v>116.16674983200012</v>
      </c>
      <c r="G661" s="42" t="str">
        <f t="shared" si="42"/>
        <v>2024-08</v>
      </c>
    </row>
    <row r="662" spans="1:7" x14ac:dyDescent="0.25">
      <c r="A662" s="31">
        <v>45524</v>
      </c>
      <c r="B662" s="32">
        <v>127405.755</v>
      </c>
      <c r="C662" s="33">
        <f t="shared" si="43"/>
        <v>-2.6608261240084197E-3</v>
      </c>
      <c r="D662" s="32">
        <f>MAX($B$2:B662)</f>
        <v>135721.2218</v>
      </c>
      <c r="E662" s="34">
        <f t="shared" si="40"/>
        <v>-6.1268729309361336E-2</v>
      </c>
      <c r="F662" s="35">
        <f t="shared" si="41"/>
        <v>115.857650309306</v>
      </c>
      <c r="G662" s="36" t="str">
        <f t="shared" si="42"/>
        <v>2024-08</v>
      </c>
    </row>
    <row r="663" spans="1:7" x14ac:dyDescent="0.25">
      <c r="A663" s="37">
        <v>45525</v>
      </c>
      <c r="B663" s="38">
        <v>127720.8288</v>
      </c>
      <c r="C663" s="39">
        <f t="shared" si="43"/>
        <v>2.4729950385680155E-3</v>
      </c>
      <c r="D663" s="38">
        <f>MAX($B$2:B663)</f>
        <v>135721.2218</v>
      </c>
      <c r="E663" s="40">
        <f t="shared" si="40"/>
        <v>-5.894725153439484E-2</v>
      </c>
      <c r="F663" s="41">
        <f t="shared" si="41"/>
        <v>116.14416570370103</v>
      </c>
      <c r="G663" s="42" t="str">
        <f t="shared" si="42"/>
        <v>2024-08</v>
      </c>
    </row>
    <row r="664" spans="1:7" x14ac:dyDescent="0.25">
      <c r="A664" s="31">
        <v>45526</v>
      </c>
      <c r="B664" s="32">
        <v>125391.9715</v>
      </c>
      <c r="C664" s="33">
        <f t="shared" si="43"/>
        <v>-1.8233966392801837E-2</v>
      </c>
      <c r="D664" s="32">
        <f>MAX($B$2:B664)</f>
        <v>135721.2218</v>
      </c>
      <c r="E664" s="34">
        <f t="shared" si="40"/>
        <v>-7.6106375723770547E-2</v>
      </c>
      <c r="F664" s="35">
        <f t="shared" si="41"/>
        <v>114.02639688953975</v>
      </c>
      <c r="G664" s="36" t="str">
        <f t="shared" si="42"/>
        <v>2024-08</v>
      </c>
    </row>
    <row r="665" spans="1:7" x14ac:dyDescent="0.25">
      <c r="A665" s="37">
        <v>45527</v>
      </c>
      <c r="B665" s="38">
        <v>127263.9166</v>
      </c>
      <c r="C665" s="39">
        <f t="shared" si="43"/>
        <v>1.4928747651120622E-2</v>
      </c>
      <c r="D665" s="38">
        <f>MAX($B$2:B665)</f>
        <v>135721.2218</v>
      </c>
      <c r="E665" s="40">
        <f t="shared" si="40"/>
        <v>-6.2313800950471565E-2</v>
      </c>
      <c r="F665" s="41">
        <f t="shared" si="41"/>
        <v>115.72866819427018</v>
      </c>
      <c r="G665" s="42" t="str">
        <f t="shared" si="42"/>
        <v>2024-08</v>
      </c>
    </row>
    <row r="666" spans="1:7" x14ac:dyDescent="0.25">
      <c r="A666" s="31">
        <v>45530</v>
      </c>
      <c r="B666" s="32">
        <v>126242.47229999999</v>
      </c>
      <c r="C666" s="33">
        <f t="shared" si="43"/>
        <v>-8.0261894124356026E-3</v>
      </c>
      <c r="D666" s="32">
        <f>MAX($B$2:B666)</f>
        <v>135721.2218</v>
      </c>
      <c r="E666" s="34">
        <f t="shared" si="40"/>
        <v>-6.9839847993469872E-2</v>
      </c>
      <c r="F666" s="35">
        <f t="shared" si="41"/>
        <v>114.79980798289408</v>
      </c>
      <c r="G666" s="36" t="str">
        <f t="shared" si="42"/>
        <v>2024-08</v>
      </c>
    </row>
    <row r="667" spans="1:7" x14ac:dyDescent="0.25">
      <c r="A667" s="37">
        <v>45531</v>
      </c>
      <c r="B667" s="38">
        <v>126240.7741</v>
      </c>
      <c r="C667" s="39">
        <f t="shared" si="43"/>
        <v>-1.3451891182625353E-5</v>
      </c>
      <c r="D667" s="38">
        <f>MAX($B$2:B667)</f>
        <v>135721.2218</v>
      </c>
      <c r="E667" s="40">
        <f t="shared" si="40"/>
        <v>-6.985236040661702E-2</v>
      </c>
      <c r="F667" s="41">
        <f t="shared" si="41"/>
        <v>114.79826370836932</v>
      </c>
      <c r="G667" s="42" t="str">
        <f t="shared" si="42"/>
        <v>2024-08</v>
      </c>
    </row>
    <row r="668" spans="1:7" x14ac:dyDescent="0.25">
      <c r="A668" s="31">
        <v>45532</v>
      </c>
      <c r="B668" s="32">
        <v>125004.79369999999</v>
      </c>
      <c r="C668" s="33">
        <f t="shared" si="43"/>
        <v>-9.7906592288552474E-3</v>
      </c>
      <c r="D668" s="32">
        <f>MAX($B$2:B668)</f>
        <v>135721.2218</v>
      </c>
      <c r="E668" s="34">
        <f t="shared" si="40"/>
        <v>-7.8959118978399911E-2</v>
      </c>
      <c r="F668" s="35">
        <f t="shared" si="41"/>
        <v>113.6743130283364</v>
      </c>
      <c r="G668" s="36" t="str">
        <f t="shared" si="42"/>
        <v>2024-08</v>
      </c>
    </row>
    <row r="669" spans="1:7" x14ac:dyDescent="0.25">
      <c r="A669" s="37">
        <v>45533</v>
      </c>
      <c r="B669" s="38">
        <v>124945.1027</v>
      </c>
      <c r="C669" s="39">
        <f t="shared" si="43"/>
        <v>-4.7750968769444402E-4</v>
      </c>
      <c r="D669" s="38">
        <f>MAX($B$2:B669)</f>
        <v>135721.2218</v>
      </c>
      <c r="E669" s="40">
        <f t="shared" si="40"/>
        <v>-7.93989249218503E-2</v>
      </c>
      <c r="F669" s="41">
        <f t="shared" si="41"/>
        <v>113.62003244262335</v>
      </c>
      <c r="G669" s="42" t="str">
        <f t="shared" si="42"/>
        <v>2024-08</v>
      </c>
    </row>
    <row r="670" spans="1:7" x14ac:dyDescent="0.25">
      <c r="A670" s="31">
        <v>45534</v>
      </c>
      <c r="B670" s="32">
        <v>126424.88310000001</v>
      </c>
      <c r="C670" s="33">
        <f t="shared" si="43"/>
        <v>1.1843444585043272E-2</v>
      </c>
      <c r="D670" s="32">
        <f>MAX($B$2:B670)</f>
        <v>135721.2218</v>
      </c>
      <c r="E670" s="34">
        <f t="shared" si="40"/>
        <v>-6.8495837104230906E-2</v>
      </c>
      <c r="F670" s="35">
        <f t="shared" si="41"/>
        <v>114.9656850006084</v>
      </c>
      <c r="G670" s="36" t="str">
        <f t="shared" si="42"/>
        <v>2024-08</v>
      </c>
    </row>
    <row r="671" spans="1:7" x14ac:dyDescent="0.25">
      <c r="A671" s="37">
        <v>45538</v>
      </c>
      <c r="B671" s="38">
        <v>122649.18399999999</v>
      </c>
      <c r="C671" s="39">
        <f t="shared" si="43"/>
        <v>-2.9865157929499508E-2</v>
      </c>
      <c r="D671" s="38">
        <f>MAX($B$2:B671)</f>
        <v>135721.2218</v>
      </c>
      <c r="E671" s="40">
        <f t="shared" si="40"/>
        <v>-9.6315356041099309E-2</v>
      </c>
      <c r="F671" s="41">
        <f t="shared" si="41"/>
        <v>111.53221666159214</v>
      </c>
      <c r="G671" s="42" t="str">
        <f t="shared" si="42"/>
        <v>2024-09</v>
      </c>
    </row>
    <row r="672" spans="1:7" x14ac:dyDescent="0.25">
      <c r="A672" s="31">
        <v>45539</v>
      </c>
      <c r="B672" s="32">
        <v>122618.8371</v>
      </c>
      <c r="C672" s="33">
        <f t="shared" si="43"/>
        <v>-2.4742847045755578E-4</v>
      </c>
      <c r="D672" s="32">
        <f>MAX($B$2:B672)</f>
        <v>135721.2218</v>
      </c>
      <c r="E672" s="34">
        <f t="shared" si="40"/>
        <v>-9.6538953350330026E-2</v>
      </c>
      <c r="F672" s="35">
        <f t="shared" si="41"/>
        <v>111.50462041581682</v>
      </c>
      <c r="G672" s="36" t="str">
        <f t="shared" si="42"/>
        <v>2024-09</v>
      </c>
    </row>
    <row r="673" spans="1:7" x14ac:dyDescent="0.25">
      <c r="A673" s="37">
        <v>45540</v>
      </c>
      <c r="B673" s="38">
        <v>123457.81110000001</v>
      </c>
      <c r="C673" s="39">
        <f t="shared" si="43"/>
        <v>6.8421298051928314E-3</v>
      </c>
      <c r="D673" s="38">
        <f>MAX($B$2:B673)</f>
        <v>135721.2218</v>
      </c>
      <c r="E673" s="40">
        <f t="shared" si="40"/>
        <v>-9.0357355595217514E-2</v>
      </c>
      <c r="F673" s="41">
        <f t="shared" si="41"/>
        <v>112.26754950258059</v>
      </c>
      <c r="G673" s="42" t="str">
        <f t="shared" si="42"/>
        <v>2024-09</v>
      </c>
    </row>
    <row r="674" spans="1:7" x14ac:dyDescent="0.25">
      <c r="A674" s="31">
        <v>45541</v>
      </c>
      <c r="B674" s="32">
        <v>120142.4402</v>
      </c>
      <c r="C674" s="33">
        <f t="shared" si="43"/>
        <v>-2.6854282207503077E-2</v>
      </c>
      <c r="D674" s="32">
        <f>MAX($B$2:B674)</f>
        <v>135721.2218</v>
      </c>
      <c r="E674" s="34">
        <f t="shared" si="40"/>
        <v>-0.11478515587604299</v>
      </c>
      <c r="F674" s="35">
        <f t="shared" si="41"/>
        <v>109.25268504549348</v>
      </c>
      <c r="G674" s="36" t="str">
        <f t="shared" si="42"/>
        <v>2024-09</v>
      </c>
    </row>
    <row r="675" spans="1:7" x14ac:dyDescent="0.25">
      <c r="A675" s="37">
        <v>45544</v>
      </c>
      <c r="B675" s="38">
        <v>121751.6051</v>
      </c>
      <c r="C675" s="39">
        <f t="shared" si="43"/>
        <v>1.339380902636278E-2</v>
      </c>
      <c r="D675" s="38">
        <f>MAX($B$2:B675)</f>
        <v>135721.2218</v>
      </c>
      <c r="E675" s="40">
        <f t="shared" si="40"/>
        <v>-0.10292875730654527</v>
      </c>
      <c r="F675" s="41">
        <f t="shared" si="41"/>
        <v>110.71599464461018</v>
      </c>
      <c r="G675" s="42" t="str">
        <f t="shared" si="42"/>
        <v>2024-09</v>
      </c>
    </row>
    <row r="676" spans="1:7" x14ac:dyDescent="0.25">
      <c r="A676" s="31">
        <v>45545</v>
      </c>
      <c r="B676" s="32">
        <v>122928.1329</v>
      </c>
      <c r="C676" s="33">
        <f t="shared" si="43"/>
        <v>9.6633452925212193E-3</v>
      </c>
      <c r="D676" s="32">
        <f>MAX($B$2:B676)</f>
        <v>135721.2218</v>
      </c>
      <c r="E676" s="34">
        <f t="shared" si="40"/>
        <v>-9.4260048136407204E-2</v>
      </c>
      <c r="F676" s="35">
        <f t="shared" si="41"/>
        <v>111.78588153026598</v>
      </c>
      <c r="G676" s="36" t="str">
        <f t="shared" si="42"/>
        <v>2024-09</v>
      </c>
    </row>
    <row r="677" spans="1:7" x14ac:dyDescent="0.25">
      <c r="A677" s="37">
        <v>45546</v>
      </c>
      <c r="B677" s="38">
        <v>125387.2717</v>
      </c>
      <c r="C677" s="39">
        <f t="shared" si="43"/>
        <v>2.0004686819740991E-2</v>
      </c>
      <c r="D677" s="38">
        <f>MAX($B$2:B677)</f>
        <v>135721.2218</v>
      </c>
      <c r="E677" s="40">
        <f t="shared" si="40"/>
        <v>-7.6141004059248729E-2</v>
      </c>
      <c r="F677" s="41">
        <f t="shared" si="41"/>
        <v>114.02212308114761</v>
      </c>
      <c r="G677" s="42" t="str">
        <f t="shared" si="42"/>
        <v>2024-09</v>
      </c>
    </row>
    <row r="678" spans="1:7" x14ac:dyDescent="0.25">
      <c r="A678" s="31">
        <v>45547</v>
      </c>
      <c r="B678" s="32">
        <v>126432.3584</v>
      </c>
      <c r="C678" s="33">
        <f t="shared" si="43"/>
        <v>8.3348707235648689E-3</v>
      </c>
      <c r="D678" s="32">
        <f>MAX($B$2:B678)</f>
        <v>135721.2218</v>
      </c>
      <c r="E678" s="34">
        <f t="shared" si="40"/>
        <v>-6.8440758761280196E-2</v>
      </c>
      <c r="F678" s="35">
        <f t="shared" si="41"/>
        <v>114.97248273665539</v>
      </c>
      <c r="G678" s="36" t="str">
        <f t="shared" si="42"/>
        <v>2024-09</v>
      </c>
    </row>
    <row r="679" spans="1:7" x14ac:dyDescent="0.25">
      <c r="A679" s="37">
        <v>45548</v>
      </c>
      <c r="B679" s="38">
        <v>127195.19929999999</v>
      </c>
      <c r="C679" s="39">
        <f t="shared" si="43"/>
        <v>6.0335891037210931E-3</v>
      </c>
      <c r="D679" s="38">
        <f>MAX($B$2:B679)</f>
        <v>135721.2218</v>
      </c>
      <c r="E679" s="40">
        <f t="shared" si="40"/>
        <v>-6.2820113073871586E-2</v>
      </c>
      <c r="F679" s="41">
        <f t="shared" si="41"/>
        <v>115.66617945572301</v>
      </c>
      <c r="G679" s="42" t="str">
        <f t="shared" si="42"/>
        <v>2024-09</v>
      </c>
    </row>
    <row r="680" spans="1:7" x14ac:dyDescent="0.25">
      <c r="A680" s="31">
        <v>45551</v>
      </c>
      <c r="B680" s="32">
        <v>126303.4522</v>
      </c>
      <c r="C680" s="33">
        <f t="shared" si="43"/>
        <v>-7.0108550079530652E-3</v>
      </c>
      <c r="D680" s="32">
        <f>MAX($B$2:B680)</f>
        <v>135721.2218</v>
      </c>
      <c r="E680" s="34">
        <f t="shared" si="40"/>
        <v>-6.9390545377480572E-2</v>
      </c>
      <c r="F680" s="35">
        <f t="shared" si="41"/>
        <v>114.85526064223508</v>
      </c>
      <c r="G680" s="36" t="str">
        <f t="shared" si="42"/>
        <v>2024-09</v>
      </c>
    </row>
    <row r="681" spans="1:7" x14ac:dyDescent="0.25">
      <c r="A681" s="37">
        <v>45552</v>
      </c>
      <c r="B681" s="38">
        <v>126600.306</v>
      </c>
      <c r="C681" s="39">
        <f t="shared" si="43"/>
        <v>2.3503221394924889E-3</v>
      </c>
      <c r="D681" s="38">
        <f>MAX($B$2:B681)</f>
        <v>135721.2218</v>
      </c>
      <c r="E681" s="40">
        <f t="shared" si="40"/>
        <v>-6.7203313373060181E-2</v>
      </c>
      <c r="F681" s="41">
        <f t="shared" si="41"/>
        <v>115.1252075041597</v>
      </c>
      <c r="G681" s="42" t="str">
        <f t="shared" si="42"/>
        <v>2024-09</v>
      </c>
    </row>
    <row r="682" spans="1:7" x14ac:dyDescent="0.25">
      <c r="A682" s="31">
        <v>45553</v>
      </c>
      <c r="B682" s="32">
        <v>126326.9463</v>
      </c>
      <c r="C682" s="33">
        <f t="shared" si="43"/>
        <v>-2.1592341174909713E-3</v>
      </c>
      <c r="D682" s="32">
        <f>MAX($B$2:B682)</f>
        <v>135721.2218</v>
      </c>
      <c r="E682" s="34">
        <f t="shared" si="40"/>
        <v>-6.9217439803507586E-2</v>
      </c>
      <c r="F682" s="35">
        <f t="shared" si="41"/>
        <v>114.87662522833348</v>
      </c>
      <c r="G682" s="36" t="str">
        <f t="shared" si="42"/>
        <v>2024-09</v>
      </c>
    </row>
    <row r="683" spans="1:7" x14ac:dyDescent="0.25">
      <c r="A683" s="37">
        <v>45554</v>
      </c>
      <c r="B683" s="38">
        <v>129767.58409999999</v>
      </c>
      <c r="C683" s="39">
        <f t="shared" si="43"/>
        <v>2.7235976969071984E-2</v>
      </c>
      <c r="D683" s="38">
        <f>MAX($B$2:B683)</f>
        <v>135721.2218</v>
      </c>
      <c r="E683" s="40">
        <f t="shared" si="40"/>
        <v>-4.3866667430782047E-2</v>
      </c>
      <c r="F683" s="41">
        <f t="shared" si="41"/>
        <v>118.0054023473371</v>
      </c>
      <c r="G683" s="42" t="str">
        <f t="shared" si="42"/>
        <v>2024-09</v>
      </c>
    </row>
    <row r="684" spans="1:7" x14ac:dyDescent="0.25">
      <c r="A684" s="31">
        <v>45555</v>
      </c>
      <c r="B684" s="32">
        <v>129194.17630000001</v>
      </c>
      <c r="C684" s="33">
        <f t="shared" si="43"/>
        <v>-4.418729099234131E-3</v>
      </c>
      <c r="D684" s="32">
        <f>MAX($B$2:B684)</f>
        <v>135721.2218</v>
      </c>
      <c r="E684" s="34">
        <f t="shared" si="40"/>
        <v>-4.8091561610153377E-2</v>
      </c>
      <c r="F684" s="35">
        <f t="shared" si="41"/>
        <v>117.48396844211808</v>
      </c>
      <c r="G684" s="36" t="str">
        <f t="shared" si="42"/>
        <v>2024-09</v>
      </c>
    </row>
    <row r="685" spans="1:7" x14ac:dyDescent="0.25">
      <c r="A685" s="37">
        <v>45558</v>
      </c>
      <c r="B685" s="38">
        <v>129850.8112</v>
      </c>
      <c r="C685" s="39">
        <f t="shared" si="43"/>
        <v>5.082542563491721E-3</v>
      </c>
      <c r="D685" s="38">
        <f>MAX($B$2:B685)</f>
        <v>135721.2218</v>
      </c>
      <c r="E685" s="40">
        <f t="shared" si="40"/>
        <v>-4.3253446455490119E-2</v>
      </c>
      <c r="F685" s="41">
        <f t="shared" si="41"/>
        <v>118.08108571225304</v>
      </c>
      <c r="G685" s="42" t="str">
        <f t="shared" si="42"/>
        <v>2024-09</v>
      </c>
    </row>
    <row r="686" spans="1:7" x14ac:dyDescent="0.25">
      <c r="A686" s="31">
        <v>45559</v>
      </c>
      <c r="B686" s="32">
        <v>130743.6425</v>
      </c>
      <c r="C686" s="33">
        <f t="shared" si="43"/>
        <v>6.8758238146455763E-3</v>
      </c>
      <c r="D686" s="32">
        <f>MAX($B$2:B686)</f>
        <v>135721.2218</v>
      </c>
      <c r="E686" s="34">
        <f t="shared" si="40"/>
        <v>-3.6675025718048704E-2</v>
      </c>
      <c r="F686" s="35">
        <f t="shared" si="41"/>
        <v>118.89299045345257</v>
      </c>
      <c r="G686" s="36" t="str">
        <f t="shared" si="42"/>
        <v>2024-09</v>
      </c>
    </row>
    <row r="687" spans="1:7" x14ac:dyDescent="0.25">
      <c r="A687" s="37">
        <v>45560</v>
      </c>
      <c r="B687" s="38">
        <v>130921.84420000001</v>
      </c>
      <c r="C687" s="39">
        <f t="shared" si="43"/>
        <v>1.3629855845571637E-3</v>
      </c>
      <c r="D687" s="38">
        <f>MAX($B$2:B687)</f>
        <v>135721.2218</v>
      </c>
      <c r="E687" s="40">
        <f t="shared" si="40"/>
        <v>-3.536202766485852E-2</v>
      </c>
      <c r="F687" s="41">
        <f t="shared" si="41"/>
        <v>119.05503988554554</v>
      </c>
      <c r="G687" s="42" t="str">
        <f t="shared" si="42"/>
        <v>2024-09</v>
      </c>
    </row>
    <row r="688" spans="1:7" x14ac:dyDescent="0.25">
      <c r="A688" s="31">
        <v>45561</v>
      </c>
      <c r="B688" s="32">
        <v>131887.96900000001</v>
      </c>
      <c r="C688" s="33">
        <f t="shared" si="43"/>
        <v>7.3794010915713137E-3</v>
      </c>
      <c r="D688" s="32">
        <f>MAX($B$2:B688)</f>
        <v>135721.2218</v>
      </c>
      <c r="E688" s="34">
        <f t="shared" si="40"/>
        <v>-2.8243577158837407E-2</v>
      </c>
      <c r="F688" s="35">
        <f t="shared" si="41"/>
        <v>119.93359477683398</v>
      </c>
      <c r="G688" s="36" t="str">
        <f t="shared" si="42"/>
        <v>2024-09</v>
      </c>
    </row>
    <row r="689" spans="1:7" x14ac:dyDescent="0.25">
      <c r="A689" s="37">
        <v>45562</v>
      </c>
      <c r="B689" s="38">
        <v>131334.00030000001</v>
      </c>
      <c r="C689" s="39">
        <f t="shared" si="43"/>
        <v>-4.200297450937307E-3</v>
      </c>
      <c r="D689" s="38">
        <f>MAX($B$2:B689)</f>
        <v>135721.2218</v>
      </c>
      <c r="E689" s="40">
        <f t="shared" si="40"/>
        <v>-3.2325243184629149E-2</v>
      </c>
      <c r="F689" s="41">
        <f t="shared" si="41"/>
        <v>119.4298380044111</v>
      </c>
      <c r="G689" s="42" t="str">
        <f t="shared" si="42"/>
        <v>2024-09</v>
      </c>
    </row>
    <row r="690" spans="1:7" x14ac:dyDescent="0.25">
      <c r="A690" s="31">
        <v>45565</v>
      </c>
      <c r="B690" s="32">
        <v>131610.4485</v>
      </c>
      <c r="C690" s="33">
        <f t="shared" si="43"/>
        <v>2.1049248432889467E-3</v>
      </c>
      <c r="D690" s="32">
        <f>MAX($B$2:B690)</f>
        <v>135721.2218</v>
      </c>
      <c r="E690" s="34">
        <f t="shared" si="40"/>
        <v>-3.0288360548784921E-2</v>
      </c>
      <c r="F690" s="35">
        <f t="shared" si="41"/>
        <v>119.68122883745656</v>
      </c>
      <c r="G690" s="36" t="str">
        <f t="shared" si="42"/>
        <v>2024-09</v>
      </c>
    </row>
    <row r="691" spans="1:7" x14ac:dyDescent="0.25">
      <c r="A691" s="37">
        <v>45566</v>
      </c>
      <c r="B691" s="38">
        <v>129634.35619999999</v>
      </c>
      <c r="C691" s="39">
        <f t="shared" si="43"/>
        <v>-1.5014706830058455E-2</v>
      </c>
      <c r="D691" s="38">
        <f>MAX($B$2:B691)</f>
        <v>135721.2218</v>
      </c>
      <c r="E691" s="40">
        <f t="shared" si="40"/>
        <v>-4.4848296524840237E-2</v>
      </c>
      <c r="F691" s="41">
        <f t="shared" si="41"/>
        <v>117.88425027340101</v>
      </c>
      <c r="G691" s="42" t="str">
        <f t="shared" si="42"/>
        <v>2024-10</v>
      </c>
    </row>
    <row r="692" spans="1:7" x14ac:dyDescent="0.25">
      <c r="A692" s="31">
        <v>45567</v>
      </c>
      <c r="B692" s="32">
        <v>129394.78780000001</v>
      </c>
      <c r="C692" s="33">
        <f t="shared" si="43"/>
        <v>-1.8480317025710846E-3</v>
      </c>
      <c r="D692" s="32">
        <f>MAX($B$2:B692)</f>
        <v>135721.2218</v>
      </c>
      <c r="E692" s="34">
        <f t="shared" si="40"/>
        <v>-4.661344715362703E-2</v>
      </c>
      <c r="F692" s="35">
        <f t="shared" si="41"/>
        <v>117.66639644166195</v>
      </c>
      <c r="G692" s="36" t="str">
        <f t="shared" si="42"/>
        <v>2024-10</v>
      </c>
    </row>
    <row r="693" spans="1:7" x14ac:dyDescent="0.25">
      <c r="A693" s="37">
        <v>45568</v>
      </c>
      <c r="B693" s="38">
        <v>129203.3649</v>
      </c>
      <c r="C693" s="39">
        <f t="shared" si="43"/>
        <v>-1.4793710261025161E-3</v>
      </c>
      <c r="D693" s="38">
        <f>MAX($B$2:B693)</f>
        <v>135721.2218</v>
      </c>
      <c r="E693" s="40">
        <f t="shared" si="40"/>
        <v>-4.8023859596583729E-2</v>
      </c>
      <c r="F693" s="41">
        <f t="shared" si="41"/>
        <v>117.49232418402025</v>
      </c>
      <c r="G693" s="42" t="str">
        <f t="shared" si="42"/>
        <v>2024-10</v>
      </c>
    </row>
    <row r="694" spans="1:7" x14ac:dyDescent="0.25">
      <c r="A694" s="31">
        <v>45569</v>
      </c>
      <c r="B694" s="32">
        <v>130607.1156</v>
      </c>
      <c r="C694" s="33">
        <f t="shared" si="43"/>
        <v>1.0864660537954762E-2</v>
      </c>
      <c r="D694" s="32">
        <f>MAX($B$2:B694)</f>
        <v>135721.2218</v>
      </c>
      <c r="E694" s="34">
        <f t="shared" si="40"/>
        <v>-3.7680961990868234E-2</v>
      </c>
      <c r="F694" s="35">
        <f t="shared" si="41"/>
        <v>118.76883840209499</v>
      </c>
      <c r="G694" s="36" t="str">
        <f t="shared" si="42"/>
        <v>2024-10</v>
      </c>
    </row>
    <row r="695" spans="1:7" x14ac:dyDescent="0.25">
      <c r="A695" s="37">
        <v>45572</v>
      </c>
      <c r="B695" s="38">
        <v>129193.87119999999</v>
      </c>
      <c r="C695" s="39">
        <f t="shared" si="43"/>
        <v>-1.0820577374422991E-2</v>
      </c>
      <c r="D695" s="38">
        <f>MAX($B$2:B695)</f>
        <v>135721.2218</v>
      </c>
      <c r="E695" s="40">
        <f t="shared" si="40"/>
        <v>-4.8093809600526338E-2</v>
      </c>
      <c r="F695" s="41">
        <f t="shared" si="41"/>
        <v>117.48369099649476</v>
      </c>
      <c r="G695" s="42" t="str">
        <f t="shared" si="42"/>
        <v>2024-10</v>
      </c>
    </row>
    <row r="696" spans="1:7" x14ac:dyDescent="0.25">
      <c r="A696" s="31">
        <v>45573</v>
      </c>
      <c r="B696" s="32">
        <v>130947.89720000001</v>
      </c>
      <c r="C696" s="33">
        <f t="shared" si="43"/>
        <v>1.357669666299155E-2</v>
      </c>
      <c r="D696" s="32">
        <f>MAX($B$2:B696)</f>
        <v>135721.2218</v>
      </c>
      <c r="E696" s="34">
        <f t="shared" si="40"/>
        <v>-3.5170068001848742E-2</v>
      </c>
      <c r="F696" s="35">
        <f t="shared" si="41"/>
        <v>119.0787314320028</v>
      </c>
      <c r="G696" s="36" t="str">
        <f t="shared" si="42"/>
        <v>2024-10</v>
      </c>
    </row>
    <row r="697" spans="1:7" x14ac:dyDescent="0.25">
      <c r="A697" s="37">
        <v>45574</v>
      </c>
      <c r="B697" s="38">
        <v>131516.97690000001</v>
      </c>
      <c r="C697" s="39">
        <f t="shared" si="43"/>
        <v>4.3458483272231785E-3</v>
      </c>
      <c r="D697" s="38">
        <f>MAX($B$2:B697)</f>
        <v>135721.2218</v>
      </c>
      <c r="E697" s="40">
        <f t="shared" si="40"/>
        <v>-3.0977063455819742E-2</v>
      </c>
      <c r="F697" s="41">
        <f t="shared" si="41"/>
        <v>119.59622953780442</v>
      </c>
      <c r="G697" s="42" t="str">
        <f t="shared" si="42"/>
        <v>2024-10</v>
      </c>
    </row>
    <row r="698" spans="1:7" x14ac:dyDescent="0.25">
      <c r="A698" s="31">
        <v>45575</v>
      </c>
      <c r="B698" s="32">
        <v>131455.21599999999</v>
      </c>
      <c r="C698" s="33">
        <f t="shared" si="43"/>
        <v>-4.6960401201268098E-4</v>
      </c>
      <c r="D698" s="32">
        <f>MAX($B$2:B698)</f>
        <v>135721.2218</v>
      </c>
      <c r="E698" s="34">
        <f t="shared" si="40"/>
        <v>-3.1432120514553241E-2</v>
      </c>
      <c r="F698" s="35">
        <f t="shared" si="41"/>
        <v>119.54006666859189</v>
      </c>
      <c r="G698" s="36" t="str">
        <f t="shared" si="42"/>
        <v>2024-10</v>
      </c>
    </row>
    <row r="699" spans="1:7" x14ac:dyDescent="0.25">
      <c r="A699" s="37">
        <v>45576</v>
      </c>
      <c r="B699" s="38">
        <v>131266.02170000001</v>
      </c>
      <c r="C699" s="39">
        <f t="shared" si="43"/>
        <v>-1.4392300720875717E-3</v>
      </c>
      <c r="D699" s="38">
        <f>MAX($B$2:B699)</f>
        <v>135721.2218</v>
      </c>
      <c r="E699" s="40">
        <f t="shared" si="40"/>
        <v>-3.282611253356682E-2</v>
      </c>
      <c r="F699" s="41">
        <f t="shared" si="41"/>
        <v>119.36802100982308</v>
      </c>
      <c r="G699" s="42" t="str">
        <f t="shared" si="42"/>
        <v>2024-10</v>
      </c>
    </row>
    <row r="700" spans="1:7" x14ac:dyDescent="0.25">
      <c r="A700" s="31">
        <v>45579</v>
      </c>
      <c r="B700" s="32">
        <v>132501.20060000001</v>
      </c>
      <c r="C700" s="33">
        <f t="shared" si="43"/>
        <v>9.4097382095035265E-3</v>
      </c>
      <c r="D700" s="32">
        <f>MAX($B$2:B700)</f>
        <v>135721.2218</v>
      </c>
      <c r="E700" s="34">
        <f t="shared" si="40"/>
        <v>-2.3725259449439928E-2</v>
      </c>
      <c r="F700" s="35">
        <f t="shared" si="41"/>
        <v>120.49124283811203</v>
      </c>
      <c r="G700" s="36" t="str">
        <f t="shared" si="42"/>
        <v>2024-10</v>
      </c>
    </row>
    <row r="701" spans="1:7" x14ac:dyDescent="0.25">
      <c r="A701" s="37">
        <v>45580</v>
      </c>
      <c r="B701" s="38">
        <v>131460.3658</v>
      </c>
      <c r="C701" s="39">
        <f t="shared" si="43"/>
        <v>-7.8552858033500428E-3</v>
      </c>
      <c r="D701" s="38">
        <f>MAX($B$2:B701)</f>
        <v>135721.2218</v>
      </c>
      <c r="E701" s="40">
        <f t="shared" si="40"/>
        <v>-3.1394176559055964E-2</v>
      </c>
      <c r="F701" s="41">
        <f t="shared" si="41"/>
        <v>119.5447496888178</v>
      </c>
      <c r="G701" s="42" t="str">
        <f t="shared" si="42"/>
        <v>2024-10</v>
      </c>
    </row>
    <row r="702" spans="1:7" x14ac:dyDescent="0.25">
      <c r="A702" s="31">
        <v>45581</v>
      </c>
      <c r="B702" s="32">
        <v>131956.147</v>
      </c>
      <c r="C702" s="33">
        <f t="shared" si="43"/>
        <v>3.7713359230588939E-3</v>
      </c>
      <c r="D702" s="32">
        <f>MAX($B$2:B702)</f>
        <v>135721.2218</v>
      </c>
      <c r="E702" s="34">
        <f t="shared" si="40"/>
        <v>-2.7741238621829201E-2</v>
      </c>
      <c r="F702" s="35">
        <f t="shared" si="41"/>
        <v>119.99559309773234</v>
      </c>
      <c r="G702" s="36" t="str">
        <f t="shared" si="42"/>
        <v>2024-10</v>
      </c>
    </row>
    <row r="703" spans="1:7" x14ac:dyDescent="0.25">
      <c r="A703" s="37">
        <v>45582</v>
      </c>
      <c r="B703" s="38">
        <v>133040.15429999999</v>
      </c>
      <c r="C703" s="39">
        <f t="shared" si="43"/>
        <v>8.2149056686233735E-3</v>
      </c>
      <c r="D703" s="38">
        <f>MAX($B$2:B703)</f>
        <v>135721.2218</v>
      </c>
      <c r="E703" s="40">
        <f t="shared" si="40"/>
        <v>-1.9754224611614912E-2</v>
      </c>
      <c r="F703" s="41">
        <f t="shared" si="41"/>
        <v>120.98134557568072</v>
      </c>
      <c r="G703" s="42" t="str">
        <f t="shared" si="42"/>
        <v>2024-10</v>
      </c>
    </row>
    <row r="704" spans="1:7" x14ac:dyDescent="0.25">
      <c r="A704" s="31">
        <v>45583</v>
      </c>
      <c r="B704" s="32">
        <v>133324.55869999999</v>
      </c>
      <c r="C704" s="33">
        <f t="shared" si="43"/>
        <v>2.1377335398955477E-3</v>
      </c>
      <c r="D704" s="32">
        <f>MAX($B$2:B704)</f>
        <v>135721.2218</v>
      </c>
      <c r="E704" s="34">
        <f t="shared" si="40"/>
        <v>-1.7658720340226197E-2</v>
      </c>
      <c r="F704" s="35">
        <f t="shared" si="41"/>
        <v>121.23997145581956</v>
      </c>
      <c r="G704" s="36" t="str">
        <f t="shared" si="42"/>
        <v>2024-10</v>
      </c>
    </row>
    <row r="705" spans="1:7" x14ac:dyDescent="0.25">
      <c r="A705" s="37">
        <v>45586</v>
      </c>
      <c r="B705" s="38">
        <v>133561.6685</v>
      </c>
      <c r="C705" s="39">
        <f t="shared" si="43"/>
        <v>1.7784405387273328E-3</v>
      </c>
      <c r="D705" s="38">
        <f>MAX($B$2:B705)</f>
        <v>135721.2218</v>
      </c>
      <c r="E705" s="40">
        <f t="shared" si="40"/>
        <v>-1.5911684785614E-2</v>
      </c>
      <c r="F705" s="41">
        <f t="shared" si="41"/>
        <v>121.45558953597072</v>
      </c>
      <c r="G705" s="42" t="str">
        <f t="shared" si="42"/>
        <v>2024-10</v>
      </c>
    </row>
    <row r="706" spans="1:7" x14ac:dyDescent="0.25">
      <c r="A706" s="31">
        <v>45587</v>
      </c>
      <c r="B706" s="32">
        <v>133647.61170000001</v>
      </c>
      <c r="C706" s="33">
        <f t="shared" si="43"/>
        <v>6.4347204527481772E-4</v>
      </c>
      <c r="D706" s="32">
        <f>MAX($B$2:B706)</f>
        <v>135721.2218</v>
      </c>
      <c r="E706" s="34">
        <f t="shared" ref="E706:E769" si="44">B706/D706-1</f>
        <v>-1.5278451464691978E-2</v>
      </c>
      <c r="F706" s="35">
        <f t="shared" ref="F706:F769" si="45">B706/$B$2*100</f>
        <v>121.53374281257949</v>
      </c>
      <c r="G706" s="36" t="str">
        <f t="shared" ref="G706:G769" si="46">TEXT(A706,"YYYY-MM")</f>
        <v>2024-10</v>
      </c>
    </row>
    <row r="707" spans="1:7" x14ac:dyDescent="0.25">
      <c r="A707" s="37">
        <v>45588</v>
      </c>
      <c r="B707" s="38">
        <v>132040.48389999999</v>
      </c>
      <c r="C707" s="39">
        <f t="shared" ref="C707:C770" si="47">B707/B706-1</f>
        <v>-1.2025114250507896E-2</v>
      </c>
      <c r="D707" s="38">
        <f>MAX($B$2:B707)</f>
        <v>135721.2218</v>
      </c>
      <c r="E707" s="40">
        <f t="shared" si="44"/>
        <v>-2.7119840590766109E-2</v>
      </c>
      <c r="F707" s="41">
        <f t="shared" si="45"/>
        <v>120.07228566996638</v>
      </c>
      <c r="G707" s="42" t="str">
        <f t="shared" si="46"/>
        <v>2024-10</v>
      </c>
    </row>
    <row r="708" spans="1:7" x14ac:dyDescent="0.25">
      <c r="A708" s="31">
        <v>45589</v>
      </c>
      <c r="B708" s="32">
        <v>134310.14309999999</v>
      </c>
      <c r="C708" s="33">
        <f t="shared" si="47"/>
        <v>1.7189116042008123E-2</v>
      </c>
      <c r="D708" s="32">
        <f>MAX($B$2:B708)</f>
        <v>135721.2218</v>
      </c>
      <c r="E708" s="34">
        <f t="shared" si="44"/>
        <v>-1.0396890635713474E-2</v>
      </c>
      <c r="F708" s="35">
        <f t="shared" si="45"/>
        <v>122.13622212177657</v>
      </c>
      <c r="G708" s="36" t="str">
        <f t="shared" si="46"/>
        <v>2024-10</v>
      </c>
    </row>
    <row r="709" spans="1:7" x14ac:dyDescent="0.25">
      <c r="A709" s="37">
        <v>45590</v>
      </c>
      <c r="B709" s="38">
        <v>135381.96230000001</v>
      </c>
      <c r="C709" s="39">
        <f t="shared" si="47"/>
        <v>7.9801806122863361E-3</v>
      </c>
      <c r="D709" s="38">
        <f>MAX($B$2:B709)</f>
        <v>135721.2218</v>
      </c>
      <c r="E709" s="40">
        <f t="shared" si="44"/>
        <v>-2.4996790885063458E-3</v>
      </c>
      <c r="F709" s="41">
        <f t="shared" si="45"/>
        <v>123.11089123361066</v>
      </c>
      <c r="G709" s="42" t="str">
        <f t="shared" si="46"/>
        <v>2024-10</v>
      </c>
    </row>
    <row r="710" spans="1:7" x14ac:dyDescent="0.25">
      <c r="A710" s="31">
        <v>45593</v>
      </c>
      <c r="B710" s="32">
        <v>134863.6943</v>
      </c>
      <c r="C710" s="33">
        <f t="shared" si="47"/>
        <v>-3.828190928800046E-3</v>
      </c>
      <c r="D710" s="32">
        <f>MAX($B$2:B710)</f>
        <v>135721.2218</v>
      </c>
      <c r="E710" s="34">
        <f t="shared" si="44"/>
        <v>-6.3183007684948223E-3</v>
      </c>
      <c r="F710" s="35">
        <f t="shared" si="45"/>
        <v>122.63959923655368</v>
      </c>
      <c r="G710" s="36" t="str">
        <f t="shared" si="46"/>
        <v>2024-10</v>
      </c>
    </row>
    <row r="711" spans="1:7" x14ac:dyDescent="0.25">
      <c r="A711" s="37">
        <v>45594</v>
      </c>
      <c r="B711" s="38">
        <v>135466.25080000001</v>
      </c>
      <c r="C711" s="39">
        <f t="shared" si="47"/>
        <v>4.4678925868635311E-3</v>
      </c>
      <c r="D711" s="38">
        <f>MAX($B$2:B711)</f>
        <v>135721.2218</v>
      </c>
      <c r="E711" s="40">
        <f t="shared" si="44"/>
        <v>-1.8786376707963237E-3</v>
      </c>
      <c r="F711" s="41">
        <f t="shared" si="45"/>
        <v>123.18753979283858</v>
      </c>
      <c r="G711" s="42" t="str">
        <f t="shared" si="46"/>
        <v>2024-10</v>
      </c>
    </row>
    <row r="712" spans="1:7" x14ac:dyDescent="0.25">
      <c r="A712" s="31">
        <v>45595</v>
      </c>
      <c r="B712" s="32">
        <v>134862.1336</v>
      </c>
      <c r="C712" s="33">
        <f t="shared" si="47"/>
        <v>-4.4595402650651206E-3</v>
      </c>
      <c r="D712" s="32">
        <f>MAX($B$2:B712)</f>
        <v>135721.2218</v>
      </c>
      <c r="E712" s="34">
        <f t="shared" si="44"/>
        <v>-6.3298000755250827E-3</v>
      </c>
      <c r="F712" s="35">
        <f t="shared" si="45"/>
        <v>122.6381799989781</v>
      </c>
      <c r="G712" s="36" t="str">
        <f t="shared" si="46"/>
        <v>2024-10</v>
      </c>
    </row>
    <row r="713" spans="1:7" x14ac:dyDescent="0.25">
      <c r="A713" s="37">
        <v>45596</v>
      </c>
      <c r="B713" s="38">
        <v>130718.27099999999</v>
      </c>
      <c r="C713" s="39">
        <f t="shared" si="47"/>
        <v>-3.0726657582703432E-2</v>
      </c>
      <c r="D713" s="38">
        <f>MAX($B$2:B713)</f>
        <v>135721.2218</v>
      </c>
      <c r="E713" s="40">
        <f t="shared" si="44"/>
        <v>-3.6861964058740981E-2</v>
      </c>
      <c r="F713" s="41">
        <f t="shared" si="45"/>
        <v>118.86991863558356</v>
      </c>
      <c r="G713" s="42" t="str">
        <f t="shared" si="46"/>
        <v>2024-10</v>
      </c>
    </row>
    <row r="714" spans="1:7" x14ac:dyDescent="0.25">
      <c r="A714" s="31">
        <v>45597</v>
      </c>
      <c r="B714" s="32">
        <v>131549.4675</v>
      </c>
      <c r="C714" s="33">
        <f t="shared" si="47"/>
        <v>6.3586864609004312E-3</v>
      </c>
      <c r="D714" s="32">
        <f>MAX($B$2:B714)</f>
        <v>135721.2218</v>
      </c>
      <c r="E714" s="34">
        <f t="shared" si="44"/>
        <v>-3.0737671269623124E-2</v>
      </c>
      <c r="F714" s="35">
        <f t="shared" si="45"/>
        <v>119.62577517781997</v>
      </c>
      <c r="G714" s="36" t="str">
        <f t="shared" si="46"/>
        <v>2024-11</v>
      </c>
    </row>
    <row r="715" spans="1:7" x14ac:dyDescent="0.25">
      <c r="A715" s="37">
        <v>45600</v>
      </c>
      <c r="B715" s="38">
        <v>130953.1376</v>
      </c>
      <c r="C715" s="39">
        <f t="shared" si="47"/>
        <v>-4.5331228725802308E-3</v>
      </c>
      <c r="D715" s="38">
        <f>MAX($B$2:B715)</f>
        <v>135721.2218</v>
      </c>
      <c r="E715" s="40">
        <f t="shared" si="44"/>
        <v>-3.5131456501521052E-2</v>
      </c>
      <c r="F715" s="41">
        <f t="shared" si="45"/>
        <v>119.08349684021127</v>
      </c>
      <c r="G715" s="42" t="str">
        <f t="shared" si="46"/>
        <v>2024-11</v>
      </c>
    </row>
    <row r="716" spans="1:7" x14ac:dyDescent="0.25">
      <c r="A716" s="31">
        <v>45601</v>
      </c>
      <c r="B716" s="32">
        <v>132967.97089999999</v>
      </c>
      <c r="C716" s="33">
        <f t="shared" si="47"/>
        <v>1.5385910845101991E-2</v>
      </c>
      <c r="D716" s="32">
        <f>MAX($B$2:B716)</f>
        <v>135721.2218</v>
      </c>
      <c r="E716" s="34">
        <f t="shared" si="44"/>
        <v>-2.0286075114010038E-2</v>
      </c>
      <c r="F716" s="35">
        <f t="shared" si="45"/>
        <v>120.91570490571775</v>
      </c>
      <c r="G716" s="36" t="str">
        <f t="shared" si="46"/>
        <v>2024-11</v>
      </c>
    </row>
    <row r="717" spans="1:7" x14ac:dyDescent="0.25">
      <c r="A717" s="37">
        <v>45602</v>
      </c>
      <c r="B717" s="38">
        <v>137598.0367</v>
      </c>
      <c r="C717" s="39">
        <f t="shared" si="47"/>
        <v>3.48209103941437E-2</v>
      </c>
      <c r="D717" s="38">
        <f>MAX($B$2:B717)</f>
        <v>137598.0367</v>
      </c>
      <c r="E717" s="40">
        <f t="shared" si="44"/>
        <v>0</v>
      </c>
      <c r="F717" s="41">
        <f t="shared" si="45"/>
        <v>125.12609983148447</v>
      </c>
      <c r="G717" s="42" t="str">
        <f t="shared" si="46"/>
        <v>2024-11</v>
      </c>
    </row>
    <row r="718" spans="1:7" x14ac:dyDescent="0.25">
      <c r="A718" s="31">
        <v>45603</v>
      </c>
      <c r="B718" s="32">
        <v>139764.87150000001</v>
      </c>
      <c r="C718" s="33">
        <f t="shared" si="47"/>
        <v>1.5747570619225382E-2</v>
      </c>
      <c r="D718" s="32">
        <f>MAX($B$2:B718)</f>
        <v>139764.87150000001</v>
      </c>
      <c r="E718" s="34">
        <f t="shared" si="44"/>
        <v>0</v>
      </c>
      <c r="F718" s="35">
        <f t="shared" si="45"/>
        <v>127.09653192488901</v>
      </c>
      <c r="G718" s="36" t="str">
        <f t="shared" si="46"/>
        <v>2024-11</v>
      </c>
    </row>
    <row r="719" spans="1:7" x14ac:dyDescent="0.25">
      <c r="A719" s="37">
        <v>45604</v>
      </c>
      <c r="B719" s="38">
        <v>140814.3787</v>
      </c>
      <c r="C719" s="39">
        <f t="shared" si="47"/>
        <v>7.5090914386164442E-3</v>
      </c>
      <c r="D719" s="38">
        <f>MAX($B$2:B719)</f>
        <v>140814.3787</v>
      </c>
      <c r="E719" s="40">
        <f t="shared" si="44"/>
        <v>0</v>
      </c>
      <c r="F719" s="41">
        <f t="shared" si="45"/>
        <v>128.05091140464404</v>
      </c>
      <c r="G719" s="42" t="str">
        <f t="shared" si="46"/>
        <v>2024-11</v>
      </c>
    </row>
    <row r="720" spans="1:7" x14ac:dyDescent="0.25">
      <c r="A720" s="31">
        <v>45607</v>
      </c>
      <c r="B720" s="32">
        <v>141401.53779999999</v>
      </c>
      <c r="C720" s="33">
        <f t="shared" si="47"/>
        <v>4.1697382427892116E-3</v>
      </c>
      <c r="D720" s="32">
        <f>MAX($B$2:B720)</f>
        <v>141401.53779999999</v>
      </c>
      <c r="E720" s="34">
        <f t="shared" si="44"/>
        <v>0</v>
      </c>
      <c r="F720" s="35">
        <f t="shared" si="45"/>
        <v>128.584850186952</v>
      </c>
      <c r="G720" s="36" t="str">
        <f t="shared" si="46"/>
        <v>2024-11</v>
      </c>
    </row>
    <row r="721" spans="1:7" x14ac:dyDescent="0.25">
      <c r="A721" s="37">
        <v>45608</v>
      </c>
      <c r="B721" s="38">
        <v>140419.1067</v>
      </c>
      <c r="C721" s="39">
        <f t="shared" si="47"/>
        <v>-6.9478105774885002E-3</v>
      </c>
      <c r="D721" s="38">
        <f>MAX($B$2:B721)</f>
        <v>141401.53779999999</v>
      </c>
      <c r="E721" s="40">
        <f t="shared" si="44"/>
        <v>-6.9478105774885002E-3</v>
      </c>
      <c r="F721" s="41">
        <f t="shared" si="45"/>
        <v>127.69146700471832</v>
      </c>
      <c r="G721" s="42" t="str">
        <f t="shared" si="46"/>
        <v>2024-11</v>
      </c>
    </row>
    <row r="722" spans="1:7" x14ac:dyDescent="0.25">
      <c r="A722" s="31">
        <v>45609</v>
      </c>
      <c r="B722" s="32">
        <v>140095.91949999999</v>
      </c>
      <c r="C722" s="33">
        <f t="shared" si="47"/>
        <v>-2.3015899160396813E-3</v>
      </c>
      <c r="D722" s="32">
        <f>MAX($B$2:B722)</f>
        <v>141401.53779999999</v>
      </c>
      <c r="E722" s="34">
        <f t="shared" si="44"/>
        <v>-9.2334094827645208E-3</v>
      </c>
      <c r="F722" s="35">
        <f t="shared" si="45"/>
        <v>127.39757361189594</v>
      </c>
      <c r="G722" s="36" t="str">
        <f t="shared" si="46"/>
        <v>2024-11</v>
      </c>
    </row>
    <row r="723" spans="1:7" x14ac:dyDescent="0.25">
      <c r="A723" s="37">
        <v>45610</v>
      </c>
      <c r="B723" s="38">
        <v>139038.92240000001</v>
      </c>
      <c r="C723" s="39">
        <f t="shared" si="47"/>
        <v>-7.5448100399525542E-3</v>
      </c>
      <c r="D723" s="38">
        <f>MAX($B$2:B723)</f>
        <v>141401.53779999999</v>
      </c>
      <c r="E723" s="40">
        <f t="shared" si="44"/>
        <v>-1.6708555202148423E-2</v>
      </c>
      <c r="F723" s="41">
        <f t="shared" si="45"/>
        <v>126.43638311944332</v>
      </c>
      <c r="G723" s="42" t="str">
        <f t="shared" si="46"/>
        <v>2024-11</v>
      </c>
    </row>
    <row r="724" spans="1:7" x14ac:dyDescent="0.25">
      <c r="A724" s="31">
        <v>45611</v>
      </c>
      <c r="B724" s="32">
        <v>137211.23439999999</v>
      </c>
      <c r="C724" s="33">
        <f t="shared" si="47"/>
        <v>-1.3145153662382114E-2</v>
      </c>
      <c r="D724" s="32">
        <f>MAX($B$2:B724)</f>
        <v>141401.53779999999</v>
      </c>
      <c r="E724" s="34">
        <f t="shared" si="44"/>
        <v>-2.9634072338921902E-2</v>
      </c>
      <c r="F724" s="35">
        <f t="shared" si="45"/>
        <v>124.77435743482243</v>
      </c>
      <c r="G724" s="36" t="str">
        <f t="shared" si="46"/>
        <v>2024-11</v>
      </c>
    </row>
    <row r="725" spans="1:7" x14ac:dyDescent="0.25">
      <c r="A725" s="37">
        <v>45614</v>
      </c>
      <c r="B725" s="38">
        <v>138786.48620000001</v>
      </c>
      <c r="C725" s="39">
        <f t="shared" si="47"/>
        <v>1.1480487052596855E-2</v>
      </c>
      <c r="D725" s="38">
        <f>MAX($B$2:B725)</f>
        <v>141401.53779999999</v>
      </c>
      <c r="E725" s="40">
        <f t="shared" si="44"/>
        <v>-1.8493798870127809E-2</v>
      </c>
      <c r="F725" s="41">
        <f t="shared" si="45"/>
        <v>126.206827829849</v>
      </c>
      <c r="G725" s="42" t="str">
        <f t="shared" si="46"/>
        <v>2024-11</v>
      </c>
    </row>
    <row r="726" spans="1:7" x14ac:dyDescent="0.25">
      <c r="A726" s="31">
        <v>45615</v>
      </c>
      <c r="B726" s="32">
        <v>140093.09460000001</v>
      </c>
      <c r="C726" s="33">
        <f t="shared" si="47"/>
        <v>9.4145218008985232E-3</v>
      </c>
      <c r="D726" s="32">
        <f>MAX($B$2:B726)</f>
        <v>141401.53779999999</v>
      </c>
      <c r="E726" s="34">
        <f t="shared" si="44"/>
        <v>-9.2533873418736423E-3</v>
      </c>
      <c r="F726" s="35">
        <f t="shared" si="45"/>
        <v>127.39500476187536</v>
      </c>
      <c r="G726" s="36" t="str">
        <f t="shared" si="46"/>
        <v>2024-11</v>
      </c>
    </row>
    <row r="727" spans="1:7" x14ac:dyDescent="0.25">
      <c r="A727" s="37">
        <v>45616</v>
      </c>
      <c r="B727" s="38">
        <v>139726.1568</v>
      </c>
      <c r="C727" s="39">
        <f t="shared" si="47"/>
        <v>-2.6192425904196792E-3</v>
      </c>
      <c r="D727" s="38">
        <f>MAX($B$2:B727)</f>
        <v>141401.53779999999</v>
      </c>
      <c r="E727" s="40">
        <f t="shared" si="44"/>
        <v>-1.184839306606178E-2</v>
      </c>
      <c r="F727" s="41">
        <f t="shared" si="45"/>
        <v>127.06132633959632</v>
      </c>
      <c r="G727" s="42" t="str">
        <f t="shared" si="46"/>
        <v>2024-11</v>
      </c>
    </row>
    <row r="728" spans="1:7" x14ac:dyDescent="0.25">
      <c r="A728" s="31">
        <v>45617</v>
      </c>
      <c r="B728" s="32">
        <v>139693.91589999999</v>
      </c>
      <c r="C728" s="33">
        <f t="shared" si="47"/>
        <v>-2.307434823828336E-4</v>
      </c>
      <c r="D728" s="32">
        <f>MAX($B$2:B728)</f>
        <v>141401.53779999999</v>
      </c>
      <c r="E728" s="34">
        <f t="shared" si="44"/>
        <v>-1.2076402608967918E-2</v>
      </c>
      <c r="F728" s="35">
        <f t="shared" si="45"/>
        <v>127.03200776668055</v>
      </c>
      <c r="G728" s="36" t="str">
        <f t="shared" si="46"/>
        <v>2024-11</v>
      </c>
    </row>
    <row r="729" spans="1:7" x14ac:dyDescent="0.25">
      <c r="A729" s="37">
        <v>45618</v>
      </c>
      <c r="B729" s="38">
        <v>140383.7071</v>
      </c>
      <c r="C729" s="39">
        <f t="shared" si="47"/>
        <v>4.937875751824361E-3</v>
      </c>
      <c r="D729" s="38">
        <f>MAX($B$2:B729)</f>
        <v>141401.53779999999</v>
      </c>
      <c r="E729" s="40">
        <f t="shared" si="44"/>
        <v>-7.1981586327556357E-3</v>
      </c>
      <c r="F729" s="41">
        <f t="shared" si="45"/>
        <v>127.6592760375372</v>
      </c>
      <c r="G729" s="42" t="str">
        <f t="shared" si="46"/>
        <v>2024-11</v>
      </c>
    </row>
    <row r="730" spans="1:7" x14ac:dyDescent="0.25">
      <c r="A730" s="31">
        <v>45621</v>
      </c>
      <c r="B730" s="32">
        <v>140037.1244</v>
      </c>
      <c r="C730" s="33">
        <f t="shared" si="47"/>
        <v>-2.4688242471978539E-3</v>
      </c>
      <c r="D730" s="32">
        <f>MAX($B$2:B730)</f>
        <v>141401.53779999999</v>
      </c>
      <c r="E730" s="34">
        <f t="shared" si="44"/>
        <v>-9.6492118913857894E-3</v>
      </c>
      <c r="F730" s="35">
        <f t="shared" si="45"/>
        <v>127.34410772147602</v>
      </c>
      <c r="G730" s="36" t="str">
        <f t="shared" si="46"/>
        <v>2024-11</v>
      </c>
    </row>
    <row r="731" spans="1:7" x14ac:dyDescent="0.25">
      <c r="A731" s="37">
        <v>45622</v>
      </c>
      <c r="B731" s="38">
        <v>140821.45740000001</v>
      </c>
      <c r="C731" s="39">
        <f t="shared" si="47"/>
        <v>5.6008933585329768E-3</v>
      </c>
      <c r="D731" s="38">
        <f>MAX($B$2:B731)</f>
        <v>141401.53779999999</v>
      </c>
      <c r="E731" s="40">
        <f t="shared" si="44"/>
        <v>-4.102362739650367E-3</v>
      </c>
      <c r="F731" s="41">
        <f t="shared" si="45"/>
        <v>128.05734848866152</v>
      </c>
      <c r="G731" s="42" t="str">
        <f t="shared" si="46"/>
        <v>2024-11</v>
      </c>
    </row>
    <row r="732" spans="1:7" x14ac:dyDescent="0.25">
      <c r="A732" s="31">
        <v>45623</v>
      </c>
      <c r="B732" s="32">
        <v>139871.2464</v>
      </c>
      <c r="C732" s="33">
        <f t="shared" si="47"/>
        <v>-6.7476293566608447E-3</v>
      </c>
      <c r="D732" s="32">
        <f>MAX($B$2:B732)</f>
        <v>141401.53779999999</v>
      </c>
      <c r="E732" s="34">
        <f t="shared" si="44"/>
        <v>-1.0822310873057517E-2</v>
      </c>
      <c r="F732" s="35">
        <f t="shared" si="45"/>
        <v>127.19326496466327</v>
      </c>
      <c r="G732" s="36" t="str">
        <f t="shared" si="46"/>
        <v>2024-11</v>
      </c>
    </row>
    <row r="733" spans="1:7" x14ac:dyDescent="0.25">
      <c r="A733" s="37">
        <v>45625</v>
      </c>
      <c r="B733" s="38">
        <v>141317.61850000001</v>
      </c>
      <c r="C733" s="39">
        <f t="shared" si="47"/>
        <v>1.0340739338689398E-2</v>
      </c>
      <c r="D733" s="38">
        <f>MAX($B$2:B733)</f>
        <v>141401.53779999999</v>
      </c>
      <c r="E733" s="40">
        <f t="shared" si="44"/>
        <v>-5.934822301485454E-4</v>
      </c>
      <c r="F733" s="41">
        <f t="shared" si="45"/>
        <v>128.50853736329972</v>
      </c>
      <c r="G733" s="42" t="str">
        <f t="shared" si="46"/>
        <v>2024-11</v>
      </c>
    </row>
    <row r="734" spans="1:7" x14ac:dyDescent="0.25">
      <c r="A734" s="31">
        <v>45628</v>
      </c>
      <c r="B734" s="32">
        <v>143138.68309999999</v>
      </c>
      <c r="C734" s="33">
        <f t="shared" si="47"/>
        <v>1.2886323866262872E-2</v>
      </c>
      <c r="D734" s="32">
        <f>MAX($B$2:B734)</f>
        <v>143138.68309999999</v>
      </c>
      <c r="E734" s="34">
        <f t="shared" si="44"/>
        <v>0</v>
      </c>
      <c r="F734" s="35">
        <f t="shared" si="45"/>
        <v>130.16453999534298</v>
      </c>
      <c r="G734" s="36" t="str">
        <f t="shared" si="46"/>
        <v>2024-12</v>
      </c>
    </row>
    <row r="735" spans="1:7" x14ac:dyDescent="0.25">
      <c r="A735" s="37">
        <v>45629</v>
      </c>
      <c r="B735" s="38">
        <v>143634.7476</v>
      </c>
      <c r="C735" s="39">
        <f t="shared" si="47"/>
        <v>3.465621516536066E-3</v>
      </c>
      <c r="D735" s="38">
        <f>MAX($B$2:B735)</f>
        <v>143634.7476</v>
      </c>
      <c r="E735" s="40">
        <f t="shared" si="44"/>
        <v>0</v>
      </c>
      <c r="F735" s="41">
        <f t="shared" si="45"/>
        <v>130.61564102584086</v>
      </c>
      <c r="G735" s="42" t="str">
        <f t="shared" si="46"/>
        <v>2024-12</v>
      </c>
    </row>
    <row r="736" spans="1:7" x14ac:dyDescent="0.25">
      <c r="A736" s="31">
        <v>45630</v>
      </c>
      <c r="B736" s="32">
        <v>145392.5019</v>
      </c>
      <c r="C736" s="33">
        <f t="shared" si="47"/>
        <v>1.2237667621313175E-2</v>
      </c>
      <c r="D736" s="32">
        <f>MAX($B$2:B736)</f>
        <v>145392.5019</v>
      </c>
      <c r="E736" s="34">
        <f t="shared" si="44"/>
        <v>0</v>
      </c>
      <c r="F736" s="35">
        <f t="shared" si="45"/>
        <v>132.21407182685982</v>
      </c>
      <c r="G736" s="36" t="str">
        <f t="shared" si="46"/>
        <v>2024-12</v>
      </c>
    </row>
    <row r="737" spans="1:7" x14ac:dyDescent="0.25">
      <c r="A737" s="37">
        <v>45631</v>
      </c>
      <c r="B737" s="38">
        <v>146045.2402</v>
      </c>
      <c r="C737" s="39">
        <f t="shared" si="47"/>
        <v>4.4894908022763413E-3</v>
      </c>
      <c r="D737" s="38">
        <f>MAX($B$2:B737)</f>
        <v>146045.2402</v>
      </c>
      <c r="E737" s="40">
        <f t="shared" si="44"/>
        <v>0</v>
      </c>
      <c r="F737" s="41">
        <f t="shared" si="45"/>
        <v>132.80764568625801</v>
      </c>
      <c r="G737" s="42" t="str">
        <f t="shared" si="46"/>
        <v>2024-12</v>
      </c>
    </row>
    <row r="738" spans="1:7" x14ac:dyDescent="0.25">
      <c r="A738" s="31">
        <v>45632</v>
      </c>
      <c r="B738" s="32">
        <v>147370.0569</v>
      </c>
      <c r="C738" s="33">
        <f t="shared" si="47"/>
        <v>9.0712761209179593E-3</v>
      </c>
      <c r="D738" s="32">
        <f>MAX($B$2:B738)</f>
        <v>147370.0569</v>
      </c>
      <c r="E738" s="34">
        <f t="shared" si="44"/>
        <v>0</v>
      </c>
      <c r="F738" s="35">
        <f t="shared" si="45"/>
        <v>134.01238051124713</v>
      </c>
      <c r="G738" s="36" t="str">
        <f t="shared" si="46"/>
        <v>2024-12</v>
      </c>
    </row>
    <row r="739" spans="1:7" x14ac:dyDescent="0.25">
      <c r="A739" s="37">
        <v>45635</v>
      </c>
      <c r="B739" s="38">
        <v>146927.54860000001</v>
      </c>
      <c r="C739" s="39">
        <f t="shared" si="47"/>
        <v>-3.0027015616901354E-3</v>
      </c>
      <c r="D739" s="38">
        <f>MAX($B$2:B739)</f>
        <v>147370.0569</v>
      </c>
      <c r="E739" s="40">
        <f t="shared" si="44"/>
        <v>-3.0027015616901354E-3</v>
      </c>
      <c r="F739" s="41">
        <f t="shared" si="45"/>
        <v>133.60998132700018</v>
      </c>
      <c r="G739" s="42" t="str">
        <f t="shared" si="46"/>
        <v>2024-12</v>
      </c>
    </row>
    <row r="740" spans="1:7" x14ac:dyDescent="0.25">
      <c r="A740" s="31">
        <v>45636</v>
      </c>
      <c r="B740" s="32">
        <v>146573.4376</v>
      </c>
      <c r="C740" s="33">
        <f t="shared" si="47"/>
        <v>-2.4101062283700125E-3</v>
      </c>
      <c r="D740" s="32">
        <f>MAX($B$2:B740)</f>
        <v>147370.0569</v>
      </c>
      <c r="E740" s="34">
        <f t="shared" si="44"/>
        <v>-5.4055709603243463E-3</v>
      </c>
      <c r="F740" s="35">
        <f t="shared" si="45"/>
        <v>133.2879670788316</v>
      </c>
      <c r="G740" s="36" t="str">
        <f t="shared" si="46"/>
        <v>2024-12</v>
      </c>
    </row>
    <row r="741" spans="1:7" x14ac:dyDescent="0.25">
      <c r="A741" s="37">
        <v>45637</v>
      </c>
      <c r="B741" s="38">
        <v>149311.24369999999</v>
      </c>
      <c r="C741" s="39">
        <f t="shared" si="47"/>
        <v>1.8678732960275335E-2</v>
      </c>
      <c r="D741" s="38">
        <f>MAX($B$2:B741)</f>
        <v>149311.24369999999</v>
      </c>
      <c r="E741" s="40">
        <f t="shared" si="44"/>
        <v>0</v>
      </c>
      <c r="F741" s="41">
        <f t="shared" si="45"/>
        <v>135.77761742271505</v>
      </c>
      <c r="G741" s="42" t="str">
        <f t="shared" si="46"/>
        <v>2024-12</v>
      </c>
    </row>
    <row r="742" spans="1:7" x14ac:dyDescent="0.25">
      <c r="A742" s="31">
        <v>45638</v>
      </c>
      <c r="B742" s="32">
        <v>148388.62820000001</v>
      </c>
      <c r="C742" s="33">
        <f t="shared" si="47"/>
        <v>-6.1791428236558366E-3</v>
      </c>
      <c r="D742" s="32">
        <f>MAX($B$2:B742)</f>
        <v>149311.24369999999</v>
      </c>
      <c r="E742" s="34">
        <f t="shared" si="44"/>
        <v>-6.1791428236558366E-3</v>
      </c>
      <c r="F742" s="35">
        <f t="shared" si="45"/>
        <v>134.9386281324044</v>
      </c>
      <c r="G742" s="36" t="str">
        <f t="shared" si="46"/>
        <v>2024-12</v>
      </c>
    </row>
    <row r="743" spans="1:7" x14ac:dyDescent="0.25">
      <c r="A743" s="37">
        <v>45639</v>
      </c>
      <c r="B743" s="38">
        <v>149591.91140000001</v>
      </c>
      <c r="C743" s="39">
        <f t="shared" si="47"/>
        <v>8.1089987460374324E-3</v>
      </c>
      <c r="D743" s="38">
        <f>MAX($B$2:B743)</f>
        <v>149591.91140000001</v>
      </c>
      <c r="E743" s="40">
        <f t="shared" si="44"/>
        <v>0</v>
      </c>
      <c r="F743" s="41">
        <f t="shared" si="45"/>
        <v>136.03284529872207</v>
      </c>
      <c r="G743" s="42" t="str">
        <f t="shared" si="46"/>
        <v>2024-12</v>
      </c>
    </row>
    <row r="744" spans="1:7" x14ac:dyDescent="0.25">
      <c r="A744" s="31">
        <v>45642</v>
      </c>
      <c r="B744" s="32">
        <v>152220.11189999999</v>
      </c>
      <c r="C744" s="33">
        <f t="shared" si="47"/>
        <v>1.7569135091618282E-2</v>
      </c>
      <c r="D744" s="32">
        <f>MAX($B$2:B744)</f>
        <v>152220.11189999999</v>
      </c>
      <c r="E744" s="34">
        <f t="shared" si="44"/>
        <v>0</v>
      </c>
      <c r="F744" s="35">
        <f t="shared" si="45"/>
        <v>138.4228247346725</v>
      </c>
      <c r="G744" s="36" t="str">
        <f t="shared" si="46"/>
        <v>2024-12</v>
      </c>
    </row>
    <row r="745" spans="1:7" x14ac:dyDescent="0.25">
      <c r="A745" s="37">
        <v>45643</v>
      </c>
      <c r="B745" s="38">
        <v>152618.63310000001</v>
      </c>
      <c r="C745" s="39">
        <f t="shared" si="47"/>
        <v>2.6180587770281427E-3</v>
      </c>
      <c r="D745" s="38">
        <f>MAX($B$2:B745)</f>
        <v>152618.63310000001</v>
      </c>
      <c r="E745" s="40">
        <f t="shared" si="44"/>
        <v>0</v>
      </c>
      <c r="F745" s="41">
        <f t="shared" si="45"/>
        <v>138.78522382591015</v>
      </c>
      <c r="G745" s="42" t="str">
        <f t="shared" si="46"/>
        <v>2024-12</v>
      </c>
    </row>
    <row r="746" spans="1:7" x14ac:dyDescent="0.25">
      <c r="A746" s="31">
        <v>45644</v>
      </c>
      <c r="B746" s="32">
        <v>146603.8805</v>
      </c>
      <c r="C746" s="33">
        <f t="shared" si="47"/>
        <v>-3.9410342484583638E-2</v>
      </c>
      <c r="D746" s="32">
        <f>MAX($B$2:B746)</f>
        <v>152618.63310000001</v>
      </c>
      <c r="E746" s="34">
        <f t="shared" si="44"/>
        <v>-3.9410342484583638E-2</v>
      </c>
      <c r="F746" s="35">
        <f t="shared" si="45"/>
        <v>133.31565062313143</v>
      </c>
      <c r="G746" s="36" t="str">
        <f t="shared" si="46"/>
        <v>2024-12</v>
      </c>
    </row>
    <row r="747" spans="1:7" x14ac:dyDescent="0.25">
      <c r="A747" s="37">
        <v>45645</v>
      </c>
      <c r="B747" s="38">
        <v>145942.91949999999</v>
      </c>
      <c r="C747" s="39">
        <f t="shared" si="47"/>
        <v>-4.5084822976428907E-3</v>
      </c>
      <c r="D747" s="38">
        <f>MAX($B$2:B747)</f>
        <v>152618.63310000001</v>
      </c>
      <c r="E747" s="40">
        <f t="shared" si="44"/>
        <v>-4.3741143950790762E-2</v>
      </c>
      <c r="F747" s="41">
        <f t="shared" si="45"/>
        <v>132.7145993722983</v>
      </c>
      <c r="G747" s="42" t="str">
        <f t="shared" si="46"/>
        <v>2024-12</v>
      </c>
    </row>
    <row r="748" spans="1:7" x14ac:dyDescent="0.25">
      <c r="A748" s="31">
        <v>45646</v>
      </c>
      <c r="B748" s="32">
        <v>146937.10209999999</v>
      </c>
      <c r="C748" s="33">
        <f t="shared" si="47"/>
        <v>6.8121331504540361E-3</v>
      </c>
      <c r="D748" s="32">
        <f>MAX($B$2:B748)</f>
        <v>152618.63310000001</v>
      </c>
      <c r="E748" s="34">
        <f t="shared" si="44"/>
        <v>-3.7226981297082684E-2</v>
      </c>
      <c r="F748" s="35">
        <f t="shared" si="45"/>
        <v>133.61866889423158</v>
      </c>
      <c r="G748" s="36" t="str">
        <f t="shared" si="46"/>
        <v>2024-12</v>
      </c>
    </row>
    <row r="749" spans="1:7" x14ac:dyDescent="0.25">
      <c r="A749" s="37">
        <v>45649</v>
      </c>
      <c r="B749" s="38">
        <v>148537.69779999999</v>
      </c>
      <c r="C749" s="39">
        <f t="shared" si="47"/>
        <v>1.0893067013875823E-2</v>
      </c>
      <c r="D749" s="38">
        <f>MAX($B$2:B749)</f>
        <v>152618.63310000001</v>
      </c>
      <c r="E749" s="40">
        <f t="shared" si="44"/>
        <v>-2.6739430285200316E-2</v>
      </c>
      <c r="F749" s="41">
        <f t="shared" si="45"/>
        <v>135.07418600880132</v>
      </c>
      <c r="G749" s="42" t="str">
        <f t="shared" si="46"/>
        <v>2024-12</v>
      </c>
    </row>
    <row r="750" spans="1:7" x14ac:dyDescent="0.25">
      <c r="A750" s="31">
        <v>45650</v>
      </c>
      <c r="B750" s="32">
        <v>151241.11259999999</v>
      </c>
      <c r="C750" s="33">
        <f t="shared" si="47"/>
        <v>1.8200193217213112E-2</v>
      </c>
      <c r="D750" s="32">
        <f>MAX($B$2:B750)</f>
        <v>152618.63310000001</v>
      </c>
      <c r="E750" s="34">
        <f t="shared" si="44"/>
        <v>-9.0258998656961298E-3</v>
      </c>
      <c r="F750" s="35">
        <f t="shared" si="45"/>
        <v>137.53256229281928</v>
      </c>
      <c r="G750" s="36" t="str">
        <f t="shared" si="46"/>
        <v>2024-12</v>
      </c>
    </row>
    <row r="751" spans="1:7" x14ac:dyDescent="0.25">
      <c r="A751" s="37">
        <v>45652</v>
      </c>
      <c r="B751" s="38">
        <v>150695.6637</v>
      </c>
      <c r="C751" s="39">
        <f t="shared" si="47"/>
        <v>-3.6064856349118379E-3</v>
      </c>
      <c r="D751" s="38">
        <f>MAX($B$2:B751)</f>
        <v>152618.63310000001</v>
      </c>
      <c r="E751" s="40">
        <f t="shared" si="44"/>
        <v>-1.2599833722400144E-2</v>
      </c>
      <c r="F751" s="41">
        <f t="shared" si="45"/>
        <v>137.0365530825776</v>
      </c>
      <c r="G751" s="42" t="str">
        <f t="shared" si="46"/>
        <v>2024-12</v>
      </c>
    </row>
    <row r="752" spans="1:7" x14ac:dyDescent="0.25">
      <c r="A752" s="31">
        <v>45653</v>
      </c>
      <c r="B752" s="32">
        <v>147980.99619999999</v>
      </c>
      <c r="C752" s="33">
        <f t="shared" si="47"/>
        <v>-1.8014237658518728E-2</v>
      </c>
      <c r="D752" s="32">
        <f>MAX($B$2:B752)</f>
        <v>152618.63310000001</v>
      </c>
      <c r="E752" s="34">
        <f t="shared" si="44"/>
        <v>-3.0387094981785712E-2</v>
      </c>
      <c r="F752" s="35">
        <f t="shared" si="45"/>
        <v>134.56794404744383</v>
      </c>
      <c r="G752" s="36" t="str">
        <f t="shared" si="46"/>
        <v>2024-12</v>
      </c>
    </row>
    <row r="753" spans="1:7" x14ac:dyDescent="0.25">
      <c r="A753" s="37">
        <v>45656</v>
      </c>
      <c r="B753" s="38">
        <v>145888.40349999999</v>
      </c>
      <c r="C753" s="39">
        <f t="shared" si="47"/>
        <v>-1.4140955620894791E-2</v>
      </c>
      <c r="D753" s="38">
        <f>MAX($B$2:B753)</f>
        <v>152618.63310000001</v>
      </c>
      <c r="E753" s="40">
        <f t="shared" si="44"/>
        <v>-4.4098348041095248E-2</v>
      </c>
      <c r="F753" s="41">
        <f t="shared" si="45"/>
        <v>132.66502472267388</v>
      </c>
      <c r="G753" s="42" t="str">
        <f t="shared" si="46"/>
        <v>2024-12</v>
      </c>
    </row>
    <row r="754" spans="1:7" x14ac:dyDescent="0.25">
      <c r="A754" s="31">
        <v>45657</v>
      </c>
      <c r="B754" s="32">
        <v>144260.9847</v>
      </c>
      <c r="C754" s="33">
        <f t="shared" si="47"/>
        <v>-1.1155230717155518E-2</v>
      </c>
      <c r="D754" s="32">
        <f>MAX($B$2:B754)</f>
        <v>152618.63310000001</v>
      </c>
      <c r="E754" s="34">
        <f t="shared" si="44"/>
        <v>-5.4761651511606946E-2</v>
      </c>
      <c r="F754" s="35">
        <f t="shared" si="45"/>
        <v>131.1851157637953</v>
      </c>
      <c r="G754" s="36" t="str">
        <f t="shared" si="46"/>
        <v>2024-12</v>
      </c>
    </row>
    <row r="755" spans="1:7" x14ac:dyDescent="0.25">
      <c r="A755" s="37">
        <v>45659</v>
      </c>
      <c r="B755" s="38">
        <v>143258.76620000001</v>
      </c>
      <c r="C755" s="39">
        <f t="shared" si="47"/>
        <v>-6.9472595247022095E-3</v>
      </c>
      <c r="D755" s="38">
        <f>MAX($B$2:B755)</f>
        <v>152618.63310000001</v>
      </c>
      <c r="E755" s="40">
        <f t="shared" si="44"/>
        <v>-6.1328467631256656E-2</v>
      </c>
      <c r="F755" s="41">
        <f t="shared" si="45"/>
        <v>130.27373871880613</v>
      </c>
      <c r="G755" s="42" t="str">
        <f t="shared" si="46"/>
        <v>2025-01</v>
      </c>
    </row>
    <row r="756" spans="1:7" x14ac:dyDescent="0.25">
      <c r="A756" s="31">
        <v>45660</v>
      </c>
      <c r="B756" s="32">
        <v>146681.39350000001</v>
      </c>
      <c r="C756" s="33">
        <f t="shared" si="47"/>
        <v>2.3891224186740168E-2</v>
      </c>
      <c r="D756" s="32">
        <f>MAX($B$2:B756)</f>
        <v>152618.63310000001</v>
      </c>
      <c r="E756" s="34">
        <f t="shared" si="44"/>
        <v>-3.8902455613724185E-2</v>
      </c>
      <c r="F756" s="35">
        <f t="shared" si="45"/>
        <v>133.38613781618193</v>
      </c>
      <c r="G756" s="36" t="str">
        <f t="shared" si="46"/>
        <v>2025-01</v>
      </c>
    </row>
    <row r="757" spans="1:7" x14ac:dyDescent="0.25">
      <c r="A757" s="37">
        <v>45663</v>
      </c>
      <c r="B757" s="38">
        <v>148945.37539999999</v>
      </c>
      <c r="C757" s="39">
        <f t="shared" si="47"/>
        <v>1.5434690426499031E-2</v>
      </c>
      <c r="D757" s="38">
        <f>MAX($B$2:B757)</f>
        <v>152618.63310000001</v>
      </c>
      <c r="E757" s="40">
        <f t="shared" si="44"/>
        <v>-2.4068212546453638E-2</v>
      </c>
      <c r="F757" s="41">
        <f t="shared" si="45"/>
        <v>135.44491156056102</v>
      </c>
      <c r="G757" s="42" t="str">
        <f t="shared" si="46"/>
        <v>2025-01</v>
      </c>
    </row>
    <row r="758" spans="1:7" x14ac:dyDescent="0.25">
      <c r="A758" s="31">
        <v>45664</v>
      </c>
      <c r="B758" s="32">
        <v>145942.6624</v>
      </c>
      <c r="C758" s="33">
        <f t="shared" si="47"/>
        <v>-2.0159826996548613E-2</v>
      </c>
      <c r="D758" s="32">
        <f>MAX($B$2:B758)</f>
        <v>152618.63310000001</v>
      </c>
      <c r="E758" s="34">
        <f t="shared" si="44"/>
        <v>-4.3742828541949552E-2</v>
      </c>
      <c r="F758" s="35">
        <f t="shared" si="45"/>
        <v>132.71436557593728</v>
      </c>
      <c r="G758" s="36" t="str">
        <f t="shared" si="46"/>
        <v>2025-01</v>
      </c>
    </row>
    <row r="759" spans="1:7" x14ac:dyDescent="0.25">
      <c r="A759" s="37">
        <v>45665</v>
      </c>
      <c r="B759" s="38">
        <v>145802.79579999999</v>
      </c>
      <c r="C759" s="39">
        <f t="shared" si="47"/>
        <v>-9.5836678391314489E-4</v>
      </c>
      <c r="D759" s="38">
        <f>MAX($B$2:B759)</f>
        <v>152618.63310000001</v>
      </c>
      <c r="E759" s="40">
        <f t="shared" si="44"/>
        <v>-4.4659273651953657E-2</v>
      </c>
      <c r="F759" s="41">
        <f t="shared" si="45"/>
        <v>132.58717653622119</v>
      </c>
      <c r="G759" s="42" t="str">
        <f t="shared" si="46"/>
        <v>2025-01</v>
      </c>
    </row>
    <row r="760" spans="1:7" x14ac:dyDescent="0.25">
      <c r="A760" s="31">
        <v>45667</v>
      </c>
      <c r="B760" s="32">
        <v>143972.81200000001</v>
      </c>
      <c r="C760" s="33">
        <f t="shared" si="47"/>
        <v>-1.2551088543666933E-2</v>
      </c>
      <c r="D760" s="32">
        <f>MAX($B$2:B760)</f>
        <v>152618.63310000001</v>
      </c>
      <c r="E760" s="34">
        <f t="shared" si="44"/>
        <v>-5.6649839697719084E-2</v>
      </c>
      <c r="F760" s="35">
        <f t="shared" si="45"/>
        <v>130.92306314376029</v>
      </c>
      <c r="G760" s="36" t="str">
        <f t="shared" si="46"/>
        <v>2025-01</v>
      </c>
    </row>
    <row r="761" spans="1:7" x14ac:dyDescent="0.25">
      <c r="A761" s="37">
        <v>45670</v>
      </c>
      <c r="B761" s="38">
        <v>143459.0073</v>
      </c>
      <c r="C761" s="39">
        <f t="shared" si="47"/>
        <v>-3.5687619965358852E-3</v>
      </c>
      <c r="D761" s="38">
        <f>MAX($B$2:B761)</f>
        <v>152618.63310000001</v>
      </c>
      <c r="E761" s="40">
        <f t="shared" si="44"/>
        <v>-6.0016431899231892E-2</v>
      </c>
      <c r="F761" s="41">
        <f t="shared" si="45"/>
        <v>130.45582989154275</v>
      </c>
      <c r="G761" s="42" t="str">
        <f t="shared" si="46"/>
        <v>2025-01</v>
      </c>
    </row>
    <row r="762" spans="1:7" x14ac:dyDescent="0.25">
      <c r="A762" s="31">
        <v>45671</v>
      </c>
      <c r="B762" s="32">
        <v>143226.76370000001</v>
      </c>
      <c r="C762" s="33">
        <f t="shared" si="47"/>
        <v>-1.618884755798744E-3</v>
      </c>
      <c r="D762" s="32">
        <f>MAX($B$2:B762)</f>
        <v>152618.63310000001</v>
      </c>
      <c r="E762" s="34">
        <f t="shared" si="44"/>
        <v>-6.1538156968331537E-2</v>
      </c>
      <c r="F762" s="35">
        <f t="shared" si="45"/>
        <v>130.24463693722629</v>
      </c>
      <c r="G762" s="36" t="str">
        <f t="shared" si="46"/>
        <v>2025-01</v>
      </c>
    </row>
    <row r="763" spans="1:7" x14ac:dyDescent="0.25">
      <c r="A763" s="37">
        <v>45672</v>
      </c>
      <c r="B763" s="38">
        <v>147817.54</v>
      </c>
      <c r="C763" s="39">
        <f t="shared" si="47"/>
        <v>3.205250318729358E-2</v>
      </c>
      <c r="D763" s="38">
        <f>MAX($B$2:B763)</f>
        <v>152618.63310000001</v>
      </c>
      <c r="E763" s="40">
        <f t="shared" si="44"/>
        <v>-3.1458105753405574E-2</v>
      </c>
      <c r="F763" s="41">
        <f t="shared" si="45"/>
        <v>134.41930357778463</v>
      </c>
      <c r="G763" s="42" t="str">
        <f t="shared" si="46"/>
        <v>2025-01</v>
      </c>
    </row>
    <row r="764" spans="1:7" x14ac:dyDescent="0.25">
      <c r="A764" s="31">
        <v>45673</v>
      </c>
      <c r="B764" s="32">
        <v>146559.67670000001</v>
      </c>
      <c r="C764" s="33">
        <f t="shared" si="47"/>
        <v>-8.5095672678627832E-3</v>
      </c>
      <c r="D764" s="32">
        <f>MAX($B$2:B764)</f>
        <v>152618.63310000001</v>
      </c>
      <c r="E764" s="34">
        <f t="shared" si="44"/>
        <v>-3.9699978154240201E-2</v>
      </c>
      <c r="F764" s="35">
        <f t="shared" si="45"/>
        <v>133.27545347189022</v>
      </c>
      <c r="G764" s="36" t="str">
        <f t="shared" si="46"/>
        <v>2025-01</v>
      </c>
    </row>
    <row r="765" spans="1:7" x14ac:dyDescent="0.25">
      <c r="A765" s="37">
        <v>45674</v>
      </c>
      <c r="B765" s="38">
        <v>148578.93359999999</v>
      </c>
      <c r="C765" s="39">
        <f t="shared" si="47"/>
        <v>1.3777711205881671E-2</v>
      </c>
      <c r="D765" s="38">
        <f>MAX($B$2:B765)</f>
        <v>152618.63310000001</v>
      </c>
      <c r="E765" s="40">
        <f t="shared" si="44"/>
        <v>-2.6469241782247521E-2</v>
      </c>
      <c r="F765" s="41">
        <f t="shared" si="45"/>
        <v>135.11168418065881</v>
      </c>
      <c r="G765" s="42" t="str">
        <f t="shared" si="46"/>
        <v>2025-01</v>
      </c>
    </row>
    <row r="766" spans="1:7" x14ac:dyDescent="0.25">
      <c r="A766" s="31">
        <v>45678</v>
      </c>
      <c r="B766" s="32">
        <v>149600.4448</v>
      </c>
      <c r="C766" s="33">
        <f t="shared" si="47"/>
        <v>6.8752088553152291E-3</v>
      </c>
      <c r="D766" s="32">
        <f>MAX($B$2:B766)</f>
        <v>152618.63310000001</v>
      </c>
      <c r="E766" s="34">
        <f t="shared" si="44"/>
        <v>-1.9776014492427052E-2</v>
      </c>
      <c r="F766" s="35">
        <f t="shared" si="45"/>
        <v>136.04060522819424</v>
      </c>
      <c r="G766" s="36" t="str">
        <f t="shared" si="46"/>
        <v>2025-01</v>
      </c>
    </row>
    <row r="767" spans="1:7" x14ac:dyDescent="0.25">
      <c r="A767" s="37">
        <v>45679</v>
      </c>
      <c r="B767" s="38">
        <v>151002.64569999999</v>
      </c>
      <c r="C767" s="39">
        <f t="shared" si="47"/>
        <v>9.3729728001450408E-3</v>
      </c>
      <c r="D767" s="38">
        <f>MAX($B$2:B767)</f>
        <v>152618.63310000001</v>
      </c>
      <c r="E767" s="40">
        <f t="shared" si="44"/>
        <v>-1.0588401738214848E-2</v>
      </c>
      <c r="F767" s="41">
        <f t="shared" si="45"/>
        <v>137.31571012071336</v>
      </c>
      <c r="G767" s="42" t="str">
        <f t="shared" si="46"/>
        <v>2025-01</v>
      </c>
    </row>
    <row r="768" spans="1:7" x14ac:dyDescent="0.25">
      <c r="A768" s="31">
        <v>45680</v>
      </c>
      <c r="B768" s="32">
        <v>151139.16469999999</v>
      </c>
      <c r="C768" s="33">
        <f t="shared" si="47"/>
        <v>9.0408349712767233E-4</v>
      </c>
      <c r="D768" s="32">
        <f>MAX($B$2:B768)</f>
        <v>152618.63310000001</v>
      </c>
      <c r="E768" s="34">
        <f t="shared" si="44"/>
        <v>-9.6938910403595591E-3</v>
      </c>
      <c r="F768" s="35">
        <f t="shared" si="45"/>
        <v>137.43985498812987</v>
      </c>
      <c r="G768" s="36" t="str">
        <f t="shared" si="46"/>
        <v>2025-01</v>
      </c>
    </row>
    <row r="769" spans="1:7" x14ac:dyDescent="0.25">
      <c r="A769" s="37">
        <v>45681</v>
      </c>
      <c r="B769" s="38">
        <v>150223.9394</v>
      </c>
      <c r="C769" s="39">
        <f t="shared" si="47"/>
        <v>-6.0555138161352273E-3</v>
      </c>
      <c r="D769" s="38">
        <f>MAX($B$2:B769)</f>
        <v>152618.63310000001</v>
      </c>
      <c r="E769" s="40">
        <f t="shared" si="44"/>
        <v>-1.569070336536782E-2</v>
      </c>
      <c r="F769" s="41">
        <f t="shared" si="45"/>
        <v>136.60758604736162</v>
      </c>
      <c r="G769" s="42" t="str">
        <f t="shared" si="46"/>
        <v>2025-01</v>
      </c>
    </row>
    <row r="770" spans="1:7" x14ac:dyDescent="0.25">
      <c r="A770" s="31">
        <v>45684</v>
      </c>
      <c r="B770" s="32">
        <v>145168.75399999999</v>
      </c>
      <c r="C770" s="33">
        <f t="shared" si="47"/>
        <v>-3.3650997438827712E-2</v>
      </c>
      <c r="D770" s="32">
        <f>MAX($B$2:B770)</f>
        <v>152618.63310000001</v>
      </c>
      <c r="E770" s="34">
        <f t="shared" ref="E770:E833" si="48">B770/D770-1</f>
        <v>-4.8813692985434143E-2</v>
      </c>
      <c r="F770" s="35">
        <f t="shared" ref="F770:F833" si="49">B770/$B$2*100</f>
        <v>132.01060451915743</v>
      </c>
      <c r="G770" s="36" t="str">
        <f t="shared" ref="G770:G833" si="50">TEXT(A770,"YYYY-MM")</f>
        <v>2025-01</v>
      </c>
    </row>
    <row r="771" spans="1:7" x14ac:dyDescent="0.25">
      <c r="A771" s="37">
        <v>45685</v>
      </c>
      <c r="B771" s="38">
        <v>148012.57370000001</v>
      </c>
      <c r="C771" s="39">
        <f t="shared" ref="C771:C834" si="51">B771/B770-1</f>
        <v>1.9589750698004949E-2</v>
      </c>
      <c r="D771" s="38">
        <f>MAX($B$2:B771)</f>
        <v>152618.63310000001</v>
      </c>
      <c r="E771" s="40">
        <f t="shared" si="48"/>
        <v>-3.0180190363662707E-2</v>
      </c>
      <c r="F771" s="41">
        <f t="shared" si="49"/>
        <v>134.59665935118065</v>
      </c>
      <c r="G771" s="42" t="str">
        <f t="shared" si="50"/>
        <v>2025-01</v>
      </c>
    </row>
    <row r="772" spans="1:7" x14ac:dyDescent="0.25">
      <c r="A772" s="31">
        <v>45686</v>
      </c>
      <c r="B772" s="32">
        <v>147088.47560000001</v>
      </c>
      <c r="C772" s="33">
        <f t="shared" si="51"/>
        <v>-6.2433756599152845E-3</v>
      </c>
      <c r="D772" s="32">
        <f>MAX($B$2:B772)</f>
        <v>152618.63310000001</v>
      </c>
      <c r="E772" s="34">
        <f t="shared" si="48"/>
        <v>-3.6235139757649915E-2</v>
      </c>
      <c r="F772" s="35">
        <f t="shared" si="49"/>
        <v>133.75632184428156</v>
      </c>
      <c r="G772" s="36" t="str">
        <f t="shared" si="50"/>
        <v>2025-01</v>
      </c>
    </row>
    <row r="773" spans="1:7" x14ac:dyDescent="0.25">
      <c r="A773" s="37">
        <v>45687</v>
      </c>
      <c r="B773" s="38">
        <v>147488.7763</v>
      </c>
      <c r="C773" s="39">
        <f t="shared" si="51"/>
        <v>2.7214960136550115E-3</v>
      </c>
      <c r="D773" s="38">
        <f>MAX($B$2:B773)</f>
        <v>152618.63310000001</v>
      </c>
      <c r="E773" s="40">
        <f t="shared" si="48"/>
        <v>-3.3612257532399603E-2</v>
      </c>
      <c r="F773" s="41">
        <f t="shared" si="49"/>
        <v>134.12033914098194</v>
      </c>
      <c r="G773" s="42" t="str">
        <f t="shared" si="50"/>
        <v>2025-01</v>
      </c>
    </row>
    <row r="774" spans="1:7" x14ac:dyDescent="0.25">
      <c r="A774" s="31">
        <v>45688</v>
      </c>
      <c r="B774" s="32">
        <v>147175.73970000001</v>
      </c>
      <c r="C774" s="33">
        <f t="shared" si="51"/>
        <v>-2.1224435367425132E-3</v>
      </c>
      <c r="D774" s="32">
        <f>MAX($B$2:B774)</f>
        <v>152618.63310000001</v>
      </c>
      <c r="E774" s="34">
        <f t="shared" si="48"/>
        <v>-3.5663360950387135E-2</v>
      </c>
      <c r="F774" s="35">
        <f t="shared" si="49"/>
        <v>133.83567629402646</v>
      </c>
      <c r="G774" s="36" t="str">
        <f t="shared" si="50"/>
        <v>2025-01</v>
      </c>
    </row>
    <row r="775" spans="1:7" x14ac:dyDescent="0.25">
      <c r="A775" s="37">
        <v>45691</v>
      </c>
      <c r="B775" s="38">
        <v>144350.3671</v>
      </c>
      <c r="C775" s="39">
        <f t="shared" si="51"/>
        <v>-1.91972712741868E-2</v>
      </c>
      <c r="D775" s="38">
        <f>MAX($B$2:B775)</f>
        <v>152618.63310000001</v>
      </c>
      <c r="E775" s="40">
        <f t="shared" si="48"/>
        <v>-5.4175993009860091E-2</v>
      </c>
      <c r="F775" s="41">
        <f t="shared" si="49"/>
        <v>131.26639651004578</v>
      </c>
      <c r="G775" s="42" t="str">
        <f t="shared" si="50"/>
        <v>2025-02</v>
      </c>
    </row>
    <row r="776" spans="1:7" x14ac:dyDescent="0.25">
      <c r="A776" s="31">
        <v>45692</v>
      </c>
      <c r="B776" s="32">
        <v>146202.58230000001</v>
      </c>
      <c r="C776" s="33">
        <f t="shared" si="51"/>
        <v>1.2831385449244337E-2</v>
      </c>
      <c r="D776" s="32">
        <f>MAX($B$2:B776)</f>
        <v>152618.63310000001</v>
      </c>
      <c r="E776" s="34">
        <f t="shared" si="48"/>
        <v>-4.2039760609020926E-2</v>
      </c>
      <c r="F776" s="35">
        <f t="shared" si="49"/>
        <v>132.95072624019951</v>
      </c>
      <c r="G776" s="36" t="str">
        <f t="shared" si="50"/>
        <v>2025-02</v>
      </c>
    </row>
    <row r="777" spans="1:7" x14ac:dyDescent="0.25">
      <c r="A777" s="37">
        <v>45693</v>
      </c>
      <c r="B777" s="38">
        <v>145925.98980000001</v>
      </c>
      <c r="C777" s="39">
        <f t="shared" si="51"/>
        <v>-1.8918441497322025E-3</v>
      </c>
      <c r="D777" s="38">
        <f>MAX($B$2:B777)</f>
        <v>152618.63310000001</v>
      </c>
      <c r="E777" s="40">
        <f t="shared" si="48"/>
        <v>-4.3852072083588878E-2</v>
      </c>
      <c r="F777" s="41">
        <f t="shared" si="49"/>
        <v>132.69920418655934</v>
      </c>
      <c r="G777" s="42" t="str">
        <f t="shared" si="50"/>
        <v>2025-02</v>
      </c>
    </row>
    <row r="778" spans="1:7" x14ac:dyDescent="0.25">
      <c r="A778" s="31">
        <v>45694</v>
      </c>
      <c r="B778" s="32">
        <v>146444.6159</v>
      </c>
      <c r="C778" s="33">
        <f t="shared" si="51"/>
        <v>3.5540351702312289E-3</v>
      </c>
      <c r="D778" s="32">
        <f>MAX($B$2:B778)</f>
        <v>152618.63310000001</v>
      </c>
      <c r="E778" s="34">
        <f t="shared" si="48"/>
        <v>-4.0453888719830244E-2</v>
      </c>
      <c r="F778" s="35">
        <f t="shared" si="49"/>
        <v>133.17082182530007</v>
      </c>
      <c r="G778" s="36" t="str">
        <f t="shared" si="50"/>
        <v>2025-02</v>
      </c>
    </row>
    <row r="779" spans="1:7" x14ac:dyDescent="0.25">
      <c r="A779" s="37">
        <v>45695</v>
      </c>
      <c r="B779" s="38">
        <v>144193.2408</v>
      </c>
      <c r="C779" s="39">
        <f t="shared" si="51"/>
        <v>-1.5373560073641546E-2</v>
      </c>
      <c r="D779" s="38">
        <f>MAX($B$2:B779)</f>
        <v>152618.63310000001</v>
      </c>
      <c r="E779" s="40">
        <f t="shared" si="48"/>
        <v>-5.5205528505025026E-2</v>
      </c>
      <c r="F779" s="41">
        <f t="shared" si="49"/>
        <v>131.12351219591261</v>
      </c>
      <c r="G779" s="42" t="str">
        <f t="shared" si="50"/>
        <v>2025-02</v>
      </c>
    </row>
    <row r="780" spans="1:7" x14ac:dyDescent="0.25">
      <c r="A780" s="31">
        <v>45698</v>
      </c>
      <c r="B780" s="32">
        <v>144839.60250000001</v>
      </c>
      <c r="C780" s="33">
        <f t="shared" si="51"/>
        <v>4.4826074815569328E-3</v>
      </c>
      <c r="D780" s="32">
        <f>MAX($B$2:B780)</f>
        <v>152618.63310000001</v>
      </c>
      <c r="E780" s="34">
        <f t="shared" si="48"/>
        <v>-5.0970385738568158E-2</v>
      </c>
      <c r="F780" s="35">
        <f t="shared" si="49"/>
        <v>131.71128743269</v>
      </c>
      <c r="G780" s="36" t="str">
        <f t="shared" si="50"/>
        <v>2025-02</v>
      </c>
    </row>
    <row r="781" spans="1:7" x14ac:dyDescent="0.25">
      <c r="A781" s="37">
        <v>45699</v>
      </c>
      <c r="B781" s="38">
        <v>143794.927</v>
      </c>
      <c r="C781" s="39">
        <f t="shared" si="51"/>
        <v>-7.2126371653085108E-3</v>
      </c>
      <c r="D781" s="38">
        <f>MAX($B$2:B781)</f>
        <v>152618.63310000001</v>
      </c>
      <c r="E781" s="40">
        <f t="shared" si="48"/>
        <v>-5.781539200536856E-2</v>
      </c>
      <c r="F781" s="41">
        <f t="shared" si="49"/>
        <v>130.76130170586237</v>
      </c>
      <c r="G781" s="42" t="str">
        <f t="shared" si="50"/>
        <v>2025-02</v>
      </c>
    </row>
    <row r="782" spans="1:7" x14ac:dyDescent="0.25">
      <c r="A782" s="31">
        <v>45700</v>
      </c>
      <c r="B782" s="32">
        <v>143847.66620000001</v>
      </c>
      <c r="C782" s="33">
        <f t="shared" si="51"/>
        <v>3.6676676361468985E-4</v>
      </c>
      <c r="D782" s="32">
        <f>MAX($B$2:B782)</f>
        <v>152618.63310000001</v>
      </c>
      <c r="E782" s="34">
        <f t="shared" si="48"/>
        <v>-5.7469830005966727E-2</v>
      </c>
      <c r="F782" s="35">
        <f t="shared" si="49"/>
        <v>130.80926060529507</v>
      </c>
      <c r="G782" s="36" t="str">
        <f t="shared" si="50"/>
        <v>2025-02</v>
      </c>
    </row>
    <row r="783" spans="1:7" x14ac:dyDescent="0.25">
      <c r="A783" s="37">
        <v>45701</v>
      </c>
      <c r="B783" s="38">
        <v>146568.35269999999</v>
      </c>
      <c r="C783" s="39">
        <f t="shared" si="51"/>
        <v>1.8913664516581274E-2</v>
      </c>
      <c r="D783" s="38">
        <f>MAX($B$2:B783)</f>
        <v>152618.63310000001</v>
      </c>
      <c r="E783" s="40">
        <f t="shared" si="48"/>
        <v>-3.9643130573943086E-2</v>
      </c>
      <c r="F783" s="41">
        <f t="shared" si="49"/>
        <v>133.28334307604567</v>
      </c>
      <c r="G783" s="42" t="str">
        <f t="shared" si="50"/>
        <v>2025-02</v>
      </c>
    </row>
    <row r="784" spans="1:7" x14ac:dyDescent="0.25">
      <c r="A784" s="31">
        <v>45702</v>
      </c>
      <c r="B784" s="32">
        <v>147140.06589999999</v>
      </c>
      <c r="C784" s="33">
        <f t="shared" si="51"/>
        <v>3.9006592451114042E-3</v>
      </c>
      <c r="D784" s="32">
        <f>MAX($B$2:B784)</f>
        <v>152618.63310000001</v>
      </c>
      <c r="E784" s="34">
        <f t="shared" si="48"/>
        <v>-3.5897105672610174E-2</v>
      </c>
      <c r="F784" s="35">
        <f t="shared" si="49"/>
        <v>133.80323598043461</v>
      </c>
      <c r="G784" s="36" t="str">
        <f t="shared" si="50"/>
        <v>2025-02</v>
      </c>
    </row>
    <row r="785" spans="1:7" x14ac:dyDescent="0.25">
      <c r="A785" s="37">
        <v>45706</v>
      </c>
      <c r="B785" s="38">
        <v>147033.9124</v>
      </c>
      <c r="C785" s="39">
        <f t="shared" si="51"/>
        <v>-7.2144523893402646E-4</v>
      </c>
      <c r="D785" s="38">
        <f>MAX($B$2:B785)</f>
        <v>152618.63310000001</v>
      </c>
      <c r="E785" s="40">
        <f t="shared" si="48"/>
        <v>-3.6592653115565144E-2</v>
      </c>
      <c r="F785" s="41">
        <f t="shared" si="49"/>
        <v>133.70670427288255</v>
      </c>
      <c r="G785" s="42" t="str">
        <f t="shared" si="50"/>
        <v>2025-02</v>
      </c>
    </row>
    <row r="786" spans="1:7" x14ac:dyDescent="0.25">
      <c r="A786" s="31">
        <v>45707</v>
      </c>
      <c r="B786" s="32">
        <v>147445.26190000001</v>
      </c>
      <c r="C786" s="33">
        <f t="shared" si="51"/>
        <v>2.7976505099105431E-3</v>
      </c>
      <c r="D786" s="32">
        <f>MAX($B$2:B786)</f>
        <v>152618.63310000001</v>
      </c>
      <c r="E786" s="34">
        <f t="shared" si="48"/>
        <v>-3.3897376060302298E-2</v>
      </c>
      <c r="F786" s="35">
        <f t="shared" si="49"/>
        <v>134.08076890227005</v>
      </c>
      <c r="G786" s="36" t="str">
        <f t="shared" si="50"/>
        <v>2025-02</v>
      </c>
    </row>
    <row r="787" spans="1:7" x14ac:dyDescent="0.25">
      <c r="A787" s="37">
        <v>45708</v>
      </c>
      <c r="B787" s="38">
        <v>146621.5889</v>
      </c>
      <c r="C787" s="39">
        <f t="shared" si="51"/>
        <v>-5.5862968357616172E-3</v>
      </c>
      <c r="D787" s="38">
        <f>MAX($B$2:B787)</f>
        <v>152618.63310000001</v>
      </c>
      <c r="E787" s="40">
        <f t="shared" si="48"/>
        <v>-3.9294312091437522E-2</v>
      </c>
      <c r="F787" s="41">
        <f t="shared" si="49"/>
        <v>133.33175392721483</v>
      </c>
      <c r="G787" s="42" t="str">
        <f t="shared" si="50"/>
        <v>2025-02</v>
      </c>
    </row>
    <row r="788" spans="1:7" x14ac:dyDescent="0.25">
      <c r="A788" s="31">
        <v>45709</v>
      </c>
      <c r="B788" s="32">
        <v>143244.3659</v>
      </c>
      <c r="C788" s="33">
        <f t="shared" si="51"/>
        <v>-2.3033599794798021E-2</v>
      </c>
      <c r="D788" s="32">
        <f>MAX($B$2:B788)</f>
        <v>152618.63310000001</v>
      </c>
      <c r="E788" s="34">
        <f t="shared" si="48"/>
        <v>-6.1422822427309565E-2</v>
      </c>
      <c r="F788" s="35">
        <f t="shared" si="49"/>
        <v>130.26064366731686</v>
      </c>
      <c r="G788" s="36" t="str">
        <f t="shared" si="50"/>
        <v>2025-02</v>
      </c>
    </row>
    <row r="789" spans="1:7" x14ac:dyDescent="0.25">
      <c r="A789" s="37">
        <v>45712</v>
      </c>
      <c r="B789" s="38">
        <v>141610.90640000001</v>
      </c>
      <c r="C789" s="39">
        <f t="shared" si="51"/>
        <v>-1.1403307136982455E-2</v>
      </c>
      <c r="D789" s="38">
        <f>MAX($B$2:B789)</f>
        <v>152618.63310000001</v>
      </c>
      <c r="E789" s="40">
        <f t="shared" si="48"/>
        <v>-7.2125706254932975E-2</v>
      </c>
      <c r="F789" s="41">
        <f t="shared" si="49"/>
        <v>128.77524153971743</v>
      </c>
      <c r="G789" s="42" t="str">
        <f t="shared" si="50"/>
        <v>2025-02</v>
      </c>
    </row>
    <row r="790" spans="1:7" x14ac:dyDescent="0.25">
      <c r="A790" s="31">
        <v>45713</v>
      </c>
      <c r="B790" s="32">
        <v>138981.8034</v>
      </c>
      <c r="C790" s="33">
        <f t="shared" si="51"/>
        <v>-1.8565681604873929E-2</v>
      </c>
      <c r="D790" s="32">
        <f>MAX($B$2:B790)</f>
        <v>152618.63310000001</v>
      </c>
      <c r="E790" s="34">
        <f t="shared" si="48"/>
        <v>-8.9352324961951224E-2</v>
      </c>
      <c r="F790" s="35">
        <f t="shared" si="49"/>
        <v>126.3844414067003</v>
      </c>
      <c r="G790" s="36" t="str">
        <f t="shared" si="50"/>
        <v>2025-02</v>
      </c>
    </row>
    <row r="791" spans="1:7" x14ac:dyDescent="0.25">
      <c r="A791" s="37">
        <v>45714</v>
      </c>
      <c r="B791" s="38">
        <v>139026.8621</v>
      </c>
      <c r="C791" s="39">
        <f t="shared" si="51"/>
        <v>3.2420575138392138E-4</v>
      </c>
      <c r="D791" s="38">
        <f>MAX($B$2:B791)</f>
        <v>152618.63310000001</v>
      </c>
      <c r="E791" s="40">
        <f t="shared" si="48"/>
        <v>-8.905708774821941E-2</v>
      </c>
      <c r="F791" s="41">
        <f t="shared" si="49"/>
        <v>126.42541596948979</v>
      </c>
      <c r="G791" s="42" t="str">
        <f t="shared" si="50"/>
        <v>2025-02</v>
      </c>
    </row>
    <row r="792" spans="1:7" x14ac:dyDescent="0.25">
      <c r="A792" s="31">
        <v>45715</v>
      </c>
      <c r="B792" s="32">
        <v>135385.69159999999</v>
      </c>
      <c r="C792" s="33">
        <f t="shared" si="51"/>
        <v>-2.6190409860369024E-2</v>
      </c>
      <c r="D792" s="32">
        <f>MAX($B$2:B792)</f>
        <v>152618.63310000001</v>
      </c>
      <c r="E792" s="34">
        <f t="shared" si="48"/>
        <v>-0.11291505597949181</v>
      </c>
      <c r="F792" s="35">
        <f t="shared" si="49"/>
        <v>123.11428250848122</v>
      </c>
      <c r="G792" s="36" t="str">
        <f t="shared" si="50"/>
        <v>2025-02</v>
      </c>
    </row>
    <row r="793" spans="1:7" x14ac:dyDescent="0.25">
      <c r="A793" s="37">
        <v>45716</v>
      </c>
      <c r="B793" s="38">
        <v>137781.13399999999</v>
      </c>
      <c r="C793" s="39">
        <f t="shared" si="51"/>
        <v>1.769346798535687E-2</v>
      </c>
      <c r="D793" s="38">
        <f>MAX($B$2:B793)</f>
        <v>152618.63310000001</v>
      </c>
      <c r="E793" s="40">
        <f t="shared" si="48"/>
        <v>-9.721944692217277E-2</v>
      </c>
      <c r="F793" s="41">
        <f t="shared" si="49"/>
        <v>125.29260112458522</v>
      </c>
      <c r="G793" s="42" t="str">
        <f t="shared" si="50"/>
        <v>2025-02</v>
      </c>
    </row>
    <row r="794" spans="1:7" x14ac:dyDescent="0.25">
      <c r="A794" s="31">
        <v>45719</v>
      </c>
      <c r="B794" s="32">
        <v>134156.75210000001</v>
      </c>
      <c r="C794" s="33">
        <f t="shared" si="51"/>
        <v>-2.6305356871282437E-2</v>
      </c>
      <c r="D794" s="32">
        <f>MAX($B$2:B794)</f>
        <v>152618.63310000001</v>
      </c>
      <c r="E794" s="34">
        <f t="shared" si="48"/>
        <v>-0.1209674115473387</v>
      </c>
      <c r="F794" s="35">
        <f t="shared" si="49"/>
        <v>121.99673453867177</v>
      </c>
      <c r="G794" s="36" t="str">
        <f t="shared" si="50"/>
        <v>2025-03</v>
      </c>
    </row>
    <row r="795" spans="1:7" x14ac:dyDescent="0.25">
      <c r="A795" s="37">
        <v>45720</v>
      </c>
      <c r="B795" s="38">
        <v>133337.4999</v>
      </c>
      <c r="C795" s="39">
        <f t="shared" si="51"/>
        <v>-6.1066788452760479E-3</v>
      </c>
      <c r="D795" s="38">
        <f>MAX($B$2:B795)</f>
        <v>152618.63310000001</v>
      </c>
      <c r="E795" s="40">
        <f t="shared" si="48"/>
        <v>-0.12633538125955091</v>
      </c>
      <c r="F795" s="41">
        <f t="shared" si="49"/>
        <v>121.25173966067169</v>
      </c>
      <c r="G795" s="42" t="str">
        <f t="shared" si="50"/>
        <v>2025-03</v>
      </c>
    </row>
    <row r="796" spans="1:7" x14ac:dyDescent="0.25">
      <c r="A796" s="31">
        <v>45721</v>
      </c>
      <c r="B796" s="32">
        <v>135528.5233</v>
      </c>
      <c r="C796" s="33">
        <f t="shared" si="51"/>
        <v>1.6432162007261386E-2</v>
      </c>
      <c r="D796" s="32">
        <f>MAX($B$2:B796)</f>
        <v>152618.63310000001</v>
      </c>
      <c r="E796" s="34">
        <f t="shared" si="48"/>
        <v>-0.11197918270439555</v>
      </c>
      <c r="F796" s="35">
        <f t="shared" si="49"/>
        <v>123.24416789043815</v>
      </c>
      <c r="G796" s="36" t="str">
        <f t="shared" si="50"/>
        <v>2025-03</v>
      </c>
    </row>
    <row r="797" spans="1:7" x14ac:dyDescent="0.25">
      <c r="A797" s="37">
        <v>45722</v>
      </c>
      <c r="B797" s="38">
        <v>132109.92079999999</v>
      </c>
      <c r="C797" s="39">
        <f t="shared" si="51"/>
        <v>-2.5224228942808846E-2</v>
      </c>
      <c r="D797" s="38">
        <f>MAX($B$2:B797)</f>
        <v>152618.63310000001</v>
      </c>
      <c r="E797" s="40">
        <f t="shared" si="48"/>
        <v>-0.13437882310584015</v>
      </c>
      <c r="F797" s="41">
        <f t="shared" si="49"/>
        <v>120.13542878370376</v>
      </c>
      <c r="G797" s="42" t="str">
        <f t="shared" si="50"/>
        <v>2025-03</v>
      </c>
    </row>
    <row r="798" spans="1:7" x14ac:dyDescent="0.25">
      <c r="A798" s="31">
        <v>45723</v>
      </c>
      <c r="B798" s="32">
        <v>132767.69320000001</v>
      </c>
      <c r="C798" s="33">
        <f t="shared" si="51"/>
        <v>4.9789780814100126E-3</v>
      </c>
      <c r="D798" s="32">
        <f>MAX($B$2:B798)</f>
        <v>152618.63310000001</v>
      </c>
      <c r="E798" s="34">
        <f t="shared" si="48"/>
        <v>-0.13006891423927969</v>
      </c>
      <c r="F798" s="35">
        <f t="shared" si="49"/>
        <v>120.73358045041861</v>
      </c>
      <c r="G798" s="36" t="str">
        <f t="shared" si="50"/>
        <v>2025-03</v>
      </c>
    </row>
    <row r="799" spans="1:7" x14ac:dyDescent="0.25">
      <c r="A799" s="37">
        <v>45726</v>
      </c>
      <c r="B799" s="38">
        <v>126239.808</v>
      </c>
      <c r="C799" s="39">
        <f t="shared" si="51"/>
        <v>-4.9167723281645426E-2</v>
      </c>
      <c r="D799" s="38">
        <f>MAX($B$2:B799)</f>
        <v>152618.63310000001</v>
      </c>
      <c r="E799" s="40">
        <f t="shared" si="48"/>
        <v>-0.17284144513806421</v>
      </c>
      <c r="F799" s="41">
        <f t="shared" si="49"/>
        <v>114.79738517603015</v>
      </c>
      <c r="G799" s="42" t="str">
        <f t="shared" si="50"/>
        <v>2025-03</v>
      </c>
    </row>
    <row r="800" spans="1:7" x14ac:dyDescent="0.25">
      <c r="A800" s="31">
        <v>45727</v>
      </c>
      <c r="B800" s="32">
        <v>126016.9328</v>
      </c>
      <c r="C800" s="33">
        <f t="shared" si="51"/>
        <v>-1.7654906445992991E-3</v>
      </c>
      <c r="D800" s="32">
        <f>MAX($B$2:B800)</f>
        <v>152618.63310000001</v>
      </c>
      <c r="E800" s="34">
        <f t="shared" si="48"/>
        <v>-0.17430178582827327</v>
      </c>
      <c r="F800" s="35">
        <f t="shared" si="49"/>
        <v>114.59471146647742</v>
      </c>
      <c r="G800" s="36" t="str">
        <f t="shared" si="50"/>
        <v>2025-03</v>
      </c>
    </row>
    <row r="801" spans="1:7" x14ac:dyDescent="0.25">
      <c r="A801" s="37">
        <v>45728</v>
      </c>
      <c r="B801" s="38">
        <v>128303.43670000001</v>
      </c>
      <c r="C801" s="39">
        <f t="shared" si="51"/>
        <v>1.8144417969836679E-2</v>
      </c>
      <c r="D801" s="38">
        <f>MAX($B$2:B801)</f>
        <v>152618.63310000001</v>
      </c>
      <c r="E801" s="40">
        <f t="shared" si="48"/>
        <v>-0.15931997231339379</v>
      </c>
      <c r="F801" s="41">
        <f t="shared" si="49"/>
        <v>116.67396580845799</v>
      </c>
      <c r="G801" s="42" t="str">
        <f t="shared" si="50"/>
        <v>2025-03</v>
      </c>
    </row>
    <row r="802" spans="1:7" x14ac:dyDescent="0.25">
      <c r="A802" s="31">
        <v>45729</v>
      </c>
      <c r="B802" s="32">
        <v>125750.4034</v>
      </c>
      <c r="C802" s="33">
        <f t="shared" si="51"/>
        <v>-1.9898401521149633E-2</v>
      </c>
      <c r="D802" s="32">
        <f>MAX($B$2:B802)</f>
        <v>152618.63310000001</v>
      </c>
      <c r="E802" s="34">
        <f t="shared" si="48"/>
        <v>-0.17604816105511312</v>
      </c>
      <c r="F802" s="35">
        <f t="shared" si="49"/>
        <v>114.35234038973641</v>
      </c>
      <c r="G802" s="36" t="str">
        <f t="shared" si="50"/>
        <v>2025-03</v>
      </c>
    </row>
    <row r="803" spans="1:7" x14ac:dyDescent="0.25">
      <c r="A803" s="37">
        <v>45730</v>
      </c>
      <c r="B803" s="38">
        <v>129053.0638</v>
      </c>
      <c r="C803" s="39">
        <f t="shared" si="51"/>
        <v>2.6263616741606377E-2</v>
      </c>
      <c r="D803" s="38">
        <f>MAX($B$2:B803)</f>
        <v>152618.63310000001</v>
      </c>
      <c r="E803" s="40">
        <f t="shared" si="48"/>
        <v>-0.15440820574352265</v>
      </c>
      <c r="F803" s="41">
        <f t="shared" si="49"/>
        <v>117.35564643123817</v>
      </c>
      <c r="G803" s="42" t="str">
        <f t="shared" si="50"/>
        <v>2025-03</v>
      </c>
    </row>
    <row r="804" spans="1:7" x14ac:dyDescent="0.25">
      <c r="A804" s="31">
        <v>45733</v>
      </c>
      <c r="B804" s="32">
        <v>129193.0482</v>
      </c>
      <c r="C804" s="33">
        <f t="shared" si="51"/>
        <v>1.0847041974682003E-3</v>
      </c>
      <c r="D804" s="32">
        <f>MAX($B$2:B804)</f>
        <v>152618.63310000001</v>
      </c>
      <c r="E804" s="34">
        <f t="shared" si="48"/>
        <v>-0.15349098877494793</v>
      </c>
      <c r="F804" s="35">
        <f t="shared" si="49"/>
        <v>117.48294259351874</v>
      </c>
      <c r="G804" s="36" t="str">
        <f t="shared" si="50"/>
        <v>2025-03</v>
      </c>
    </row>
    <row r="805" spans="1:7" x14ac:dyDescent="0.25">
      <c r="A805" s="37">
        <v>45734</v>
      </c>
      <c r="B805" s="38">
        <v>126976.5129</v>
      </c>
      <c r="C805" s="39">
        <f t="shared" si="51"/>
        <v>-1.7156769120956539E-2</v>
      </c>
      <c r="D805" s="38">
        <f>MAX($B$2:B805)</f>
        <v>152618.63310000001</v>
      </c>
      <c r="E805" s="40">
        <f t="shared" si="48"/>
        <v>-0.16801434843934537</v>
      </c>
      <c r="F805" s="41">
        <f t="shared" si="49"/>
        <v>115.46731487179116</v>
      </c>
      <c r="G805" s="42" t="str">
        <f t="shared" si="50"/>
        <v>2025-03</v>
      </c>
    </row>
    <row r="806" spans="1:7" x14ac:dyDescent="0.25">
      <c r="A806" s="31">
        <v>45735</v>
      </c>
      <c r="B806" s="32">
        <v>128936.3904</v>
      </c>
      <c r="C806" s="33">
        <f t="shared" si="51"/>
        <v>1.5434960806834486E-2</v>
      </c>
      <c r="D806" s="32">
        <f>MAX($B$2:B806)</f>
        <v>152618.63310000001</v>
      </c>
      <c r="E806" s="34">
        <f t="shared" si="48"/>
        <v>-0.15517268251565808</v>
      </c>
      <c r="F806" s="35">
        <f t="shared" si="49"/>
        <v>117.24954835130765</v>
      </c>
      <c r="G806" s="36" t="str">
        <f t="shared" si="50"/>
        <v>2025-03</v>
      </c>
    </row>
    <row r="807" spans="1:7" x14ac:dyDescent="0.25">
      <c r="A807" s="37">
        <v>45736</v>
      </c>
      <c r="B807" s="38">
        <v>128988.3726</v>
      </c>
      <c r="C807" s="39">
        <f t="shared" si="51"/>
        <v>4.0316158873943131E-4</v>
      </c>
      <c r="D807" s="38">
        <f>MAX($B$2:B807)</f>
        <v>152618.63310000001</v>
      </c>
      <c r="E807" s="40">
        <f t="shared" si="48"/>
        <v>-0.15483208059213049</v>
      </c>
      <c r="F807" s="41">
        <f t="shared" si="49"/>
        <v>117.29681886549996</v>
      </c>
      <c r="G807" s="42" t="str">
        <f t="shared" si="50"/>
        <v>2025-03</v>
      </c>
    </row>
    <row r="808" spans="1:7" x14ac:dyDescent="0.25">
      <c r="A808" s="31">
        <v>45737</v>
      </c>
      <c r="B808" s="32">
        <v>129714.6804</v>
      </c>
      <c r="C808" s="33">
        <f t="shared" si="51"/>
        <v>5.6308005548091344E-3</v>
      </c>
      <c r="D808" s="32">
        <f>MAX($B$2:B808)</f>
        <v>152618.63310000001</v>
      </c>
      <c r="E808" s="34">
        <f t="shared" si="48"/>
        <v>-0.15007310860262191</v>
      </c>
      <c r="F808" s="35">
        <f t="shared" si="49"/>
        <v>117.95729385824517</v>
      </c>
      <c r="G808" s="36" t="str">
        <f t="shared" si="50"/>
        <v>2025-03</v>
      </c>
    </row>
    <row r="809" spans="1:7" x14ac:dyDescent="0.25">
      <c r="A809" s="37">
        <v>45740</v>
      </c>
      <c r="B809" s="38">
        <v>133439.13889999999</v>
      </c>
      <c r="C809" s="39">
        <f t="shared" si="51"/>
        <v>2.8712698427926009E-2</v>
      </c>
      <c r="D809" s="38">
        <f>MAX($B$2:B809)</f>
        <v>152618.63310000001</v>
      </c>
      <c r="E809" s="40">
        <f t="shared" si="48"/>
        <v>-0.12566941408414445</v>
      </c>
      <c r="F809" s="41">
        <f t="shared" si="49"/>
        <v>121.34416606417118</v>
      </c>
      <c r="G809" s="42" t="str">
        <f t="shared" si="50"/>
        <v>2025-03</v>
      </c>
    </row>
    <row r="810" spans="1:7" x14ac:dyDescent="0.25">
      <c r="A810" s="31">
        <v>45741</v>
      </c>
      <c r="B810" s="32">
        <v>134273.65520000001</v>
      </c>
      <c r="C810" s="33">
        <f t="shared" si="51"/>
        <v>6.253909511701794E-3</v>
      </c>
      <c r="D810" s="32">
        <f>MAX($B$2:B810)</f>
        <v>152618.63310000001</v>
      </c>
      <c r="E810" s="34">
        <f t="shared" si="48"/>
        <v>-0.12020142971651337</v>
      </c>
      <c r="F810" s="35">
        <f t="shared" si="49"/>
        <v>122.10304149850944</v>
      </c>
      <c r="G810" s="36" t="str">
        <f t="shared" si="50"/>
        <v>2025-03</v>
      </c>
    </row>
    <row r="811" spans="1:7" x14ac:dyDescent="0.25">
      <c r="A811" s="37">
        <v>45742</v>
      </c>
      <c r="B811" s="38">
        <v>131102.99950000001</v>
      </c>
      <c r="C811" s="39">
        <f t="shared" si="51"/>
        <v>-2.3613386373353196E-2</v>
      </c>
      <c r="D811" s="38">
        <f>MAX($B$2:B811)</f>
        <v>152618.63310000001</v>
      </c>
      <c r="E811" s="40">
        <f t="shared" si="48"/>
        <v>-0.1409764532873411</v>
      </c>
      <c r="F811" s="41">
        <f t="shared" si="49"/>
        <v>119.21977520224357</v>
      </c>
      <c r="G811" s="42" t="str">
        <f t="shared" si="50"/>
        <v>2025-03</v>
      </c>
    </row>
    <row r="812" spans="1:7" x14ac:dyDescent="0.25">
      <c r="A812" s="31">
        <v>45743</v>
      </c>
      <c r="B812" s="32">
        <v>130574.1939</v>
      </c>
      <c r="C812" s="33">
        <f t="shared" si="51"/>
        <v>-4.0335125970936136E-3</v>
      </c>
      <c r="D812" s="32">
        <f>MAX($B$2:B812)</f>
        <v>152618.63310000001</v>
      </c>
      <c r="E812" s="34">
        <f t="shared" si="48"/>
        <v>-0.14444133558420669</v>
      </c>
      <c r="F812" s="35">
        <f t="shared" si="49"/>
        <v>118.73890073714264</v>
      </c>
      <c r="G812" s="36" t="str">
        <f t="shared" si="50"/>
        <v>2025-03</v>
      </c>
    </row>
    <row r="813" spans="1:7" x14ac:dyDescent="0.25">
      <c r="A813" s="37">
        <v>45744</v>
      </c>
      <c r="B813" s="38">
        <v>127136.33</v>
      </c>
      <c r="C813" s="39">
        <f t="shared" si="51"/>
        <v>-2.6328815804391503E-2</v>
      </c>
      <c r="D813" s="38">
        <f>MAX($B$2:B813)</f>
        <v>152618.63310000001</v>
      </c>
      <c r="E813" s="40">
        <f t="shared" si="48"/>
        <v>-0.16696718206946126</v>
      </c>
      <c r="F813" s="41">
        <f t="shared" si="49"/>
        <v>115.61264609081849</v>
      </c>
      <c r="G813" s="42" t="str">
        <f t="shared" si="50"/>
        <v>2025-03</v>
      </c>
    </row>
    <row r="814" spans="1:7" x14ac:dyDescent="0.25">
      <c r="A814" s="31">
        <v>45747</v>
      </c>
      <c r="B814" s="32">
        <v>127255.98850000001</v>
      </c>
      <c r="C814" s="33">
        <f t="shared" si="51"/>
        <v>9.4118258722741821E-4</v>
      </c>
      <c r="D814" s="32">
        <f>MAX($B$2:B814)</f>
        <v>152618.63310000001</v>
      </c>
      <c r="E814" s="34">
        <f t="shared" si="48"/>
        <v>-0.16618314608663598</v>
      </c>
      <c r="F814" s="35">
        <f t="shared" si="49"/>
        <v>115.72145870018247</v>
      </c>
      <c r="G814" s="36" t="str">
        <f t="shared" si="50"/>
        <v>2025-03</v>
      </c>
    </row>
    <row r="815" spans="1:7" x14ac:dyDescent="0.25">
      <c r="A815" s="37">
        <v>45748</v>
      </c>
      <c r="B815" s="38">
        <v>128652.20699999999</v>
      </c>
      <c r="C815" s="39">
        <f t="shared" si="51"/>
        <v>1.0971731204618251E-2</v>
      </c>
      <c r="D815" s="38">
        <f>MAX($B$2:B815)</f>
        <v>152618.63310000001</v>
      </c>
      <c r="E815" s="40">
        <f t="shared" si="48"/>
        <v>-0.15703473169161819</v>
      </c>
      <c r="F815" s="41">
        <f t="shared" si="49"/>
        <v>116.9911234396472</v>
      </c>
      <c r="G815" s="42" t="str">
        <f t="shared" si="50"/>
        <v>2025-04</v>
      </c>
    </row>
    <row r="816" spans="1:7" x14ac:dyDescent="0.25">
      <c r="A816" s="31">
        <v>45749</v>
      </c>
      <c r="B816" s="32">
        <v>129945.2818</v>
      </c>
      <c r="C816" s="33">
        <f t="shared" si="51"/>
        <v>1.0050933677336671E-2</v>
      </c>
      <c r="D816" s="32">
        <f>MAX($B$2:B816)</f>
        <v>152618.63310000001</v>
      </c>
      <c r="E816" s="34">
        <f t="shared" si="48"/>
        <v>-0.14856214368755216</v>
      </c>
      <c r="F816" s="35">
        <f t="shared" si="49"/>
        <v>118.16699346217621</v>
      </c>
      <c r="G816" s="36" t="str">
        <f t="shared" si="50"/>
        <v>2025-04</v>
      </c>
    </row>
    <row r="817" spans="1:7" x14ac:dyDescent="0.25">
      <c r="A817" s="37">
        <v>45750</v>
      </c>
      <c r="B817" s="38">
        <v>122105.63890000001</v>
      </c>
      <c r="C817" s="39">
        <f t="shared" si="51"/>
        <v>-6.0330338981187892E-2</v>
      </c>
      <c r="D817" s="38">
        <f>MAX($B$2:B817)</f>
        <v>152618.63310000001</v>
      </c>
      <c r="E817" s="40">
        <f t="shared" si="48"/>
        <v>-0.19992967818029816</v>
      </c>
      <c r="F817" s="41">
        <f t="shared" si="49"/>
        <v>111.0379386902153</v>
      </c>
      <c r="G817" s="42" t="str">
        <f t="shared" si="50"/>
        <v>2025-04</v>
      </c>
    </row>
    <row r="818" spans="1:7" x14ac:dyDescent="0.25">
      <c r="A818" s="31">
        <v>45751</v>
      </c>
      <c r="B818" s="32">
        <v>114312.352</v>
      </c>
      <c r="C818" s="33">
        <f t="shared" si="51"/>
        <v>-6.3824135971168539E-2</v>
      </c>
      <c r="D818" s="32">
        <f>MAX($B$2:B818)</f>
        <v>152618.63310000001</v>
      </c>
      <c r="E818" s="34">
        <f t="shared" si="48"/>
        <v>-0.25099347518661541</v>
      </c>
      <c r="F818" s="35">
        <f t="shared" si="49"/>
        <v>103.95103819329272</v>
      </c>
      <c r="G818" s="36" t="str">
        <f t="shared" si="50"/>
        <v>2025-04</v>
      </c>
    </row>
    <row r="819" spans="1:7" x14ac:dyDescent="0.25">
      <c r="A819" s="37">
        <v>45754</v>
      </c>
      <c r="B819" s="38">
        <v>113973.5175</v>
      </c>
      <c r="C819" s="39">
        <f t="shared" si="51"/>
        <v>-2.9641110000080406E-3</v>
      </c>
      <c r="D819" s="38">
        <f>MAX($B$2:B819)</f>
        <v>152618.63310000001</v>
      </c>
      <c r="E819" s="40">
        <f t="shared" si="48"/>
        <v>-0.25321361366589257</v>
      </c>
      <c r="F819" s="41">
        <f t="shared" si="49"/>
        <v>103.64291577752172</v>
      </c>
      <c r="G819" s="42" t="str">
        <f t="shared" si="50"/>
        <v>2025-04</v>
      </c>
    </row>
    <row r="820" spans="1:7" x14ac:dyDescent="0.25">
      <c r="A820" s="31">
        <v>45755</v>
      </c>
      <c r="B820" s="32">
        <v>111261.2034</v>
      </c>
      <c r="C820" s="33">
        <f t="shared" si="51"/>
        <v>-2.3797757228998462E-2</v>
      </c>
      <c r="D820" s="32">
        <f>MAX($B$2:B820)</f>
        <v>152618.63310000001</v>
      </c>
      <c r="E820" s="34">
        <f t="shared" si="48"/>
        <v>-0.27098545478979263</v>
      </c>
      <c r="F820" s="35">
        <f t="shared" si="49"/>
        <v>101.17644682934272</v>
      </c>
      <c r="G820" s="36" t="str">
        <f t="shared" si="50"/>
        <v>2025-04</v>
      </c>
    </row>
    <row r="821" spans="1:7" x14ac:dyDescent="0.25">
      <c r="A821" s="37">
        <v>45756</v>
      </c>
      <c r="B821" s="38">
        <v>125747.8594</v>
      </c>
      <c r="C821" s="39">
        <f t="shared" si="51"/>
        <v>0.13020402042496704</v>
      </c>
      <c r="D821" s="38">
        <f>MAX($B$2:B821)</f>
        <v>152618.63310000001</v>
      </c>
      <c r="E821" s="40">
        <f t="shared" si="48"/>
        <v>-0.17606483005514484</v>
      </c>
      <c r="F821" s="41">
        <f t="shared" si="49"/>
        <v>114.35002697883606</v>
      </c>
      <c r="G821" s="42" t="str">
        <f t="shared" si="50"/>
        <v>2025-04</v>
      </c>
    </row>
    <row r="822" spans="1:7" x14ac:dyDescent="0.25">
      <c r="A822" s="31">
        <v>45757</v>
      </c>
      <c r="B822" s="32">
        <v>119920.7243</v>
      </c>
      <c r="C822" s="33">
        <f t="shared" si="51"/>
        <v>-4.6339835348322422E-2</v>
      </c>
      <c r="D822" s="32">
        <f>MAX($B$2:B822)</f>
        <v>152618.63310000001</v>
      </c>
      <c r="E822" s="34">
        <f t="shared" si="48"/>
        <v>-0.21424585016808151</v>
      </c>
      <c r="F822" s="35">
        <f t="shared" si="49"/>
        <v>109.05106555656057</v>
      </c>
      <c r="G822" s="36" t="str">
        <f t="shared" si="50"/>
        <v>2025-04</v>
      </c>
    </row>
    <row r="823" spans="1:7" x14ac:dyDescent="0.25">
      <c r="A823" s="37">
        <v>45758</v>
      </c>
      <c r="B823" s="38">
        <v>122566.2732</v>
      </c>
      <c r="C823" s="39">
        <f t="shared" si="51"/>
        <v>2.2060814887856717E-2</v>
      </c>
      <c r="D823" s="38">
        <f>MAX($B$2:B823)</f>
        <v>152618.63310000001</v>
      </c>
      <c r="E823" s="40">
        <f t="shared" si="48"/>
        <v>-0.19691147332127434</v>
      </c>
      <c r="F823" s="41">
        <f t="shared" si="49"/>
        <v>111.45682092712737</v>
      </c>
      <c r="G823" s="42" t="str">
        <f t="shared" si="50"/>
        <v>2025-04</v>
      </c>
    </row>
    <row r="824" spans="1:7" x14ac:dyDescent="0.25">
      <c r="A824" s="31">
        <v>45761</v>
      </c>
      <c r="B824" s="32">
        <v>123316.40059999999</v>
      </c>
      <c r="C824" s="33">
        <f t="shared" si="51"/>
        <v>6.1201779283601709E-3</v>
      </c>
      <c r="D824" s="32">
        <f>MAX($B$2:B824)</f>
        <v>152618.63310000001</v>
      </c>
      <c r="E824" s="34">
        <f t="shared" si="48"/>
        <v>-0.19199642864577593</v>
      </c>
      <c r="F824" s="35">
        <f t="shared" si="49"/>
        <v>112.13895650253076</v>
      </c>
      <c r="G824" s="36" t="str">
        <f t="shared" si="50"/>
        <v>2025-04</v>
      </c>
    </row>
    <row r="825" spans="1:7" x14ac:dyDescent="0.25">
      <c r="A825" s="37">
        <v>45762</v>
      </c>
      <c r="B825" s="38">
        <v>123120.6734</v>
      </c>
      <c r="C825" s="39">
        <f t="shared" si="51"/>
        <v>-1.5871952071879747E-3</v>
      </c>
      <c r="D825" s="38">
        <f>MAX($B$2:B825)</f>
        <v>152618.63310000001</v>
      </c>
      <c r="E825" s="40">
        <f t="shared" si="48"/>
        <v>-0.19327888804162019</v>
      </c>
      <c r="F825" s="41">
        <f t="shared" si="49"/>
        <v>111.96097008823087</v>
      </c>
      <c r="G825" s="42" t="str">
        <f t="shared" si="50"/>
        <v>2025-04</v>
      </c>
    </row>
    <row r="826" spans="1:7" x14ac:dyDescent="0.25">
      <c r="A826" s="31">
        <v>45763</v>
      </c>
      <c r="B826" s="32">
        <v>119052.78509999999</v>
      </c>
      <c r="C826" s="33">
        <f t="shared" si="51"/>
        <v>-3.3039847717402204E-2</v>
      </c>
      <c r="D826" s="32">
        <f>MAX($B$2:B826)</f>
        <v>152618.63310000001</v>
      </c>
      <c r="E826" s="34">
        <f t="shared" si="48"/>
        <v>-0.21993283073113834</v>
      </c>
      <c r="F826" s="35">
        <f t="shared" si="49"/>
        <v>108.26179668622311</v>
      </c>
      <c r="G826" s="36" t="str">
        <f t="shared" si="50"/>
        <v>2025-04</v>
      </c>
    </row>
    <row r="827" spans="1:7" x14ac:dyDescent="0.25">
      <c r="A827" s="37">
        <v>45764</v>
      </c>
      <c r="B827" s="38">
        <v>118875.891</v>
      </c>
      <c r="C827" s="39">
        <f t="shared" si="51"/>
        <v>-1.4858459619521147E-3</v>
      </c>
      <c r="D827" s="38">
        <f>MAX($B$2:B827)</f>
        <v>152618.63310000001</v>
      </c>
      <c r="E827" s="40">
        <f t="shared" si="48"/>
        <v>-0.22109189038464794</v>
      </c>
      <c r="F827" s="41">
        <f t="shared" si="49"/>
        <v>108.10093633278319</v>
      </c>
      <c r="G827" s="42" t="str">
        <f t="shared" si="50"/>
        <v>2025-04</v>
      </c>
    </row>
    <row r="828" spans="1:7" x14ac:dyDescent="0.25">
      <c r="A828" s="31">
        <v>45768</v>
      </c>
      <c r="B828" s="32">
        <v>115537.1795</v>
      </c>
      <c r="C828" s="33">
        <f t="shared" si="51"/>
        <v>-2.8085690646894923E-2</v>
      </c>
      <c r="D828" s="32">
        <f>MAX($B$2:B828)</f>
        <v>152618.63310000001</v>
      </c>
      <c r="E828" s="34">
        <f t="shared" si="48"/>
        <v>-0.24296806259366244</v>
      </c>
      <c r="F828" s="35">
        <f t="shared" si="49"/>
        <v>105.06484687630095</v>
      </c>
      <c r="G828" s="36" t="str">
        <f t="shared" si="50"/>
        <v>2025-04</v>
      </c>
    </row>
    <row r="829" spans="1:7" x14ac:dyDescent="0.25">
      <c r="A829" s="37">
        <v>45769</v>
      </c>
      <c r="B829" s="38">
        <v>118941.1639</v>
      </c>
      <c r="C829" s="39">
        <f t="shared" si="51"/>
        <v>2.9462242498311975E-2</v>
      </c>
      <c r="D829" s="38">
        <f>MAX($B$2:B829)</f>
        <v>152618.63310000001</v>
      </c>
      <c r="E829" s="40">
        <f t="shared" si="48"/>
        <v>-0.22066420407483001</v>
      </c>
      <c r="F829" s="41">
        <f t="shared" si="49"/>
        <v>108.16029287301856</v>
      </c>
      <c r="G829" s="42" t="str">
        <f t="shared" si="50"/>
        <v>2025-04</v>
      </c>
    </row>
    <row r="830" spans="1:7" x14ac:dyDescent="0.25">
      <c r="A830" s="31">
        <v>45770</v>
      </c>
      <c r="B830" s="32">
        <v>122121.5438</v>
      </c>
      <c r="C830" s="33">
        <f t="shared" si="51"/>
        <v>2.6739101886323446E-2</v>
      </c>
      <c r="D830" s="32">
        <f>MAX($B$2:B830)</f>
        <v>152618.63310000001</v>
      </c>
      <c r="E830" s="34">
        <f t="shared" si="48"/>
        <v>-0.19982546482392793</v>
      </c>
      <c r="F830" s="35">
        <f t="shared" si="49"/>
        <v>111.05240196420479</v>
      </c>
      <c r="G830" s="36" t="str">
        <f t="shared" si="50"/>
        <v>2025-04</v>
      </c>
    </row>
    <row r="831" spans="1:7" x14ac:dyDescent="0.25">
      <c r="A831" s="37">
        <v>45771</v>
      </c>
      <c r="B831" s="38">
        <v>125668.503</v>
      </c>
      <c r="C831" s="39">
        <f t="shared" si="51"/>
        <v>2.9044500172786147E-2</v>
      </c>
      <c r="D831" s="38">
        <f>MAX($B$2:B831)</f>
        <v>152618.63310000001</v>
      </c>
      <c r="E831" s="40">
        <f t="shared" si="48"/>
        <v>-0.1765847953987475</v>
      </c>
      <c r="F831" s="41">
        <f t="shared" si="49"/>
        <v>114.27786347224244</v>
      </c>
      <c r="G831" s="42" t="str">
        <f t="shared" si="50"/>
        <v>2025-04</v>
      </c>
    </row>
    <row r="832" spans="1:7" x14ac:dyDescent="0.25">
      <c r="A832" s="31">
        <v>45772</v>
      </c>
      <c r="B832" s="32">
        <v>128080.99</v>
      </c>
      <c r="C832" s="33">
        <f t="shared" si="51"/>
        <v>1.9197228759858742E-2</v>
      </c>
      <c r="D832" s="32">
        <f>MAX($B$2:B832)</f>
        <v>152618.63310000001</v>
      </c>
      <c r="E832" s="34">
        <f t="shared" si="48"/>
        <v>-0.16077750535167123</v>
      </c>
      <c r="F832" s="35">
        <f t="shared" si="49"/>
        <v>116.47168175950699</v>
      </c>
      <c r="G832" s="36" t="str">
        <f t="shared" si="50"/>
        <v>2025-04</v>
      </c>
    </row>
    <row r="833" spans="1:7" x14ac:dyDescent="0.25">
      <c r="A833" s="37">
        <v>45775</v>
      </c>
      <c r="B833" s="38">
        <v>127785.52039999999</v>
      </c>
      <c r="C833" s="39">
        <f t="shared" si="51"/>
        <v>-2.3068965972234956E-3</v>
      </c>
      <c r="D833" s="38">
        <f>MAX($B$2:B833)</f>
        <v>152618.63310000001</v>
      </c>
      <c r="E833" s="40">
        <f t="shared" si="48"/>
        <v>-0.1627135048688888</v>
      </c>
      <c r="F833" s="41">
        <f t="shared" si="49"/>
        <v>116.2029936331831</v>
      </c>
      <c r="G833" s="42" t="str">
        <f t="shared" si="50"/>
        <v>2025-04</v>
      </c>
    </row>
    <row r="834" spans="1:7" x14ac:dyDescent="0.25">
      <c r="A834" s="31">
        <v>45776</v>
      </c>
      <c r="B834" s="32">
        <v>128598.58809999999</v>
      </c>
      <c r="C834" s="33">
        <f t="shared" si="51"/>
        <v>6.3627529743190969E-3</v>
      </c>
      <c r="D834" s="32">
        <f>MAX($B$2:B834)</f>
        <v>152618.63310000001</v>
      </c>
      <c r="E834" s="34">
        <f t="shared" ref="E834:E897" si="52">B834/D834-1</f>
        <v>-0.15738605773163628</v>
      </c>
      <c r="F834" s="35">
        <f t="shared" ref="F834:F897" si="53">B834/$B$2*100</f>
        <v>116.9423645765474</v>
      </c>
      <c r="G834" s="36" t="str">
        <f t="shared" ref="G834:G897" si="54">TEXT(A834,"YYYY-MM")</f>
        <v>2025-04</v>
      </c>
    </row>
    <row r="835" spans="1:7" x14ac:dyDescent="0.25">
      <c r="A835" s="37">
        <v>45777</v>
      </c>
      <c r="B835" s="38">
        <v>128261.7242</v>
      </c>
      <c r="C835" s="39">
        <f t="shared" ref="C835:C898" si="55">B835/B834-1</f>
        <v>-2.6194992105048609E-3</v>
      </c>
      <c r="D835" s="38">
        <f>MAX($B$2:B835)</f>
        <v>152618.63310000001</v>
      </c>
      <c r="E835" s="40">
        <f t="shared" si="52"/>
        <v>-0.15959328428816866</v>
      </c>
      <c r="F835" s="41">
        <f t="shared" si="53"/>
        <v>116.63603414486457</v>
      </c>
      <c r="G835" s="42" t="str">
        <f t="shared" si="54"/>
        <v>2025-04</v>
      </c>
    </row>
    <row r="836" spans="1:7" x14ac:dyDescent="0.25">
      <c r="A836" s="31">
        <v>45778</v>
      </c>
      <c r="B836" s="32">
        <v>130373.4697</v>
      </c>
      <c r="C836" s="33">
        <f t="shared" si="55"/>
        <v>1.6464346734549773E-2</v>
      </c>
      <c r="D836" s="32">
        <f>MAX($B$2:B836)</f>
        <v>152618.63310000001</v>
      </c>
      <c r="E836" s="34">
        <f t="shared" si="52"/>
        <v>-0.14575653672264477</v>
      </c>
      <c r="F836" s="35">
        <f t="shared" si="53"/>
        <v>118.55637025276842</v>
      </c>
      <c r="G836" s="36" t="str">
        <f t="shared" si="54"/>
        <v>2025-05</v>
      </c>
    </row>
    <row r="837" spans="1:7" x14ac:dyDescent="0.25">
      <c r="A837" s="37">
        <v>45779</v>
      </c>
      <c r="B837" s="38">
        <v>132271.42139999999</v>
      </c>
      <c r="C837" s="39">
        <f t="shared" si="55"/>
        <v>1.4557806157704745E-2</v>
      </c>
      <c r="D837" s="38">
        <f>MAX($B$2:B837)</f>
        <v>152618.63310000001</v>
      </c>
      <c r="E837" s="40">
        <f t="shared" si="52"/>
        <v>-0.13332062597276673</v>
      </c>
      <c r="F837" s="41">
        <f t="shared" si="53"/>
        <v>120.28229090966929</v>
      </c>
      <c r="G837" s="42" t="str">
        <f t="shared" si="54"/>
        <v>2025-05</v>
      </c>
    </row>
    <row r="838" spans="1:7" x14ac:dyDescent="0.25">
      <c r="A838" s="31">
        <v>45782</v>
      </c>
      <c r="B838" s="32">
        <v>130940.0356</v>
      </c>
      <c r="C838" s="33">
        <f t="shared" si="55"/>
        <v>-1.0065559029367122E-2</v>
      </c>
      <c r="D838" s="32">
        <f>MAX($B$2:B838)</f>
        <v>152618.63310000001</v>
      </c>
      <c r="E838" s="34">
        <f t="shared" si="52"/>
        <v>-0.14204423837157276</v>
      </c>
      <c r="F838" s="35">
        <f t="shared" si="53"/>
        <v>119.07158241033049</v>
      </c>
      <c r="G838" s="36" t="str">
        <f t="shared" si="54"/>
        <v>2025-05</v>
      </c>
    </row>
    <row r="839" spans="1:7" x14ac:dyDescent="0.25">
      <c r="A839" s="37">
        <v>45783</v>
      </c>
      <c r="B839" s="38">
        <v>129861.7844</v>
      </c>
      <c r="C839" s="39">
        <f t="shared" si="55"/>
        <v>-8.2346945688474005E-3</v>
      </c>
      <c r="D839" s="38">
        <f>MAX($B$2:B839)</f>
        <v>152618.63310000001</v>
      </c>
      <c r="E839" s="40">
        <f t="shared" si="52"/>
        <v>-0.14910924202216569</v>
      </c>
      <c r="F839" s="41">
        <f t="shared" si="53"/>
        <v>118.0910642973521</v>
      </c>
      <c r="G839" s="42" t="str">
        <f t="shared" si="54"/>
        <v>2025-05</v>
      </c>
    </row>
    <row r="840" spans="1:7" x14ac:dyDescent="0.25">
      <c r="A840" s="31">
        <v>45784</v>
      </c>
      <c r="B840" s="32">
        <v>130183.7516</v>
      </c>
      <c r="C840" s="33">
        <f t="shared" si="55"/>
        <v>2.4793067605499708E-3</v>
      </c>
      <c r="D840" s="32">
        <f>MAX($B$2:B840)</f>
        <v>152618.63310000001</v>
      </c>
      <c r="E840" s="34">
        <f t="shared" si="52"/>
        <v>-0.14699962281342172</v>
      </c>
      <c r="F840" s="35">
        <f t="shared" si="53"/>
        <v>118.38384827142505</v>
      </c>
      <c r="G840" s="36" t="str">
        <f t="shared" si="54"/>
        <v>2025-05</v>
      </c>
    </row>
    <row r="841" spans="1:7" x14ac:dyDescent="0.25">
      <c r="A841" s="37">
        <v>45785</v>
      </c>
      <c r="B841" s="38">
        <v>131903.13959999999</v>
      </c>
      <c r="C841" s="39">
        <f t="shared" si="55"/>
        <v>1.3207393233549913E-2</v>
      </c>
      <c r="D841" s="38">
        <f>MAX($B$2:B841)</f>
        <v>152618.63310000001</v>
      </c>
      <c r="E841" s="40">
        <f t="shared" si="52"/>
        <v>-0.13573371140355217</v>
      </c>
      <c r="F841" s="41">
        <f t="shared" si="53"/>
        <v>119.94739030804669</v>
      </c>
      <c r="G841" s="42" t="str">
        <f t="shared" si="54"/>
        <v>2025-05</v>
      </c>
    </row>
    <row r="842" spans="1:7" x14ac:dyDescent="0.25">
      <c r="A842" s="31">
        <v>45786</v>
      </c>
      <c r="B842" s="32">
        <v>132606.50760000001</v>
      </c>
      <c r="C842" s="33">
        <f t="shared" si="55"/>
        <v>5.3324583640161904E-3</v>
      </c>
      <c r="D842" s="32">
        <f>MAX($B$2:B842)</f>
        <v>152618.63310000001</v>
      </c>
      <c r="E842" s="34">
        <f t="shared" si="52"/>
        <v>-0.13112504740418873</v>
      </c>
      <c r="F842" s="35">
        <f t="shared" si="53"/>
        <v>120.58700477273673</v>
      </c>
      <c r="G842" s="36" t="str">
        <f t="shared" si="54"/>
        <v>2025-05</v>
      </c>
    </row>
    <row r="843" spans="1:7" x14ac:dyDescent="0.25">
      <c r="A843" s="37">
        <v>45789</v>
      </c>
      <c r="B843" s="38">
        <v>138545.77609999999</v>
      </c>
      <c r="C843" s="39">
        <f t="shared" si="55"/>
        <v>4.4788665409358552E-2</v>
      </c>
      <c r="D843" s="38">
        <f>MAX($B$2:B843)</f>
        <v>152618.63310000001</v>
      </c>
      <c r="E843" s="40">
        <f t="shared" si="52"/>
        <v>-9.2209297869802587E-2</v>
      </c>
      <c r="F843" s="41">
        <f t="shared" si="53"/>
        <v>125.98793578221958</v>
      </c>
      <c r="G843" s="42" t="str">
        <f t="shared" si="54"/>
        <v>2025-05</v>
      </c>
    </row>
    <row r="844" spans="1:7" x14ac:dyDescent="0.25">
      <c r="A844" s="31">
        <v>45790</v>
      </c>
      <c r="B844" s="32">
        <v>141196.1421</v>
      </c>
      <c r="C844" s="33">
        <f t="shared" si="55"/>
        <v>1.9129893921031593E-2</v>
      </c>
      <c r="D844" s="32">
        <f>MAX($B$2:B844)</f>
        <v>152618.63310000001</v>
      </c>
      <c r="E844" s="34">
        <f t="shared" si="52"/>
        <v>-7.4843358035553087E-2</v>
      </c>
      <c r="F844" s="35">
        <f t="shared" si="53"/>
        <v>128.3980716290632</v>
      </c>
      <c r="G844" s="36" t="str">
        <f t="shared" si="54"/>
        <v>2025-05</v>
      </c>
    </row>
    <row r="845" spans="1:7" x14ac:dyDescent="0.25">
      <c r="A845" s="37">
        <v>45791</v>
      </c>
      <c r="B845" s="38">
        <v>142320.38819999999</v>
      </c>
      <c r="C845" s="39">
        <f t="shared" si="55"/>
        <v>7.9623004090563221E-3</v>
      </c>
      <c r="D845" s="38">
        <f>MAX($B$2:B845)</f>
        <v>152618.63310000001</v>
      </c>
      <c r="E845" s="40">
        <f t="shared" si="52"/>
        <v>-6.747698292679849E-2</v>
      </c>
      <c r="F845" s="41">
        <f t="shared" si="53"/>
        <v>129.42041564731733</v>
      </c>
      <c r="G845" s="42" t="str">
        <f t="shared" si="54"/>
        <v>2025-05</v>
      </c>
    </row>
    <row r="846" spans="1:7" x14ac:dyDescent="0.25">
      <c r="A846" s="31">
        <v>45792</v>
      </c>
      <c r="B846" s="32">
        <v>142064.6937</v>
      </c>
      <c r="C846" s="33">
        <f t="shared" si="55"/>
        <v>-1.7966118785500695E-3</v>
      </c>
      <c r="D846" s="32">
        <f>MAX($B$2:B846)</f>
        <v>152618.63310000001</v>
      </c>
      <c r="E846" s="34">
        <f t="shared" si="52"/>
        <v>-6.9152364856293613E-2</v>
      </c>
      <c r="F846" s="35">
        <f t="shared" si="53"/>
        <v>129.18789739123847</v>
      </c>
      <c r="G846" s="36" t="str">
        <f t="shared" si="54"/>
        <v>2025-05</v>
      </c>
    </row>
    <row r="847" spans="1:7" x14ac:dyDescent="0.25">
      <c r="A847" s="37">
        <v>45793</v>
      </c>
      <c r="B847" s="38">
        <v>143096.54610000001</v>
      </c>
      <c r="C847" s="39">
        <f t="shared" si="55"/>
        <v>7.2632571339574792E-3</v>
      </c>
      <c r="D847" s="38">
        <f>MAX($B$2:B847)</f>
        <v>152618.63310000001</v>
      </c>
      <c r="E847" s="40">
        <f t="shared" si="52"/>
        <v>-6.2391379129708602E-2</v>
      </c>
      <c r="F847" s="41">
        <f t="shared" si="53"/>
        <v>130.12622230858634</v>
      </c>
      <c r="G847" s="42" t="str">
        <f t="shared" si="54"/>
        <v>2025-05</v>
      </c>
    </row>
    <row r="848" spans="1:7" x14ac:dyDescent="0.25">
      <c r="A848" s="31">
        <v>45796</v>
      </c>
      <c r="B848" s="32">
        <v>143065.42060000001</v>
      </c>
      <c r="C848" s="33">
        <f t="shared" si="55"/>
        <v>-2.1751398512614983E-4</v>
      </c>
      <c r="D848" s="32">
        <f>MAX($B$2:B848)</f>
        <v>152618.63310000001</v>
      </c>
      <c r="E848" s="34">
        <f t="shared" si="52"/>
        <v>-6.2595322117322771E-2</v>
      </c>
      <c r="F848" s="35">
        <f t="shared" si="53"/>
        <v>130.09791803540259</v>
      </c>
      <c r="G848" s="36" t="str">
        <f t="shared" si="54"/>
        <v>2025-05</v>
      </c>
    </row>
    <row r="849" spans="1:7" x14ac:dyDescent="0.25">
      <c r="A849" s="37">
        <v>45797</v>
      </c>
      <c r="B849" s="38">
        <v>142618.7077</v>
      </c>
      <c r="C849" s="39">
        <f t="shared" si="55"/>
        <v>-3.122437959686919E-3</v>
      </c>
      <c r="D849" s="38">
        <f>MAX($B$2:B849)</f>
        <v>152618.63310000001</v>
      </c>
      <c r="E849" s="40">
        <f t="shared" si="52"/>
        <v>-6.5522310067131717E-2</v>
      </c>
      <c r="F849" s="41">
        <f t="shared" si="53"/>
        <v>129.69169535765261</v>
      </c>
      <c r="G849" s="42" t="str">
        <f t="shared" si="54"/>
        <v>2025-05</v>
      </c>
    </row>
    <row r="850" spans="1:7" x14ac:dyDescent="0.25">
      <c r="A850" s="31">
        <v>45798</v>
      </c>
      <c r="B850" s="32">
        <v>140388.82310000001</v>
      </c>
      <c r="C850" s="33">
        <f t="shared" si="55"/>
        <v>-1.5635288216820586E-2</v>
      </c>
      <c r="D850" s="32">
        <f>MAX($B$2:B850)</f>
        <v>152618.63310000001</v>
      </c>
      <c r="E850" s="34">
        <f t="shared" si="52"/>
        <v>-8.0133138081420752E-2</v>
      </c>
      <c r="F850" s="35">
        <f t="shared" si="53"/>
        <v>127.66392832140761</v>
      </c>
      <c r="G850" s="36" t="str">
        <f t="shared" si="54"/>
        <v>2025-05</v>
      </c>
    </row>
    <row r="851" spans="1:7" x14ac:dyDescent="0.25">
      <c r="A851" s="37">
        <v>45799</v>
      </c>
      <c r="B851" s="38">
        <v>141211.61749999999</v>
      </c>
      <c r="C851" s="39">
        <f t="shared" si="55"/>
        <v>5.8608255403203025E-3</v>
      </c>
      <c r="D851" s="38">
        <f>MAX($B$2:B851)</f>
        <v>152618.63310000001</v>
      </c>
      <c r="E851" s="40">
        <f t="shared" si="52"/>
        <v>-7.4741958883394077E-2</v>
      </c>
      <c r="F851" s="41">
        <f t="shared" si="53"/>
        <v>128.41214433309133</v>
      </c>
      <c r="G851" s="42" t="str">
        <f t="shared" si="54"/>
        <v>2025-05</v>
      </c>
    </row>
    <row r="852" spans="1:7" x14ac:dyDescent="0.25">
      <c r="A852" s="31">
        <v>45800</v>
      </c>
      <c r="B852" s="32">
        <v>139554.6568</v>
      </c>
      <c r="C852" s="33">
        <f t="shared" si="55"/>
        <v>-1.1733883722421012E-2</v>
      </c>
      <c r="D852" s="32">
        <f>MAX($B$2:B852)</f>
        <v>152618.63310000001</v>
      </c>
      <c r="E852" s="34">
        <f t="shared" si="52"/>
        <v>-8.5598829151091405E-2</v>
      </c>
      <c r="F852" s="35">
        <f t="shared" si="53"/>
        <v>126.9053711629401</v>
      </c>
      <c r="G852" s="36" t="str">
        <f t="shared" si="54"/>
        <v>2025-05</v>
      </c>
    </row>
    <row r="853" spans="1:7" x14ac:dyDescent="0.25">
      <c r="A853" s="37">
        <v>45804</v>
      </c>
      <c r="B853" s="38">
        <v>143686.5846</v>
      </c>
      <c r="C853" s="39">
        <f t="shared" si="55"/>
        <v>2.9607953577081902E-2</v>
      </c>
      <c r="D853" s="38">
        <f>MAX($B$2:B853)</f>
        <v>152618.63310000001</v>
      </c>
      <c r="E853" s="40">
        <f t="shared" si="52"/>
        <v>-5.8525281733767587E-2</v>
      </c>
      <c r="F853" s="41">
        <f t="shared" si="53"/>
        <v>130.66277950101477</v>
      </c>
      <c r="G853" s="42" t="str">
        <f t="shared" si="54"/>
        <v>2025-05</v>
      </c>
    </row>
    <row r="854" spans="1:7" x14ac:dyDescent="0.25">
      <c r="A854" s="31">
        <v>45805</v>
      </c>
      <c r="B854" s="32">
        <v>142706.0589</v>
      </c>
      <c r="C854" s="33">
        <f t="shared" si="55"/>
        <v>-6.8240587855130652E-3</v>
      </c>
      <c r="D854" s="32">
        <f>MAX($B$2:B854)</f>
        <v>152618.63310000001</v>
      </c>
      <c r="E854" s="34">
        <f t="shared" si="52"/>
        <v>-6.4949960556290653E-2</v>
      </c>
      <c r="F854" s="35">
        <f t="shared" si="53"/>
        <v>129.77112901262132</v>
      </c>
      <c r="G854" s="36" t="str">
        <f t="shared" si="54"/>
        <v>2025-05</v>
      </c>
    </row>
    <row r="855" spans="1:7" x14ac:dyDescent="0.25">
      <c r="A855" s="37">
        <v>45806</v>
      </c>
      <c r="B855" s="38">
        <v>143242.93650000001</v>
      </c>
      <c r="C855" s="39">
        <f t="shared" si="55"/>
        <v>3.7621219739256695E-3</v>
      </c>
      <c r="D855" s="38">
        <f>MAX($B$2:B855)</f>
        <v>152618.63310000001</v>
      </c>
      <c r="E855" s="40">
        <f t="shared" si="52"/>
        <v>-6.1432188256179576E-2</v>
      </c>
      <c r="F855" s="41">
        <f t="shared" si="53"/>
        <v>130.25934382866083</v>
      </c>
      <c r="G855" s="42" t="str">
        <f t="shared" si="54"/>
        <v>2025-05</v>
      </c>
    </row>
    <row r="856" spans="1:7" x14ac:dyDescent="0.25">
      <c r="A856" s="31">
        <v>45807</v>
      </c>
      <c r="B856" s="32">
        <v>142407.08900000001</v>
      </c>
      <c r="C856" s="33">
        <f t="shared" si="55"/>
        <v>-5.8351742879831914E-3</v>
      </c>
      <c r="D856" s="32">
        <f>MAX($B$2:B856)</f>
        <v>152618.63310000001</v>
      </c>
      <c r="E856" s="34">
        <f t="shared" si="52"/>
        <v>-6.6908895018795711E-2</v>
      </c>
      <c r="F856" s="35">
        <f t="shared" si="53"/>
        <v>129.49925785478226</v>
      </c>
      <c r="G856" s="36" t="str">
        <f t="shared" si="54"/>
        <v>2025-05</v>
      </c>
    </row>
    <row r="857" spans="1:7" x14ac:dyDescent="0.25">
      <c r="A857" s="37">
        <v>45810</v>
      </c>
      <c r="B857" s="38">
        <v>143123.8389</v>
      </c>
      <c r="C857" s="39">
        <f t="shared" si="55"/>
        <v>5.033105479741895E-3</v>
      </c>
      <c r="D857" s="38">
        <f>MAX($B$2:B857)</f>
        <v>152618.63310000001</v>
      </c>
      <c r="E857" s="40">
        <f t="shared" si="52"/>
        <v>-6.2212549065216338E-2</v>
      </c>
      <c r="F857" s="41">
        <f t="shared" si="53"/>
        <v>130.15104127911371</v>
      </c>
      <c r="G857" s="42" t="str">
        <f t="shared" si="54"/>
        <v>2025-06</v>
      </c>
    </row>
    <row r="858" spans="1:7" x14ac:dyDescent="0.25">
      <c r="A858" s="31">
        <v>45811</v>
      </c>
      <c r="B858" s="32">
        <v>144337.6802</v>
      </c>
      <c r="C858" s="33">
        <f t="shared" si="55"/>
        <v>8.4810560513828293E-3</v>
      </c>
      <c r="D858" s="32">
        <f>MAX($B$2:B858)</f>
        <v>152618.63310000001</v>
      </c>
      <c r="E858" s="34">
        <f t="shared" si="52"/>
        <v>-5.4259121129554999E-2</v>
      </c>
      <c r="F858" s="35">
        <f t="shared" si="53"/>
        <v>131.25485955534771</v>
      </c>
      <c r="G858" s="36" t="str">
        <f t="shared" si="54"/>
        <v>2025-06</v>
      </c>
    </row>
    <row r="859" spans="1:7" x14ac:dyDescent="0.25">
      <c r="A859" s="37">
        <v>45812</v>
      </c>
      <c r="B859" s="38">
        <v>144270.08189999999</v>
      </c>
      <c r="C859" s="39">
        <f t="shared" si="55"/>
        <v>-4.6833439408433541E-4</v>
      </c>
      <c r="D859" s="38">
        <f>MAX($B$2:B859)</f>
        <v>152618.63310000001</v>
      </c>
      <c r="E859" s="40">
        <f t="shared" si="52"/>
        <v>-5.4702044111021531E-2</v>
      </c>
      <c r="F859" s="41">
        <f t="shared" si="53"/>
        <v>131.19338839022723</v>
      </c>
      <c r="G859" s="42" t="str">
        <f t="shared" si="54"/>
        <v>2025-06</v>
      </c>
    </row>
    <row r="860" spans="1:7" x14ac:dyDescent="0.25">
      <c r="A860" s="31">
        <v>45813</v>
      </c>
      <c r="B860" s="32">
        <v>141996.7072</v>
      </c>
      <c r="C860" s="33">
        <f t="shared" si="55"/>
        <v>-1.5757769525463816E-2</v>
      </c>
      <c r="D860" s="32">
        <f>MAX($B$2:B860)</f>
        <v>152618.63310000001</v>
      </c>
      <c r="E860" s="34">
        <f t="shared" si="52"/>
        <v>-6.9597831432812174E-2</v>
      </c>
      <c r="F860" s="35">
        <f t="shared" si="53"/>
        <v>129.12607321270937</v>
      </c>
      <c r="G860" s="36" t="str">
        <f t="shared" si="54"/>
        <v>2025-06</v>
      </c>
    </row>
    <row r="861" spans="1:7" x14ac:dyDescent="0.25">
      <c r="A861" s="37">
        <v>45814</v>
      </c>
      <c r="B861" s="38">
        <v>144197.5956</v>
      </c>
      <c r="C861" s="39">
        <f t="shared" si="55"/>
        <v>1.5499573499969221E-2</v>
      </c>
      <c r="D861" s="38">
        <f>MAX($B$2:B861)</f>
        <v>152618.63310000001</v>
      </c>
      <c r="E861" s="40">
        <f t="shared" si="52"/>
        <v>-5.5176994636574328E-2</v>
      </c>
      <c r="F861" s="41">
        <f t="shared" si="53"/>
        <v>131.12747227523215</v>
      </c>
      <c r="G861" s="42" t="str">
        <f t="shared" si="54"/>
        <v>2025-06</v>
      </c>
    </row>
    <row r="862" spans="1:7" x14ac:dyDescent="0.25">
      <c r="A862" s="31">
        <v>45817</v>
      </c>
      <c r="B862" s="32">
        <v>145116.8653</v>
      </c>
      <c r="C862" s="33">
        <f t="shared" si="55"/>
        <v>6.3750695438087313E-3</v>
      </c>
      <c r="D862" s="32">
        <f>MAX($B$2:B862)</f>
        <v>152618.63310000001</v>
      </c>
      <c r="E862" s="34">
        <f t="shared" si="52"/>
        <v>-4.9153682270792198E-2</v>
      </c>
      <c r="F862" s="35">
        <f t="shared" si="53"/>
        <v>131.96341903009062</v>
      </c>
      <c r="G862" s="36" t="str">
        <f t="shared" si="54"/>
        <v>2025-06</v>
      </c>
    </row>
    <row r="863" spans="1:7" x14ac:dyDescent="0.25">
      <c r="A863" s="37">
        <v>45818</v>
      </c>
      <c r="B863" s="38">
        <v>146765.3265</v>
      </c>
      <c r="C863" s="39">
        <f t="shared" si="55"/>
        <v>1.1359542507978881E-2</v>
      </c>
      <c r="D863" s="38">
        <f>MAX($B$2:B863)</f>
        <v>152618.63310000001</v>
      </c>
      <c r="E863" s="40">
        <f t="shared" si="52"/>
        <v>-3.8352503105992031E-2</v>
      </c>
      <c r="F863" s="41">
        <f t="shared" si="53"/>
        <v>133.46246309806114</v>
      </c>
      <c r="G863" s="42" t="str">
        <f t="shared" si="54"/>
        <v>2025-06</v>
      </c>
    </row>
    <row r="864" spans="1:7" x14ac:dyDescent="0.25">
      <c r="A864" s="31">
        <v>45819</v>
      </c>
      <c r="B864" s="32">
        <v>146568.04790000001</v>
      </c>
      <c r="C864" s="33">
        <f t="shared" si="55"/>
        <v>-1.344177161626714E-3</v>
      </c>
      <c r="D864" s="32">
        <f>MAX($B$2:B864)</f>
        <v>152618.63310000001</v>
      </c>
      <c r="E864" s="34">
        <f t="shared" si="52"/>
        <v>-3.9645127708852534E-2</v>
      </c>
      <c r="F864" s="35">
        <f t="shared" si="53"/>
        <v>133.28306590323027</v>
      </c>
      <c r="G864" s="36" t="str">
        <f t="shared" si="54"/>
        <v>2025-06</v>
      </c>
    </row>
    <row r="865" spans="1:7" x14ac:dyDescent="0.25">
      <c r="A865" s="37">
        <v>45820</v>
      </c>
      <c r="B865" s="38">
        <v>146836.98939999999</v>
      </c>
      <c r="C865" s="39">
        <f t="shared" si="55"/>
        <v>1.8349258508476574E-3</v>
      </c>
      <c r="D865" s="38">
        <f>MAX($B$2:B865)</f>
        <v>152618.63310000001</v>
      </c>
      <c r="E865" s="40">
        <f t="shared" si="52"/>
        <v>-3.7882947727697958E-2</v>
      </c>
      <c r="F865" s="41">
        <f t="shared" si="53"/>
        <v>133.52763044633636</v>
      </c>
      <c r="G865" s="42" t="str">
        <f t="shared" si="54"/>
        <v>2025-06</v>
      </c>
    </row>
    <row r="866" spans="1:7" x14ac:dyDescent="0.25">
      <c r="A866" s="31">
        <v>45821</v>
      </c>
      <c r="B866" s="32">
        <v>145551.51389999999</v>
      </c>
      <c r="C866" s="33">
        <f t="shared" si="55"/>
        <v>-8.7544392271502458E-3</v>
      </c>
      <c r="D866" s="32">
        <f>MAX($B$2:B866)</f>
        <v>152618.63310000001</v>
      </c>
      <c r="E866" s="34">
        <f t="shared" si="52"/>
        <v>-4.63057429912207E-2</v>
      </c>
      <c r="F866" s="35">
        <f t="shared" si="53"/>
        <v>132.35867092044853</v>
      </c>
      <c r="G866" s="36" t="str">
        <f t="shared" si="54"/>
        <v>2025-06</v>
      </c>
    </row>
    <row r="867" spans="1:7" x14ac:dyDescent="0.25">
      <c r="A867" s="37">
        <v>45824</v>
      </c>
      <c r="B867" s="38">
        <v>147646.59039999999</v>
      </c>
      <c r="C867" s="39">
        <f t="shared" si="55"/>
        <v>1.4394055024665731E-2</v>
      </c>
      <c r="D867" s="38">
        <f>MAX($B$2:B867)</f>
        <v>152618.63310000001</v>
      </c>
      <c r="E867" s="40">
        <f t="shared" si="52"/>
        <v>-3.257821537912875E-2</v>
      </c>
      <c r="F867" s="41">
        <f t="shared" si="53"/>
        <v>134.26384891266906</v>
      </c>
      <c r="G867" s="42" t="str">
        <f t="shared" si="54"/>
        <v>2025-06</v>
      </c>
    </row>
    <row r="868" spans="1:7" x14ac:dyDescent="0.25">
      <c r="A868" s="31">
        <v>45825</v>
      </c>
      <c r="B868" s="32">
        <v>146037.4921</v>
      </c>
      <c r="C868" s="33">
        <f t="shared" si="55"/>
        <v>-1.0898309914510462E-2</v>
      </c>
      <c r="D868" s="32">
        <f>MAX($B$2:B868)</f>
        <v>152618.63310000001</v>
      </c>
      <c r="E868" s="34">
        <f t="shared" si="52"/>
        <v>-4.312147780597575E-2</v>
      </c>
      <c r="F868" s="35">
        <f t="shared" si="53"/>
        <v>132.80059987690379</v>
      </c>
      <c r="G868" s="36" t="str">
        <f t="shared" si="54"/>
        <v>2025-06</v>
      </c>
    </row>
    <row r="869" spans="1:7" x14ac:dyDescent="0.25">
      <c r="A869" s="37">
        <v>45826</v>
      </c>
      <c r="B869" s="38">
        <v>146645.01360000001</v>
      </c>
      <c r="C869" s="39">
        <f t="shared" si="55"/>
        <v>4.1600378865995769E-3</v>
      </c>
      <c r="D869" s="38">
        <f>MAX($B$2:B869)</f>
        <v>152618.63310000001</v>
      </c>
      <c r="E869" s="40">
        <f t="shared" si="52"/>
        <v>-3.9140826900775028E-2</v>
      </c>
      <c r="F869" s="41">
        <f t="shared" si="53"/>
        <v>133.35305540375489</v>
      </c>
      <c r="G869" s="42" t="str">
        <f t="shared" si="54"/>
        <v>2025-06</v>
      </c>
    </row>
    <row r="870" spans="1:7" x14ac:dyDescent="0.25">
      <c r="A870" s="31">
        <v>45828</v>
      </c>
      <c r="B870" s="32">
        <v>146129.60949999999</v>
      </c>
      <c r="C870" s="33">
        <f t="shared" si="55"/>
        <v>-3.5146377455824718E-3</v>
      </c>
      <c r="D870" s="32">
        <f>MAX($B$2:B870)</f>
        <v>152618.63310000001</v>
      </c>
      <c r="E870" s="34">
        <f t="shared" si="52"/>
        <v>-4.2517898818738797E-2</v>
      </c>
      <c r="F870" s="35">
        <f t="shared" si="53"/>
        <v>132.8843677217441</v>
      </c>
      <c r="G870" s="36" t="str">
        <f t="shared" si="54"/>
        <v>2025-06</v>
      </c>
    </row>
    <row r="871" spans="1:7" x14ac:dyDescent="0.25">
      <c r="A871" s="37">
        <v>45831</v>
      </c>
      <c r="B871" s="38">
        <v>148014.89970000001</v>
      </c>
      <c r="C871" s="39">
        <f t="shared" si="55"/>
        <v>1.2901493451264123E-2</v>
      </c>
      <c r="D871" s="38">
        <f>MAX($B$2:B871)</f>
        <v>152618.63310000001</v>
      </c>
      <c r="E871" s="40">
        <f t="shared" si="52"/>
        <v>-3.0164949760646209E-2</v>
      </c>
      <c r="F871" s="41">
        <f t="shared" si="53"/>
        <v>134.59877452168155</v>
      </c>
      <c r="G871" s="42" t="str">
        <f t="shared" si="54"/>
        <v>2025-06</v>
      </c>
    </row>
    <row r="872" spans="1:7" x14ac:dyDescent="0.25">
      <c r="A872" s="31">
        <v>45832</v>
      </c>
      <c r="B872" s="32">
        <v>149979.8763</v>
      </c>
      <c r="C872" s="33">
        <f t="shared" si="55"/>
        <v>1.327553242263213E-2</v>
      </c>
      <c r="D872" s="32">
        <f>MAX($B$2:B872)</f>
        <v>152618.63310000001</v>
      </c>
      <c r="E872" s="34">
        <f t="shared" si="52"/>
        <v>-1.7289873106588582E-2</v>
      </c>
      <c r="F872" s="35">
        <f t="shared" si="53"/>
        <v>136.38564491689067</v>
      </c>
      <c r="G872" s="36" t="str">
        <f t="shared" si="54"/>
        <v>2025-06</v>
      </c>
    </row>
    <row r="873" spans="1:7" x14ac:dyDescent="0.25">
      <c r="A873" s="37">
        <v>45833</v>
      </c>
      <c r="B873" s="38">
        <v>150203.2794</v>
      </c>
      <c r="C873" s="39">
        <f t="shared" si="55"/>
        <v>1.4895538355634841E-3</v>
      </c>
      <c r="D873" s="38">
        <f>MAX($B$2:B873)</f>
        <v>152618.63310000001</v>
      </c>
      <c r="E873" s="40">
        <f t="shared" si="52"/>
        <v>-1.5826073467827495E-2</v>
      </c>
      <c r="F873" s="41">
        <f t="shared" si="53"/>
        <v>136.58879867739242</v>
      </c>
      <c r="G873" s="42" t="str">
        <f t="shared" si="54"/>
        <v>2025-06</v>
      </c>
    </row>
    <row r="874" spans="1:7" x14ac:dyDescent="0.25">
      <c r="A874" s="31">
        <v>45834</v>
      </c>
      <c r="B874" s="32">
        <v>151215.4877</v>
      </c>
      <c r="C874" s="33">
        <f t="shared" si="55"/>
        <v>6.7389227721481593E-3</v>
      </c>
      <c r="D874" s="32">
        <f>MAX($B$2:B874)</f>
        <v>152618.63310000001</v>
      </c>
      <c r="E874" s="34">
        <f t="shared" si="52"/>
        <v>-9.1938013825653142E-3</v>
      </c>
      <c r="F874" s="35">
        <f t="shared" si="53"/>
        <v>137.50926004321985</v>
      </c>
      <c r="G874" s="36" t="str">
        <f t="shared" si="54"/>
        <v>2025-06</v>
      </c>
    </row>
    <row r="875" spans="1:7" x14ac:dyDescent="0.25">
      <c r="A875" s="37">
        <v>45835</v>
      </c>
      <c r="B875" s="38">
        <v>151939.5134</v>
      </c>
      <c r="C875" s="39">
        <f t="shared" si="55"/>
        <v>4.7880393140444788E-3</v>
      </c>
      <c r="D875" s="38">
        <f>MAX($B$2:B875)</f>
        <v>152618.63310000001</v>
      </c>
      <c r="E875" s="40">
        <f t="shared" si="52"/>
        <v>-4.4497823509861423E-3</v>
      </c>
      <c r="F875" s="41">
        <f t="shared" si="53"/>
        <v>138.16765978635198</v>
      </c>
      <c r="G875" s="42" t="str">
        <f t="shared" si="54"/>
        <v>2025-06</v>
      </c>
    </row>
    <row r="876" spans="1:7" x14ac:dyDescent="0.25">
      <c r="A876" s="31">
        <v>45838</v>
      </c>
      <c r="B876" s="32">
        <v>152753.4094</v>
      </c>
      <c r="C876" s="33">
        <f t="shared" si="55"/>
        <v>5.3567105869118947E-3</v>
      </c>
      <c r="D876" s="32">
        <f>MAX($B$2:B876)</f>
        <v>152753.4094</v>
      </c>
      <c r="E876" s="34">
        <f t="shared" si="52"/>
        <v>0</v>
      </c>
      <c r="F876" s="35">
        <f t="shared" si="53"/>
        <v>138.90778395229836</v>
      </c>
      <c r="G876" s="36" t="str">
        <f t="shared" si="54"/>
        <v>2025-06</v>
      </c>
    </row>
    <row r="877" spans="1:7" x14ac:dyDescent="0.25">
      <c r="A877" s="37">
        <v>45839</v>
      </c>
      <c r="B877" s="38">
        <v>151404.22649999999</v>
      </c>
      <c r="C877" s="39">
        <f t="shared" si="55"/>
        <v>-8.8324241357327082E-3</v>
      </c>
      <c r="D877" s="38">
        <f>MAX($B$2:B877)</f>
        <v>152753.4094</v>
      </c>
      <c r="E877" s="40">
        <f t="shared" si="52"/>
        <v>-8.8324241357327082E-3</v>
      </c>
      <c r="F877" s="41">
        <f t="shared" si="53"/>
        <v>137.68089148867693</v>
      </c>
      <c r="G877" s="42" t="str">
        <f t="shared" si="54"/>
        <v>2025-07</v>
      </c>
    </row>
    <row r="878" spans="1:7" x14ac:dyDescent="0.25">
      <c r="A878" s="31">
        <v>45840</v>
      </c>
      <c r="B878" s="32">
        <v>153841.37349999999</v>
      </c>
      <c r="C878" s="33">
        <f t="shared" si="55"/>
        <v>1.6096954862749424E-2</v>
      </c>
      <c r="D878" s="32">
        <f>MAX($B$2:B878)</f>
        <v>153841.37349999999</v>
      </c>
      <c r="E878" s="34">
        <f t="shared" si="52"/>
        <v>0</v>
      </c>
      <c r="F878" s="35">
        <f t="shared" si="53"/>
        <v>139.89713458443327</v>
      </c>
      <c r="G878" s="36" t="str">
        <f t="shared" si="54"/>
        <v>2025-07</v>
      </c>
    </row>
    <row r="879" spans="1:7" x14ac:dyDescent="0.25">
      <c r="A879" s="37">
        <v>45841</v>
      </c>
      <c r="B879" s="38">
        <v>154726.34669999999</v>
      </c>
      <c r="C879" s="39">
        <f t="shared" si="55"/>
        <v>5.7525045432593735E-3</v>
      </c>
      <c r="D879" s="38">
        <f>MAX($B$2:B879)</f>
        <v>154726.34669999999</v>
      </c>
      <c r="E879" s="40">
        <f t="shared" si="52"/>
        <v>0</v>
      </c>
      <c r="F879" s="41">
        <f t="shared" si="53"/>
        <v>140.70189348671917</v>
      </c>
      <c r="G879" s="42" t="str">
        <f t="shared" si="54"/>
        <v>2025-07</v>
      </c>
    </row>
    <row r="880" spans="1:7" x14ac:dyDescent="0.25">
      <c r="A880" s="31">
        <v>45845</v>
      </c>
      <c r="B880" s="32">
        <v>152422.11780000001</v>
      </c>
      <c r="C880" s="33">
        <f t="shared" si="55"/>
        <v>-1.4892285309803577E-2</v>
      </c>
      <c r="D880" s="32">
        <f>MAX($B$2:B880)</f>
        <v>154726.34669999999</v>
      </c>
      <c r="E880" s="34">
        <f t="shared" si="52"/>
        <v>-1.4892285309803577E-2</v>
      </c>
      <c r="F880" s="35">
        <f t="shared" si="53"/>
        <v>138.60652074528537</v>
      </c>
      <c r="G880" s="36" t="str">
        <f t="shared" si="54"/>
        <v>2025-07</v>
      </c>
    </row>
    <row r="881" spans="1:7" x14ac:dyDescent="0.25">
      <c r="A881" s="37">
        <v>45846</v>
      </c>
      <c r="B881" s="38">
        <v>152335.62849999999</v>
      </c>
      <c r="C881" s="39">
        <f t="shared" si="55"/>
        <v>-5.6743274039472436E-4</v>
      </c>
      <c r="D881" s="38">
        <f>MAX($B$2:B881)</f>
        <v>154726.34669999999</v>
      </c>
      <c r="E881" s="40">
        <f t="shared" si="52"/>
        <v>-1.5451267679934211E-2</v>
      </c>
      <c r="F881" s="41">
        <f t="shared" si="53"/>
        <v>138.52787086738229</v>
      </c>
      <c r="G881" s="42" t="str">
        <f t="shared" si="54"/>
        <v>2025-07</v>
      </c>
    </row>
    <row r="882" spans="1:7" x14ac:dyDescent="0.25">
      <c r="A882" s="31">
        <v>45847</v>
      </c>
      <c r="B882" s="32">
        <v>153666.7648</v>
      </c>
      <c r="C882" s="33">
        <f t="shared" si="55"/>
        <v>8.7381810355677825E-3</v>
      </c>
      <c r="D882" s="32">
        <f>MAX($B$2:B882)</f>
        <v>154726.34669999999</v>
      </c>
      <c r="E882" s="34">
        <f t="shared" si="52"/>
        <v>-6.8481026185825966E-3</v>
      </c>
      <c r="F882" s="35">
        <f t="shared" si="53"/>
        <v>139.73835248149325</v>
      </c>
      <c r="G882" s="36" t="str">
        <f t="shared" si="54"/>
        <v>2025-07</v>
      </c>
    </row>
    <row r="883" spans="1:7" x14ac:dyDescent="0.25">
      <c r="A883" s="37">
        <v>45848</v>
      </c>
      <c r="B883" s="38">
        <v>154807.54519999999</v>
      </c>
      <c r="C883" s="39">
        <f t="shared" si="55"/>
        <v>7.4237288816794145E-3</v>
      </c>
      <c r="D883" s="38">
        <f>MAX($B$2:B883)</f>
        <v>154807.54519999999</v>
      </c>
      <c r="E883" s="40">
        <f t="shared" si="52"/>
        <v>0</v>
      </c>
      <c r="F883" s="41">
        <f t="shared" si="53"/>
        <v>140.7757321246884</v>
      </c>
      <c r="G883" s="42" t="str">
        <f t="shared" si="54"/>
        <v>2025-07</v>
      </c>
    </row>
    <row r="884" spans="1:7" x14ac:dyDescent="0.25">
      <c r="A884" s="31">
        <v>45849</v>
      </c>
      <c r="B884" s="32">
        <v>155028.24400000001</v>
      </c>
      <c r="C884" s="33">
        <f t="shared" si="55"/>
        <v>1.4256333547235656E-3</v>
      </c>
      <c r="D884" s="32">
        <f>MAX($B$2:B884)</f>
        <v>155028.24400000001</v>
      </c>
      <c r="E884" s="34">
        <f t="shared" si="52"/>
        <v>0</v>
      </c>
      <c r="F884" s="35">
        <f t="shared" si="53"/>
        <v>140.976426703941</v>
      </c>
      <c r="G884" s="36" t="str">
        <f t="shared" si="54"/>
        <v>2025-07</v>
      </c>
    </row>
    <row r="885" spans="1:7" x14ac:dyDescent="0.25">
      <c r="A885" s="37">
        <v>45852</v>
      </c>
      <c r="B885" s="38">
        <v>154959.2887</v>
      </c>
      <c r="C885" s="39">
        <f t="shared" si="55"/>
        <v>-4.4479185354118211E-4</v>
      </c>
      <c r="D885" s="38">
        <f>MAX($B$2:B885)</f>
        <v>155028.24400000001</v>
      </c>
      <c r="E885" s="40">
        <f t="shared" si="52"/>
        <v>-4.4479185354118211E-4</v>
      </c>
      <c r="F885" s="41">
        <f t="shared" si="53"/>
        <v>140.91372153780173</v>
      </c>
      <c r="G885" s="42" t="str">
        <f t="shared" si="54"/>
        <v>2025-07</v>
      </c>
    </row>
    <row r="886" spans="1:7" x14ac:dyDescent="0.25">
      <c r="A886" s="31">
        <v>45853</v>
      </c>
      <c r="B886" s="32">
        <v>155403.16219999999</v>
      </c>
      <c r="C886" s="33">
        <f t="shared" si="55"/>
        <v>2.8644523585761306E-3</v>
      </c>
      <c r="D886" s="32">
        <f>MAX($B$2:B886)</f>
        <v>155403.16219999999</v>
      </c>
      <c r="E886" s="34">
        <f t="shared" si="52"/>
        <v>0</v>
      </c>
      <c r="F886" s="35">
        <f t="shared" si="53"/>
        <v>141.31736217981643</v>
      </c>
      <c r="G886" s="36" t="str">
        <f t="shared" si="54"/>
        <v>2025-07</v>
      </c>
    </row>
    <row r="887" spans="1:7" x14ac:dyDescent="0.25">
      <c r="A887" s="37">
        <v>45854</v>
      </c>
      <c r="B887" s="38">
        <v>156309.25210000001</v>
      </c>
      <c r="C887" s="39">
        <f t="shared" si="55"/>
        <v>5.8305756921079865E-3</v>
      </c>
      <c r="D887" s="38">
        <f>MAX($B$2:B887)</f>
        <v>156309.25210000001</v>
      </c>
      <c r="E887" s="40">
        <f t="shared" si="52"/>
        <v>0</v>
      </c>
      <c r="F887" s="41">
        <f t="shared" si="53"/>
        <v>142.14132375661487</v>
      </c>
      <c r="G887" s="42" t="str">
        <f t="shared" si="54"/>
        <v>2025-07</v>
      </c>
    </row>
    <row r="888" spans="1:7" x14ac:dyDescent="0.25">
      <c r="A888" s="31">
        <v>45855</v>
      </c>
      <c r="B888" s="32">
        <v>157428.40040000001</v>
      </c>
      <c r="C888" s="33">
        <f t="shared" si="55"/>
        <v>7.1598340147134287E-3</v>
      </c>
      <c r="D888" s="32">
        <f>MAX($B$2:B888)</f>
        <v>157428.40040000001</v>
      </c>
      <c r="E888" s="34">
        <f t="shared" si="52"/>
        <v>0</v>
      </c>
      <c r="F888" s="35">
        <f t="shared" si="53"/>
        <v>143.15903204134389</v>
      </c>
      <c r="G888" s="36" t="str">
        <f t="shared" si="54"/>
        <v>2025-07</v>
      </c>
    </row>
    <row r="889" spans="1:7" x14ac:dyDescent="0.25">
      <c r="A889" s="37">
        <v>45856</v>
      </c>
      <c r="B889" s="38">
        <v>158042.70420000001</v>
      </c>
      <c r="C889" s="39">
        <f t="shared" si="55"/>
        <v>3.9021154914815614E-3</v>
      </c>
      <c r="D889" s="38">
        <f>MAX($B$2:B889)</f>
        <v>158042.70420000001</v>
      </c>
      <c r="E889" s="40">
        <f t="shared" si="52"/>
        <v>0</v>
      </c>
      <c r="F889" s="41">
        <f t="shared" si="53"/>
        <v>143.71765511801792</v>
      </c>
      <c r="G889" s="42" t="str">
        <f t="shared" si="54"/>
        <v>2025-07</v>
      </c>
    </row>
    <row r="890" spans="1:7" x14ac:dyDescent="0.25">
      <c r="A890" s="31">
        <v>45859</v>
      </c>
      <c r="B890" s="32">
        <v>157843.20430000001</v>
      </c>
      <c r="C890" s="33">
        <f t="shared" si="55"/>
        <v>-1.2623164163751976E-3</v>
      </c>
      <c r="D890" s="32">
        <f>MAX($B$2:B890)</f>
        <v>158042.70420000001</v>
      </c>
      <c r="E890" s="34">
        <f t="shared" si="52"/>
        <v>-1.2623164163751976E-3</v>
      </c>
      <c r="F890" s="35">
        <f t="shared" si="53"/>
        <v>143.53623796263949</v>
      </c>
      <c r="G890" s="36" t="str">
        <f t="shared" si="54"/>
        <v>2025-07</v>
      </c>
    </row>
    <row r="891" spans="1:7" x14ac:dyDescent="0.25">
      <c r="A891" s="37">
        <v>45860</v>
      </c>
      <c r="B891" s="38">
        <v>157120.27650000001</v>
      </c>
      <c r="C891" s="39">
        <f t="shared" si="55"/>
        <v>-4.5800375328544085E-3</v>
      </c>
      <c r="D891" s="38">
        <f>MAX($B$2:B891)</f>
        <v>158042.70420000001</v>
      </c>
      <c r="E891" s="40">
        <f t="shared" si="52"/>
        <v>-5.8365724926643381E-3</v>
      </c>
      <c r="F891" s="41">
        <f t="shared" si="53"/>
        <v>142.87883660544588</v>
      </c>
      <c r="G891" s="42" t="str">
        <f t="shared" si="54"/>
        <v>2025-07</v>
      </c>
    </row>
    <row r="892" spans="1:7" x14ac:dyDescent="0.25">
      <c r="A892" s="31">
        <v>45861</v>
      </c>
      <c r="B892" s="32">
        <v>158206.11350000001</v>
      </c>
      <c r="C892" s="33">
        <f t="shared" si="55"/>
        <v>6.9108648749101054E-3</v>
      </c>
      <c r="D892" s="32">
        <f>MAX($B$2:B892)</f>
        <v>158206.11350000001</v>
      </c>
      <c r="E892" s="34">
        <f t="shared" si="52"/>
        <v>0</v>
      </c>
      <c r="F892" s="35">
        <f t="shared" si="53"/>
        <v>143.86625293871046</v>
      </c>
      <c r="G892" s="36" t="str">
        <f t="shared" si="54"/>
        <v>2025-07</v>
      </c>
    </row>
    <row r="893" spans="1:7" x14ac:dyDescent="0.25">
      <c r="A893" s="37">
        <v>45862</v>
      </c>
      <c r="B893" s="38">
        <v>157642.36919999999</v>
      </c>
      <c r="C893" s="39">
        <f t="shared" si="55"/>
        <v>-3.5633534477794715E-3</v>
      </c>
      <c r="D893" s="38">
        <f>MAX($B$2:B893)</f>
        <v>158206.11350000001</v>
      </c>
      <c r="E893" s="40">
        <f t="shared" si="52"/>
        <v>-3.5633534477794715E-3</v>
      </c>
      <c r="F893" s="41">
        <f t="shared" si="53"/>
        <v>143.35360663028217</v>
      </c>
      <c r="G893" s="42" t="str">
        <f t="shared" si="54"/>
        <v>2025-07</v>
      </c>
    </row>
    <row r="894" spans="1:7" x14ac:dyDescent="0.25">
      <c r="A894" s="31">
        <v>45863</v>
      </c>
      <c r="B894" s="32">
        <v>158943.09359999999</v>
      </c>
      <c r="C894" s="33">
        <f t="shared" si="55"/>
        <v>8.2511091821373395E-3</v>
      </c>
      <c r="D894" s="32">
        <f>MAX($B$2:B894)</f>
        <v>158943.09359999999</v>
      </c>
      <c r="E894" s="34">
        <f t="shared" si="52"/>
        <v>0</v>
      </c>
      <c r="F894" s="35">
        <f t="shared" si="53"/>
        <v>144.5364328902418</v>
      </c>
      <c r="G894" s="36" t="str">
        <f t="shared" si="54"/>
        <v>2025-07</v>
      </c>
    </row>
    <row r="895" spans="1:7" x14ac:dyDescent="0.25">
      <c r="A895" s="37">
        <v>45866</v>
      </c>
      <c r="B895" s="38">
        <v>159498.2751</v>
      </c>
      <c r="C895" s="39">
        <f t="shared" si="55"/>
        <v>3.4929576833151454E-3</v>
      </c>
      <c r="D895" s="38">
        <f>MAX($B$2:B895)</f>
        <v>159498.2751</v>
      </c>
      <c r="E895" s="40">
        <f t="shared" si="52"/>
        <v>0</v>
      </c>
      <c r="F895" s="41">
        <f t="shared" si="53"/>
        <v>145.04129253402476</v>
      </c>
      <c r="G895" s="42" t="str">
        <f t="shared" si="54"/>
        <v>2025-07</v>
      </c>
    </row>
    <row r="896" spans="1:7" x14ac:dyDescent="0.25">
      <c r="A896" s="31">
        <v>45867</v>
      </c>
      <c r="B896" s="32">
        <v>158641.63389999999</v>
      </c>
      <c r="C896" s="33">
        <f t="shared" si="55"/>
        <v>-5.37084930519105E-3</v>
      </c>
      <c r="D896" s="32">
        <f>MAX($B$2:B896)</f>
        <v>159498.2751</v>
      </c>
      <c r="E896" s="34">
        <f t="shared" si="52"/>
        <v>-5.37084930519105E-3</v>
      </c>
      <c r="F896" s="35">
        <f t="shared" si="53"/>
        <v>144.26229760879437</v>
      </c>
      <c r="G896" s="36" t="str">
        <f t="shared" si="54"/>
        <v>2025-07</v>
      </c>
    </row>
    <row r="897" spans="1:7" x14ac:dyDescent="0.25">
      <c r="A897" s="37">
        <v>45868</v>
      </c>
      <c r="B897" s="38">
        <v>158968.97959999999</v>
      </c>
      <c r="C897" s="39">
        <f t="shared" si="55"/>
        <v>2.0634286974523519E-3</v>
      </c>
      <c r="D897" s="38">
        <f>MAX($B$2:B897)</f>
        <v>159498.2751</v>
      </c>
      <c r="E897" s="40">
        <f t="shared" si="52"/>
        <v>-3.3185029723247217E-3</v>
      </c>
      <c r="F897" s="41">
        <f t="shared" si="53"/>
        <v>144.55997257364078</v>
      </c>
      <c r="G897" s="42" t="str">
        <f t="shared" si="54"/>
        <v>2025-07</v>
      </c>
    </row>
    <row r="898" spans="1:7" x14ac:dyDescent="0.25">
      <c r="A898" s="31">
        <v>45869</v>
      </c>
      <c r="B898" s="32">
        <v>158312.7225</v>
      </c>
      <c r="C898" s="33">
        <f t="shared" si="55"/>
        <v>-4.1282085451593842E-3</v>
      </c>
      <c r="D898" s="32">
        <f>MAX($B$2:B898)</f>
        <v>159498.2751</v>
      </c>
      <c r="E898" s="34">
        <f t="shared" ref="E898:E961" si="56">B898/D898-1</f>
        <v>-7.4330120451565618E-3</v>
      </c>
      <c r="F898" s="35">
        <f t="shared" ref="F898:F961" si="57">B898/$B$2*100</f>
        <v>143.96319885957428</v>
      </c>
      <c r="G898" s="36" t="str">
        <f t="shared" ref="G898:G961" si="58">TEXT(A898,"YYYY-MM")</f>
        <v>2025-07</v>
      </c>
    </row>
    <row r="899" spans="1:7" x14ac:dyDescent="0.25">
      <c r="A899" s="37">
        <v>45870</v>
      </c>
      <c r="B899" s="38">
        <v>154695.93470000001</v>
      </c>
      <c r="C899" s="39">
        <f t="shared" ref="C899:C962" si="59">B899/B898-1</f>
        <v>-2.2845844243503444E-2</v>
      </c>
      <c r="D899" s="38">
        <f>MAX($B$2:B899)</f>
        <v>159498.2751</v>
      </c>
      <c r="E899" s="40">
        <f t="shared" si="56"/>
        <v>-3.0109042853216361E-2</v>
      </c>
      <c r="F899" s="41">
        <f t="shared" si="57"/>
        <v>140.6742380416319</v>
      </c>
      <c r="G899" s="42" t="str">
        <f t="shared" si="58"/>
        <v>2025-08</v>
      </c>
    </row>
    <row r="900" spans="1:7" x14ac:dyDescent="0.25">
      <c r="A900" s="31">
        <v>45873</v>
      </c>
      <c r="B900" s="32">
        <v>157710.49129999999</v>
      </c>
      <c r="C900" s="33">
        <f t="shared" si="59"/>
        <v>1.9486980093213591E-2</v>
      </c>
      <c r="D900" s="32">
        <f>MAX($B$2:B900)</f>
        <v>159498.2751</v>
      </c>
      <c r="E900" s="34">
        <f t="shared" si="56"/>
        <v>-1.1208797078709032E-2</v>
      </c>
      <c r="F900" s="35">
        <f t="shared" si="57"/>
        <v>143.41555411797719</v>
      </c>
      <c r="G900" s="36" t="str">
        <f t="shared" si="58"/>
        <v>2025-08</v>
      </c>
    </row>
    <row r="901" spans="1:7" x14ac:dyDescent="0.25">
      <c r="A901" s="37">
        <v>45874</v>
      </c>
      <c r="B901" s="38">
        <v>156617.6109</v>
      </c>
      <c r="C901" s="39">
        <f t="shared" si="59"/>
        <v>-6.9296620091119365E-3</v>
      </c>
      <c r="D901" s="38">
        <f>MAX($B$2:B901)</f>
        <v>159498.2751</v>
      </c>
      <c r="E901" s="40">
        <f t="shared" si="56"/>
        <v>-1.8060785912536792E-2</v>
      </c>
      <c r="F901" s="41">
        <f t="shared" si="57"/>
        <v>142.42173280109009</v>
      </c>
      <c r="G901" s="42" t="str">
        <f t="shared" si="58"/>
        <v>2025-08</v>
      </c>
    </row>
    <row r="902" spans="1:7" x14ac:dyDescent="0.25">
      <c r="A902" s="31">
        <v>45875</v>
      </c>
      <c r="B902" s="32">
        <v>158411.18840000001</v>
      </c>
      <c r="C902" s="33">
        <f t="shared" si="59"/>
        <v>1.1451952878691385E-2</v>
      </c>
      <c r="D902" s="32">
        <f>MAX($B$2:B902)</f>
        <v>159498.2751</v>
      </c>
      <c r="E902" s="34">
        <f t="shared" si="56"/>
        <v>-6.8156643030680142E-3</v>
      </c>
      <c r="F902" s="35">
        <f t="shared" si="57"/>
        <v>144.05273977402976</v>
      </c>
      <c r="G902" s="36" t="str">
        <f t="shared" si="58"/>
        <v>2025-08</v>
      </c>
    </row>
    <row r="903" spans="1:7" x14ac:dyDescent="0.25">
      <c r="A903" s="37">
        <v>45876</v>
      </c>
      <c r="B903" s="38">
        <v>159996.283</v>
      </c>
      <c r="C903" s="39">
        <f t="shared" si="59"/>
        <v>1.0006203576969019E-2</v>
      </c>
      <c r="D903" s="38">
        <f>MAX($B$2:B903)</f>
        <v>159996.283</v>
      </c>
      <c r="E903" s="40">
        <f t="shared" si="56"/>
        <v>0</v>
      </c>
      <c r="F903" s="41">
        <f t="shared" si="57"/>
        <v>145.49416081402885</v>
      </c>
      <c r="G903" s="42" t="str">
        <f t="shared" si="58"/>
        <v>2025-08</v>
      </c>
    </row>
    <row r="904" spans="1:7" x14ac:dyDescent="0.25">
      <c r="A904" s="31">
        <v>45877</v>
      </c>
      <c r="B904" s="32">
        <v>162184.1881</v>
      </c>
      <c r="C904" s="33">
        <f t="shared" si="59"/>
        <v>1.3674724555944762E-2</v>
      </c>
      <c r="D904" s="32">
        <f>MAX($B$2:B904)</f>
        <v>162184.1881</v>
      </c>
      <c r="E904" s="34">
        <f t="shared" si="56"/>
        <v>0</v>
      </c>
      <c r="F904" s="35">
        <f t="shared" si="57"/>
        <v>147.48375338765902</v>
      </c>
      <c r="G904" s="36" t="str">
        <f t="shared" si="58"/>
        <v>2025-08</v>
      </c>
    </row>
    <row r="905" spans="1:7" x14ac:dyDescent="0.25">
      <c r="A905" s="37">
        <v>45880</v>
      </c>
      <c r="B905" s="38">
        <v>162394.63039999999</v>
      </c>
      <c r="C905" s="39">
        <f t="shared" si="59"/>
        <v>1.2975512746671303E-3</v>
      </c>
      <c r="D905" s="38">
        <f>MAX($B$2:B905)</f>
        <v>162394.63039999999</v>
      </c>
      <c r="E905" s="40">
        <f t="shared" si="56"/>
        <v>0</v>
      </c>
      <c r="F905" s="41">
        <f t="shared" si="57"/>
        <v>147.67512111985985</v>
      </c>
      <c r="G905" s="42" t="str">
        <f t="shared" si="58"/>
        <v>2025-08</v>
      </c>
    </row>
    <row r="906" spans="1:7" x14ac:dyDescent="0.25">
      <c r="A906" s="31">
        <v>45881</v>
      </c>
      <c r="B906" s="32">
        <v>164049.8167</v>
      </c>
      <c r="C906" s="33">
        <f t="shared" si="59"/>
        <v>1.019237086794722E-2</v>
      </c>
      <c r="D906" s="32">
        <f>MAX($B$2:B906)</f>
        <v>164049.8167</v>
      </c>
      <c r="E906" s="34">
        <f t="shared" si="56"/>
        <v>0</v>
      </c>
      <c r="F906" s="35">
        <f t="shared" si="57"/>
        <v>149.18028072228248</v>
      </c>
      <c r="G906" s="36" t="str">
        <f t="shared" si="58"/>
        <v>2025-08</v>
      </c>
    </row>
    <row r="907" spans="1:7" x14ac:dyDescent="0.25">
      <c r="A907" s="37">
        <v>45882</v>
      </c>
      <c r="B907" s="38">
        <v>163312.73329999999</v>
      </c>
      <c r="C907" s="39">
        <f t="shared" si="59"/>
        <v>-4.4930461662625598E-3</v>
      </c>
      <c r="D907" s="38">
        <f>MAX($B$2:B907)</f>
        <v>164049.8167</v>
      </c>
      <c r="E907" s="40">
        <f t="shared" si="56"/>
        <v>-4.4930461662625598E-3</v>
      </c>
      <c r="F907" s="41">
        <f t="shared" si="57"/>
        <v>148.51000683390129</v>
      </c>
      <c r="G907" s="42" t="str">
        <f t="shared" si="58"/>
        <v>2025-08</v>
      </c>
    </row>
    <row r="908" spans="1:7" x14ac:dyDescent="0.25">
      <c r="A908" s="31">
        <v>45883</v>
      </c>
      <c r="B908" s="32">
        <v>163622.43239999999</v>
      </c>
      <c r="C908" s="33">
        <f t="shared" si="59"/>
        <v>1.8963561122395944E-3</v>
      </c>
      <c r="D908" s="32">
        <f>MAX($B$2:B908)</f>
        <v>164049.8167</v>
      </c>
      <c r="E908" s="34">
        <f t="shared" si="56"/>
        <v>-2.6052104695829525E-3</v>
      </c>
      <c r="F908" s="35">
        <f t="shared" si="57"/>
        <v>148.79163469308946</v>
      </c>
      <c r="G908" s="36" t="str">
        <f t="shared" si="58"/>
        <v>2025-08</v>
      </c>
    </row>
    <row r="909" spans="1:7" x14ac:dyDescent="0.25">
      <c r="A909" s="37">
        <v>45884</v>
      </c>
      <c r="B909" s="38">
        <v>163025.86060000001</v>
      </c>
      <c r="C909" s="39">
        <f t="shared" si="59"/>
        <v>-3.6460269612761387E-3</v>
      </c>
      <c r="D909" s="38">
        <f>MAX($B$2:B909)</f>
        <v>164049.8167</v>
      </c>
      <c r="E909" s="40">
        <f t="shared" si="56"/>
        <v>-6.2417387632471844E-3</v>
      </c>
      <c r="F909" s="41">
        <f t="shared" si="57"/>
        <v>148.24913638138614</v>
      </c>
      <c r="G909" s="42" t="str">
        <f t="shared" si="58"/>
        <v>2025-08</v>
      </c>
    </row>
    <row r="910" spans="1:7" x14ac:dyDescent="0.25">
      <c r="A910" s="31">
        <v>45887</v>
      </c>
      <c r="B910" s="32">
        <v>163445.71729999999</v>
      </c>
      <c r="C910" s="33">
        <f t="shared" si="59"/>
        <v>2.5753993780786022E-3</v>
      </c>
      <c r="D910" s="32">
        <f>MAX($B$2:B910)</f>
        <v>164049.8167</v>
      </c>
      <c r="E910" s="34">
        <f t="shared" si="56"/>
        <v>-3.6824143552974808E-3</v>
      </c>
      <c r="F910" s="35">
        <f t="shared" si="57"/>
        <v>148.63093711502344</v>
      </c>
      <c r="G910" s="36" t="str">
        <f t="shared" si="58"/>
        <v>2025-08</v>
      </c>
    </row>
    <row r="911" spans="1:7" x14ac:dyDescent="0.25">
      <c r="A911" s="37">
        <v>45888</v>
      </c>
      <c r="B911" s="38">
        <v>160901.51139999999</v>
      </c>
      <c r="C911" s="39">
        <f t="shared" si="59"/>
        <v>-1.5566060353421118E-2</v>
      </c>
      <c r="D911" s="38">
        <f>MAX($B$2:B911)</f>
        <v>164049.8167</v>
      </c>
      <c r="E911" s="40">
        <f t="shared" si="56"/>
        <v>-1.9191154024617685E-2</v>
      </c>
      <c r="F911" s="41">
        <f t="shared" si="57"/>
        <v>146.31733897750544</v>
      </c>
      <c r="G911" s="42" t="str">
        <f t="shared" si="58"/>
        <v>2025-08</v>
      </c>
    </row>
    <row r="912" spans="1:7" x14ac:dyDescent="0.25">
      <c r="A912" s="31">
        <v>45889</v>
      </c>
      <c r="B912" s="32">
        <v>159251.307</v>
      </c>
      <c r="C912" s="33">
        <f t="shared" si="59"/>
        <v>-1.0255990671819037E-2</v>
      </c>
      <c r="D912" s="32">
        <f>MAX($B$2:B912)</f>
        <v>164049.8167</v>
      </c>
      <c r="E912" s="34">
        <f t="shared" si="56"/>
        <v>-2.9250320399778929E-2</v>
      </c>
      <c r="F912" s="35">
        <f t="shared" si="57"/>
        <v>144.81670971382675</v>
      </c>
      <c r="G912" s="36" t="str">
        <f t="shared" si="58"/>
        <v>2025-08</v>
      </c>
    </row>
    <row r="913" spans="1:7" x14ac:dyDescent="0.25">
      <c r="A913" s="37">
        <v>45890</v>
      </c>
      <c r="B913" s="38">
        <v>158624.552</v>
      </c>
      <c r="C913" s="39">
        <f t="shared" si="59"/>
        <v>-3.9356348893262449E-3</v>
      </c>
      <c r="D913" s="38">
        <f>MAX($B$2:B913)</f>
        <v>164049.8167</v>
      </c>
      <c r="E913" s="40">
        <f t="shared" si="56"/>
        <v>-3.3070836707615792E-2</v>
      </c>
      <c r="F913" s="41">
        <f t="shared" si="57"/>
        <v>144.2467640185196</v>
      </c>
      <c r="G913" s="42" t="str">
        <f t="shared" si="58"/>
        <v>2025-08</v>
      </c>
    </row>
    <row r="914" spans="1:7" x14ac:dyDescent="0.25">
      <c r="A914" s="31">
        <v>45891</v>
      </c>
      <c r="B914" s="32">
        <v>161978.5808</v>
      </c>
      <c r="C914" s="33">
        <f t="shared" si="59"/>
        <v>2.1144449315765534E-2</v>
      </c>
      <c r="D914" s="32">
        <f>MAX($B$2:B914)</f>
        <v>164049.8167</v>
      </c>
      <c r="E914" s="34">
        <f t="shared" si="56"/>
        <v>-1.2625652022444478E-2</v>
      </c>
      <c r="F914" s="35">
        <f t="shared" si="57"/>
        <v>147.29678240927234</v>
      </c>
      <c r="G914" s="36" t="str">
        <f t="shared" si="58"/>
        <v>2025-08</v>
      </c>
    </row>
    <row r="915" spans="1:7" x14ac:dyDescent="0.25">
      <c r="A915" s="37">
        <v>45894</v>
      </c>
      <c r="B915" s="38">
        <v>161968.6378</v>
      </c>
      <c r="C915" s="39">
        <f t="shared" si="59"/>
        <v>-6.1384659322816226E-5</v>
      </c>
      <c r="D915" s="38">
        <f>MAX($B$2:B915)</f>
        <v>164049.8167</v>
      </c>
      <c r="E915" s="40">
        <f t="shared" si="56"/>
        <v>-1.2686261660419196E-2</v>
      </c>
      <c r="F915" s="41">
        <f t="shared" si="57"/>
        <v>147.28774064646481</v>
      </c>
      <c r="G915" s="42" t="str">
        <f t="shared" si="58"/>
        <v>2025-08</v>
      </c>
    </row>
    <row r="916" spans="1:7" x14ac:dyDescent="0.25">
      <c r="A916" s="31">
        <v>45895</v>
      </c>
      <c r="B916" s="32">
        <v>162819.35130000001</v>
      </c>
      <c r="C916" s="33">
        <f t="shared" si="59"/>
        <v>5.2523347208148774E-3</v>
      </c>
      <c r="D916" s="32">
        <f>MAX($B$2:B916)</f>
        <v>164049.8167</v>
      </c>
      <c r="E916" s="34">
        <f t="shared" si="56"/>
        <v>-7.5005594322007374E-3</v>
      </c>
      <c r="F916" s="35">
        <f t="shared" si="57"/>
        <v>148.06134516061263</v>
      </c>
      <c r="G916" s="36" t="str">
        <f t="shared" si="58"/>
        <v>2025-08</v>
      </c>
    </row>
    <row r="917" spans="1:7" x14ac:dyDescent="0.25">
      <c r="A917" s="37">
        <v>45896</v>
      </c>
      <c r="B917" s="38">
        <v>162755.22260000001</v>
      </c>
      <c r="C917" s="39">
        <f t="shared" si="59"/>
        <v>-3.9386411681396893E-4</v>
      </c>
      <c r="D917" s="38">
        <f>MAX($B$2:B917)</f>
        <v>164049.8167</v>
      </c>
      <c r="E917" s="40">
        <f t="shared" si="56"/>
        <v>-7.8914693477983855E-3</v>
      </c>
      <c r="F917" s="41">
        <f t="shared" si="57"/>
        <v>148.00302910966664</v>
      </c>
      <c r="G917" s="42" t="str">
        <f t="shared" si="58"/>
        <v>2025-08</v>
      </c>
    </row>
    <row r="918" spans="1:7" x14ac:dyDescent="0.25">
      <c r="A918" s="31">
        <v>45897</v>
      </c>
      <c r="B918" s="32">
        <v>163381.981</v>
      </c>
      <c r="C918" s="33">
        <f t="shared" si="59"/>
        <v>3.8509265016972716E-3</v>
      </c>
      <c r="D918" s="32">
        <f>MAX($B$2:B918)</f>
        <v>164049.8167</v>
      </c>
      <c r="E918" s="34">
        <f t="shared" si="56"/>
        <v>-4.0709323145498022E-3</v>
      </c>
      <c r="F918" s="35">
        <f t="shared" si="57"/>
        <v>148.57297789679654</v>
      </c>
      <c r="G918" s="36" t="str">
        <f t="shared" si="58"/>
        <v>2025-08</v>
      </c>
    </row>
    <row r="919" spans="1:7" x14ac:dyDescent="0.25">
      <c r="A919" s="37">
        <v>45898</v>
      </c>
      <c r="B919" s="38">
        <v>161484.3333</v>
      </c>
      <c r="C919" s="39">
        <f t="shared" si="59"/>
        <v>-1.1614791841702554E-2</v>
      </c>
      <c r="D919" s="38">
        <f>MAX($B$2:B919)</f>
        <v>164049.8167</v>
      </c>
      <c r="E919" s="40">
        <f t="shared" si="56"/>
        <v>-1.563844112481716E-2</v>
      </c>
      <c r="F919" s="41">
        <f t="shared" si="57"/>
        <v>146.84733368522339</v>
      </c>
      <c r="G919" s="42" t="str">
        <f t="shared" si="58"/>
        <v>2025-08</v>
      </c>
    </row>
    <row r="920" spans="1:7" x14ac:dyDescent="0.25">
      <c r="A920" s="31">
        <v>45902</v>
      </c>
      <c r="B920" s="32">
        <v>159856.12340000001</v>
      </c>
      <c r="C920" s="33">
        <f t="shared" si="59"/>
        <v>-1.0082773150353552E-2</v>
      </c>
      <c r="D920" s="32">
        <f>MAX($B$2:B920)</f>
        <v>164049.8167</v>
      </c>
      <c r="E920" s="34">
        <f t="shared" si="56"/>
        <v>-2.5563535420884076E-2</v>
      </c>
      <c r="F920" s="35">
        <f t="shared" si="57"/>
        <v>145.36670533194098</v>
      </c>
      <c r="G920" s="36" t="str">
        <f t="shared" si="58"/>
        <v>2025-09</v>
      </c>
    </row>
    <row r="921" spans="1:7" x14ac:dyDescent="0.25">
      <c r="A921" s="37">
        <v>45903</v>
      </c>
      <c r="B921" s="38">
        <v>161801.45600000001</v>
      </c>
      <c r="C921" s="39">
        <f t="shared" si="59"/>
        <v>1.2169271708987184E-2</v>
      </c>
      <c r="D921" s="38">
        <f>MAX($B$2:B921)</f>
        <v>164049.8167</v>
      </c>
      <c r="E921" s="40">
        <f t="shared" si="56"/>
        <v>-1.3705353320275893E-2</v>
      </c>
      <c r="F921" s="41">
        <f t="shared" si="57"/>
        <v>147.13571226656566</v>
      </c>
      <c r="G921" s="42" t="str">
        <f t="shared" si="58"/>
        <v>2025-09</v>
      </c>
    </row>
    <row r="922" spans="1:7" x14ac:dyDescent="0.25">
      <c r="A922" s="31">
        <v>45904</v>
      </c>
      <c r="B922" s="32">
        <v>163710.03270000001</v>
      </c>
      <c r="C922" s="33">
        <f t="shared" si="59"/>
        <v>1.1795794346869171E-2</v>
      </c>
      <c r="D922" s="32">
        <f>MAX($B$2:B922)</f>
        <v>164049.8167</v>
      </c>
      <c r="E922" s="34">
        <f t="shared" si="56"/>
        <v>-2.0712245026237586E-3</v>
      </c>
      <c r="F922" s="35">
        <f t="shared" si="57"/>
        <v>148.87129486954217</v>
      </c>
      <c r="G922" s="36" t="str">
        <f t="shared" si="58"/>
        <v>2025-09</v>
      </c>
    </row>
    <row r="923" spans="1:7" x14ac:dyDescent="0.25">
      <c r="A923" s="37">
        <v>45905</v>
      </c>
      <c r="B923" s="38">
        <v>163918.40160000001</v>
      </c>
      <c r="C923" s="39">
        <f t="shared" si="59"/>
        <v>1.2727924890336695E-3</v>
      </c>
      <c r="D923" s="38">
        <f>MAX($B$2:B923)</f>
        <v>164049.8167</v>
      </c>
      <c r="E923" s="40">
        <f t="shared" si="56"/>
        <v>-8.010682525803059E-4</v>
      </c>
      <c r="F923" s="41">
        <f t="shared" si="57"/>
        <v>149.06077713548484</v>
      </c>
      <c r="G923" s="42" t="str">
        <f t="shared" si="58"/>
        <v>2025-09</v>
      </c>
    </row>
    <row r="924" spans="1:7" x14ac:dyDescent="0.25">
      <c r="A924" s="31">
        <v>45908</v>
      </c>
      <c r="B924" s="32">
        <v>165529.91579999999</v>
      </c>
      <c r="C924" s="33">
        <f t="shared" si="59"/>
        <v>9.8311976219269681E-3</v>
      </c>
      <c r="D924" s="32">
        <f>MAX($B$2:B924)</f>
        <v>165529.91579999999</v>
      </c>
      <c r="E924" s="34">
        <f t="shared" si="56"/>
        <v>0</v>
      </c>
      <c r="F924" s="35">
        <f t="shared" si="57"/>
        <v>150.52622309318181</v>
      </c>
      <c r="G924" s="36" t="str">
        <f t="shared" si="58"/>
        <v>2025-09</v>
      </c>
    </row>
    <row r="925" spans="1:7" x14ac:dyDescent="0.25">
      <c r="A925" s="37">
        <v>45909</v>
      </c>
      <c r="B925" s="38">
        <v>166342.15410000001</v>
      </c>
      <c r="C925" s="39">
        <f t="shared" si="59"/>
        <v>4.9068973186781051E-3</v>
      </c>
      <c r="D925" s="38">
        <f>MAX($B$2:B925)</f>
        <v>166342.15410000001</v>
      </c>
      <c r="E925" s="40">
        <f t="shared" si="56"/>
        <v>0</v>
      </c>
      <c r="F925" s="41">
        <f t="shared" si="57"/>
        <v>151.26483981366846</v>
      </c>
      <c r="G925" s="42" t="str">
        <f t="shared" si="58"/>
        <v>2025-09</v>
      </c>
    </row>
    <row r="926" spans="1:7" x14ac:dyDescent="0.25">
      <c r="A926" s="31">
        <v>45910</v>
      </c>
      <c r="B926" s="32">
        <v>166890.0624</v>
      </c>
      <c r="C926" s="33">
        <f t="shared" si="59"/>
        <v>3.2938632000076851E-3</v>
      </c>
      <c r="D926" s="32">
        <f>MAX($B$2:B926)</f>
        <v>166890.0624</v>
      </c>
      <c r="E926" s="34">
        <f t="shared" si="56"/>
        <v>0</v>
      </c>
      <c r="F926" s="35">
        <f t="shared" si="57"/>
        <v>151.76308550298577</v>
      </c>
      <c r="G926" s="36" t="str">
        <f t="shared" si="58"/>
        <v>2025-09</v>
      </c>
    </row>
    <row r="927" spans="1:7" x14ac:dyDescent="0.25">
      <c r="A927" s="37">
        <v>45911</v>
      </c>
      <c r="B927" s="38">
        <v>168976.50330000001</v>
      </c>
      <c r="C927" s="39">
        <f t="shared" si="59"/>
        <v>1.2501888189119681E-2</v>
      </c>
      <c r="D927" s="38">
        <f>MAX($B$2:B927)</f>
        <v>168976.50330000001</v>
      </c>
      <c r="E927" s="40">
        <f t="shared" si="56"/>
        <v>0</v>
      </c>
      <c r="F927" s="41">
        <f t="shared" si="57"/>
        <v>153.66041062917989</v>
      </c>
      <c r="G927" s="42" t="str">
        <f t="shared" si="58"/>
        <v>2025-09</v>
      </c>
    </row>
    <row r="928" spans="1:7" x14ac:dyDescent="0.25">
      <c r="A928" s="31">
        <v>45912</v>
      </c>
      <c r="B928" s="32">
        <v>170835.4014</v>
      </c>
      <c r="C928" s="33">
        <f t="shared" si="59"/>
        <v>1.1000926541246514E-2</v>
      </c>
      <c r="D928" s="32">
        <f>MAX($B$2:B928)</f>
        <v>170835.4014</v>
      </c>
      <c r="E928" s="34">
        <f t="shared" si="56"/>
        <v>0</v>
      </c>
      <c r="F928" s="35">
        <f t="shared" si="57"/>
        <v>155.35081751880929</v>
      </c>
      <c r="G928" s="36" t="str">
        <f t="shared" si="58"/>
        <v>2025-09</v>
      </c>
    </row>
    <row r="929" spans="1:7" x14ac:dyDescent="0.25">
      <c r="A929" s="37">
        <v>45915</v>
      </c>
      <c r="B929" s="38">
        <v>172780.05650000001</v>
      </c>
      <c r="C929" s="39">
        <f t="shared" si="59"/>
        <v>1.1383209124476101E-2</v>
      </c>
      <c r="D929" s="38">
        <f>MAX($B$2:B929)</f>
        <v>172780.05650000001</v>
      </c>
      <c r="E929" s="40">
        <f t="shared" si="56"/>
        <v>0</v>
      </c>
      <c r="F929" s="41">
        <f t="shared" si="57"/>
        <v>157.11920836228418</v>
      </c>
      <c r="G929" s="42" t="str">
        <f t="shared" si="58"/>
        <v>2025-09</v>
      </c>
    </row>
    <row r="930" spans="1:7" x14ac:dyDescent="0.25">
      <c r="A930" s="31">
        <v>45916</v>
      </c>
      <c r="B930" s="32">
        <v>173294.16500000001</v>
      </c>
      <c r="C930" s="33">
        <f t="shared" si="59"/>
        <v>2.9755083452007725E-3</v>
      </c>
      <c r="D930" s="32">
        <f>MAX($B$2:B930)</f>
        <v>173294.16500000001</v>
      </c>
      <c r="E930" s="34">
        <f t="shared" si="56"/>
        <v>0</v>
      </c>
      <c r="F930" s="35">
        <f t="shared" si="57"/>
        <v>157.58671787795751</v>
      </c>
      <c r="G930" s="36" t="str">
        <f t="shared" si="58"/>
        <v>2025-09</v>
      </c>
    </row>
    <row r="931" spans="1:7" x14ac:dyDescent="0.25">
      <c r="A931" s="37">
        <v>45917</v>
      </c>
      <c r="B931" s="38">
        <v>173321.39629999999</v>
      </c>
      <c r="C931" s="39">
        <f t="shared" si="59"/>
        <v>1.571391627639418E-4</v>
      </c>
      <c r="D931" s="38">
        <f>MAX($B$2:B931)</f>
        <v>173321.39629999999</v>
      </c>
      <c r="E931" s="40">
        <f t="shared" si="56"/>
        <v>0</v>
      </c>
      <c r="F931" s="41">
        <f t="shared" si="57"/>
        <v>157.61148092286757</v>
      </c>
      <c r="G931" s="42" t="str">
        <f t="shared" si="58"/>
        <v>2025-09</v>
      </c>
    </row>
    <row r="932" spans="1:7" x14ac:dyDescent="0.25">
      <c r="A932" s="31">
        <v>45918</v>
      </c>
      <c r="B932" s="32">
        <v>174320.82370000001</v>
      </c>
      <c r="C932" s="33">
        <f t="shared" si="59"/>
        <v>5.766324420039437E-3</v>
      </c>
      <c r="D932" s="32">
        <f>MAX($B$2:B932)</f>
        <v>174320.82370000001</v>
      </c>
      <c r="E932" s="34">
        <f t="shared" si="56"/>
        <v>0</v>
      </c>
      <c r="F932" s="35">
        <f t="shared" si="57"/>
        <v>158.52031985419168</v>
      </c>
      <c r="G932" s="36" t="str">
        <f t="shared" si="58"/>
        <v>2025-09</v>
      </c>
    </row>
    <row r="933" spans="1:7" x14ac:dyDescent="0.25">
      <c r="A933" s="37">
        <v>45919</v>
      </c>
      <c r="B933" s="38">
        <v>175873.62760000001</v>
      </c>
      <c r="C933" s="39">
        <f t="shared" si="59"/>
        <v>8.9077361329608085E-3</v>
      </c>
      <c r="D933" s="38">
        <f>MAX($B$2:B933)</f>
        <v>175873.62760000001</v>
      </c>
      <c r="E933" s="40">
        <f t="shared" si="56"/>
        <v>0</v>
      </c>
      <c r="F933" s="41">
        <f t="shared" si="57"/>
        <v>159.93237703516539</v>
      </c>
      <c r="G933" s="42" t="str">
        <f t="shared" si="58"/>
        <v>2025-09</v>
      </c>
    </row>
    <row r="934" spans="1:7" x14ac:dyDescent="0.25">
      <c r="A934" s="31">
        <v>45922</v>
      </c>
      <c r="B934" s="32">
        <v>177708.3462</v>
      </c>
      <c r="C934" s="33">
        <f t="shared" si="59"/>
        <v>1.0432027956873702E-2</v>
      </c>
      <c r="D934" s="32">
        <f>MAX($B$2:B934)</f>
        <v>177708.3462</v>
      </c>
      <c r="E934" s="34">
        <f t="shared" si="56"/>
        <v>0</v>
      </c>
      <c r="F934" s="35">
        <f t="shared" si="57"/>
        <v>161.60079606360549</v>
      </c>
      <c r="G934" s="36" t="str">
        <f t="shared" si="58"/>
        <v>2025-09</v>
      </c>
    </row>
    <row r="935" spans="1:7" x14ac:dyDescent="0.25">
      <c r="A935" s="37">
        <v>45923</v>
      </c>
      <c r="B935" s="38">
        <v>176895.6312</v>
      </c>
      <c r="C935" s="39">
        <f t="shared" si="59"/>
        <v>-4.5733079924413778E-3</v>
      </c>
      <c r="D935" s="38">
        <f>MAX($B$2:B935)</f>
        <v>177708.3462</v>
      </c>
      <c r="E935" s="40">
        <f t="shared" si="56"/>
        <v>-4.5733079924413778E-3</v>
      </c>
      <c r="F935" s="41">
        <f t="shared" si="57"/>
        <v>160.86174585138292</v>
      </c>
      <c r="G935" s="42" t="str">
        <f t="shared" si="58"/>
        <v>2025-09</v>
      </c>
    </row>
    <row r="936" spans="1:7" x14ac:dyDescent="0.25">
      <c r="A936" s="31">
        <v>45924</v>
      </c>
      <c r="B936" s="32">
        <v>176863.71400000001</v>
      </c>
      <c r="C936" s="33">
        <f t="shared" si="59"/>
        <v>-1.8042955489339096E-4</v>
      </c>
      <c r="D936" s="32">
        <f>MAX($B$2:B936)</f>
        <v>177708.3462</v>
      </c>
      <c r="E936" s="34">
        <f t="shared" si="56"/>
        <v>-4.7529123874092694E-3</v>
      </c>
      <c r="F936" s="35">
        <f t="shared" si="57"/>
        <v>160.83272163817958</v>
      </c>
      <c r="G936" s="36" t="str">
        <f t="shared" si="58"/>
        <v>2025-09</v>
      </c>
    </row>
    <row r="937" spans="1:7" x14ac:dyDescent="0.25">
      <c r="A937" s="37">
        <v>45925</v>
      </c>
      <c r="B937" s="38">
        <v>175016.1102</v>
      </c>
      <c r="C937" s="39">
        <f t="shared" si="59"/>
        <v>-1.0446483103934034E-2</v>
      </c>
      <c r="D937" s="38">
        <f>MAX($B$2:B937)</f>
        <v>177708.3462</v>
      </c>
      <c r="E937" s="40">
        <f t="shared" si="56"/>
        <v>-1.5149744272393684E-2</v>
      </c>
      <c r="F937" s="41">
        <f t="shared" si="57"/>
        <v>159.15258532902664</v>
      </c>
      <c r="G937" s="42" t="str">
        <f t="shared" si="58"/>
        <v>2025-09</v>
      </c>
    </row>
    <row r="938" spans="1:7" x14ac:dyDescent="0.25">
      <c r="A938" s="31">
        <v>45926</v>
      </c>
      <c r="B938" s="32">
        <v>176115.14809999999</v>
      </c>
      <c r="C938" s="33">
        <f t="shared" si="59"/>
        <v>6.2796384786751869E-3</v>
      </c>
      <c r="D938" s="32">
        <f>MAX($B$2:B938)</f>
        <v>177708.3462</v>
      </c>
      <c r="E938" s="34">
        <f t="shared" si="56"/>
        <v>-8.9652407107934096E-3</v>
      </c>
      <c r="F938" s="35">
        <f t="shared" si="57"/>
        <v>160.15200602783943</v>
      </c>
      <c r="G938" s="36" t="str">
        <f t="shared" si="58"/>
        <v>2025-09</v>
      </c>
    </row>
    <row r="939" spans="1:7" x14ac:dyDescent="0.25">
      <c r="A939" s="37">
        <v>45929</v>
      </c>
      <c r="B939" s="38">
        <v>178109.66010000001</v>
      </c>
      <c r="C939" s="39">
        <f t="shared" si="59"/>
        <v>1.1325045128244726E-2</v>
      </c>
      <c r="D939" s="38">
        <f>MAX($B$2:B939)</f>
        <v>178109.66010000001</v>
      </c>
      <c r="E939" s="40">
        <f t="shared" si="56"/>
        <v>0</v>
      </c>
      <c r="F939" s="41">
        <f t="shared" si="57"/>
        <v>161.96573472348365</v>
      </c>
      <c r="G939" s="42" t="str">
        <f t="shared" si="58"/>
        <v>2025-09</v>
      </c>
    </row>
    <row r="940" spans="1:7" x14ac:dyDescent="0.25">
      <c r="A940" s="31">
        <v>45930</v>
      </c>
      <c r="B940" s="32">
        <v>179679.78690000001</v>
      </c>
      <c r="C940" s="33">
        <f t="shared" si="59"/>
        <v>8.8155061276207203E-3</v>
      </c>
      <c r="D940" s="32">
        <f>MAX($B$2:B940)</f>
        <v>179679.78690000001</v>
      </c>
      <c r="E940" s="34">
        <f t="shared" si="56"/>
        <v>0</v>
      </c>
      <c r="F940" s="35">
        <f t="shared" si="57"/>
        <v>163.39354465040313</v>
      </c>
      <c r="G940" s="36" t="str">
        <f t="shared" si="58"/>
        <v>2025-09</v>
      </c>
    </row>
    <row r="941" spans="1:7" x14ac:dyDescent="0.25">
      <c r="A941" s="37">
        <v>45931</v>
      </c>
      <c r="B941" s="38">
        <v>181584.96859999999</v>
      </c>
      <c r="C941" s="39">
        <f t="shared" si="59"/>
        <v>1.0603205473859401E-2</v>
      </c>
      <c r="D941" s="38">
        <f>MAX($B$2:B941)</f>
        <v>181584.96859999999</v>
      </c>
      <c r="E941" s="40">
        <f t="shared" si="56"/>
        <v>0</v>
      </c>
      <c r="F941" s="41">
        <f t="shared" si="57"/>
        <v>165.12603997743358</v>
      </c>
      <c r="G941" s="42" t="str">
        <f t="shared" si="58"/>
        <v>2025-10</v>
      </c>
    </row>
    <row r="942" spans="1:7" x14ac:dyDescent="0.25">
      <c r="A942" s="31">
        <v>45932</v>
      </c>
      <c r="B942" s="32">
        <v>181280.79209999999</v>
      </c>
      <c r="C942" s="33">
        <f t="shared" si="59"/>
        <v>-1.6751193798978381E-3</v>
      </c>
      <c r="D942" s="32">
        <f>MAX($B$2:B942)</f>
        <v>181584.96859999999</v>
      </c>
      <c r="E942" s="34">
        <f t="shared" si="56"/>
        <v>-1.6751193798978381E-3</v>
      </c>
      <c r="F942" s="35">
        <f t="shared" si="57"/>
        <v>164.84943414774159</v>
      </c>
      <c r="G942" s="36" t="str">
        <f t="shared" si="58"/>
        <v>2025-10</v>
      </c>
    </row>
    <row r="943" spans="1:7" x14ac:dyDescent="0.25">
      <c r="A943" s="37">
        <v>45933</v>
      </c>
      <c r="B943" s="38">
        <v>181585.01259999999</v>
      </c>
      <c r="C943" s="39">
        <f t="shared" si="59"/>
        <v>1.6781728305346189E-3</v>
      </c>
      <c r="D943" s="38">
        <f>MAX($B$2:B943)</f>
        <v>181585.01259999999</v>
      </c>
      <c r="E943" s="40">
        <f t="shared" si="56"/>
        <v>0</v>
      </c>
      <c r="F943" s="41">
        <f t="shared" si="57"/>
        <v>165.12607998925733</v>
      </c>
      <c r="G943" s="42" t="str">
        <f t="shared" si="58"/>
        <v>2025-10</v>
      </c>
    </row>
    <row r="944" spans="1:7" x14ac:dyDescent="0.25">
      <c r="A944" s="31">
        <v>45936</v>
      </c>
      <c r="B944" s="32">
        <v>183688.084</v>
      </c>
      <c r="C944" s="33">
        <f t="shared" si="59"/>
        <v>1.1581745485970796E-2</v>
      </c>
      <c r="D944" s="32">
        <f>MAX($B$2:B944)</f>
        <v>183688.084</v>
      </c>
      <c r="E944" s="34">
        <f t="shared" si="56"/>
        <v>0</v>
      </c>
      <c r="F944" s="35">
        <f t="shared" si="57"/>
        <v>167.03852822078895</v>
      </c>
      <c r="G944" s="36" t="str">
        <f t="shared" si="58"/>
        <v>2025-10</v>
      </c>
    </row>
    <row r="945" spans="1:7" x14ac:dyDescent="0.25">
      <c r="A945" s="37">
        <v>45937</v>
      </c>
      <c r="B945" s="38">
        <v>181569.0423</v>
      </c>
      <c r="C945" s="39">
        <f t="shared" si="59"/>
        <v>-1.1536086902621312E-2</v>
      </c>
      <c r="D945" s="38">
        <f>MAX($B$2:B945)</f>
        <v>183688.084</v>
      </c>
      <c r="E945" s="40">
        <f t="shared" si="56"/>
        <v>-1.1536086902621312E-2</v>
      </c>
      <c r="F945" s="41">
        <f t="shared" si="57"/>
        <v>165.11155724314798</v>
      </c>
      <c r="G945" s="42" t="str">
        <f t="shared" si="58"/>
        <v>2025-10</v>
      </c>
    </row>
    <row r="946" spans="1:7" x14ac:dyDescent="0.25">
      <c r="A946" s="31">
        <v>45938</v>
      </c>
      <c r="B946" s="32">
        <v>184088.1784</v>
      </c>
      <c r="C946" s="33">
        <f t="shared" si="59"/>
        <v>1.3874259995477312E-2</v>
      </c>
      <c r="D946" s="32">
        <f>MAX($B$2:B946)</f>
        <v>184088.1784</v>
      </c>
      <c r="E946" s="34">
        <f t="shared" si="56"/>
        <v>0</v>
      </c>
      <c r="F946" s="35">
        <f t="shared" si="57"/>
        <v>167.40235791659754</v>
      </c>
      <c r="G946" s="36" t="str">
        <f t="shared" si="58"/>
        <v>2025-10</v>
      </c>
    </row>
    <row r="947" spans="1:7" x14ac:dyDescent="0.25">
      <c r="A947" s="37">
        <v>45939</v>
      </c>
      <c r="B947" s="38">
        <v>183261.30729999999</v>
      </c>
      <c r="C947" s="39">
        <f t="shared" si="59"/>
        <v>-4.4917121087663103E-3</v>
      </c>
      <c r="D947" s="38">
        <f>MAX($B$2:B947)</f>
        <v>184088.1784</v>
      </c>
      <c r="E947" s="40">
        <f t="shared" si="56"/>
        <v>-4.4917121087663103E-3</v>
      </c>
      <c r="F947" s="41">
        <f t="shared" si="57"/>
        <v>166.65043471850751</v>
      </c>
      <c r="G947" s="42" t="str">
        <f t="shared" si="58"/>
        <v>2025-10</v>
      </c>
    </row>
    <row r="948" spans="1:7" x14ac:dyDescent="0.25">
      <c r="A948" s="31">
        <v>45940</v>
      </c>
      <c r="B948" s="32">
        <v>175948.57949999999</v>
      </c>
      <c r="C948" s="33">
        <f t="shared" si="59"/>
        <v>-3.9903282955572328E-2</v>
      </c>
      <c r="D948" s="32">
        <f>MAX($B$2:B948)</f>
        <v>184088.1784</v>
      </c>
      <c r="E948" s="34">
        <f t="shared" si="56"/>
        <v>-4.4215761005107601E-2</v>
      </c>
      <c r="F948" s="35">
        <f t="shared" si="57"/>
        <v>160.00053526726578</v>
      </c>
      <c r="G948" s="36" t="str">
        <f t="shared" si="58"/>
        <v>2025-10</v>
      </c>
    </row>
    <row r="949" spans="1:7" x14ac:dyDescent="0.25">
      <c r="A949" s="37">
        <v>45943</v>
      </c>
      <c r="B949" s="38">
        <v>180647.19510000001</v>
      </c>
      <c r="C949" s="39">
        <f t="shared" si="59"/>
        <v>2.670448157838079E-2</v>
      </c>
      <c r="D949" s="38">
        <f>MAX($B$2:B949)</f>
        <v>184088.1784</v>
      </c>
      <c r="E949" s="40">
        <f t="shared" si="56"/>
        <v>-1.8692038401961764E-2</v>
      </c>
      <c r="F949" s="41">
        <f t="shared" si="57"/>
        <v>164.27326661384154</v>
      </c>
      <c r="G949" s="42" t="str">
        <f t="shared" si="58"/>
        <v>2025-10</v>
      </c>
    </row>
    <row r="950" spans="1:7" x14ac:dyDescent="0.25">
      <c r="A950" s="31">
        <v>45944</v>
      </c>
      <c r="B950" s="32">
        <v>178709.8254</v>
      </c>
      <c r="C950" s="33">
        <f t="shared" si="59"/>
        <v>-1.0724604381084024E-2</v>
      </c>
      <c r="D950" s="32">
        <f>MAX($B$2:B950)</f>
        <v>184088.1784</v>
      </c>
      <c r="E950" s="34">
        <f t="shared" si="56"/>
        <v>-2.9216178066108767E-2</v>
      </c>
      <c r="F950" s="35">
        <f t="shared" si="57"/>
        <v>162.51150081901974</v>
      </c>
      <c r="G950" s="36" t="str">
        <f t="shared" si="58"/>
        <v>2025-10</v>
      </c>
    </row>
    <row r="951" spans="1:7" x14ac:dyDescent="0.25">
      <c r="A951" s="37">
        <v>45945</v>
      </c>
      <c r="B951" s="38">
        <v>180125.68239999999</v>
      </c>
      <c r="C951" s="39">
        <f t="shared" si="59"/>
        <v>7.9226589631036237E-3</v>
      </c>
      <c r="D951" s="38">
        <f>MAX($B$2:B951)</f>
        <v>184088.1784</v>
      </c>
      <c r="E951" s="40">
        <f t="shared" si="56"/>
        <v>-2.1524988918028232E-2</v>
      </c>
      <c r="F951" s="41">
        <f t="shared" si="57"/>
        <v>163.79902401759097</v>
      </c>
      <c r="G951" s="42" t="str">
        <f t="shared" si="58"/>
        <v>2025-10</v>
      </c>
    </row>
    <row r="952" spans="1:7" x14ac:dyDescent="0.25">
      <c r="A952" s="31">
        <v>45946</v>
      </c>
      <c r="B952" s="32">
        <v>179224.57070000001</v>
      </c>
      <c r="C952" s="33">
        <f t="shared" si="59"/>
        <v>-5.0026830599253502E-3</v>
      </c>
      <c r="D952" s="32">
        <f>MAX($B$2:B952)</f>
        <v>184088.1784</v>
      </c>
      <c r="E952" s="34">
        <f t="shared" si="56"/>
        <v>-2.6419989280528355E-2</v>
      </c>
      <c r="F952" s="35">
        <f t="shared" si="57"/>
        <v>162.97958941490586</v>
      </c>
      <c r="G952" s="36" t="str">
        <f t="shared" si="58"/>
        <v>2025-10</v>
      </c>
    </row>
    <row r="953" spans="1:7" x14ac:dyDescent="0.25">
      <c r="A953" s="37">
        <v>45947</v>
      </c>
      <c r="B953" s="38">
        <v>180143.2095</v>
      </c>
      <c r="C953" s="39">
        <f t="shared" si="59"/>
        <v>5.1256297973656384E-3</v>
      </c>
      <c r="D953" s="38">
        <f>MAX($B$2:B953)</f>
        <v>184088.1784</v>
      </c>
      <c r="E953" s="40">
        <f t="shared" si="56"/>
        <v>-2.1429778567465085E-2</v>
      </c>
      <c r="F953" s="41">
        <f t="shared" si="57"/>
        <v>163.81496245477331</v>
      </c>
      <c r="G953" s="42" t="str">
        <f t="shared" si="58"/>
        <v>2025-10</v>
      </c>
    </row>
    <row r="954" spans="1:7" x14ac:dyDescent="0.25">
      <c r="A954" s="31">
        <v>45950</v>
      </c>
      <c r="B954" s="32">
        <v>182894.23579999999</v>
      </c>
      <c r="C954" s="33">
        <f t="shared" si="59"/>
        <v>1.5271329447474891E-2</v>
      </c>
      <c r="D954" s="32">
        <f>MAX($B$2:B954)</f>
        <v>184088.1784</v>
      </c>
      <c r="E954" s="34">
        <f t="shared" si="56"/>
        <v>-6.4857103284803319E-3</v>
      </c>
      <c r="F954" s="35">
        <f t="shared" si="57"/>
        <v>166.31663471484589</v>
      </c>
      <c r="G954" s="36" t="str">
        <f t="shared" si="58"/>
        <v>2025-10</v>
      </c>
    </row>
    <row r="955" spans="1:7" x14ac:dyDescent="0.25">
      <c r="A955" s="37">
        <v>45951</v>
      </c>
      <c r="B955" s="38">
        <v>181952.10399999999</v>
      </c>
      <c r="C955" s="39">
        <f t="shared" si="59"/>
        <v>-5.1512383420888597E-3</v>
      </c>
      <c r="D955" s="38">
        <f>MAX($B$2:B955)</f>
        <v>184088.1784</v>
      </c>
      <c r="E955" s="40">
        <f t="shared" si="56"/>
        <v>-1.1603539230849447E-2</v>
      </c>
      <c r="F955" s="41">
        <f t="shared" si="57"/>
        <v>165.4598980891756</v>
      </c>
      <c r="G955" s="42" t="str">
        <f t="shared" si="58"/>
        <v>2025-10</v>
      </c>
    </row>
    <row r="956" spans="1:7" x14ac:dyDescent="0.25">
      <c r="A956" s="31">
        <v>45952</v>
      </c>
      <c r="B956" s="32">
        <v>180345.75200000001</v>
      </c>
      <c r="C956" s="33">
        <f t="shared" si="59"/>
        <v>-8.8284332232837492E-3</v>
      </c>
      <c r="D956" s="32">
        <f>MAX($B$2:B956)</f>
        <v>184088.1784</v>
      </c>
      <c r="E956" s="34">
        <f t="shared" si="56"/>
        <v>-2.0329531382879962E-2</v>
      </c>
      <c r="F956" s="35">
        <f t="shared" si="57"/>
        <v>163.99914642776397</v>
      </c>
      <c r="G956" s="36" t="str">
        <f t="shared" si="58"/>
        <v>2025-10</v>
      </c>
    </row>
    <row r="957" spans="1:7" x14ac:dyDescent="0.25">
      <c r="A957" s="37">
        <v>45953</v>
      </c>
      <c r="B957" s="38">
        <v>182493.07370000001</v>
      </c>
      <c r="C957" s="39">
        <f t="shared" si="59"/>
        <v>1.1906694092800096E-2</v>
      </c>
      <c r="D957" s="38">
        <f>MAX($B$2:B957)</f>
        <v>184088.1784</v>
      </c>
      <c r="E957" s="40">
        <f t="shared" si="56"/>
        <v>-8.6648948013057225E-3</v>
      </c>
      <c r="F957" s="41">
        <f t="shared" si="57"/>
        <v>165.95183409575969</v>
      </c>
      <c r="G957" s="42" t="str">
        <f t="shared" si="58"/>
        <v>2025-10</v>
      </c>
    </row>
    <row r="958" spans="1:7" x14ac:dyDescent="0.25">
      <c r="A958" s="31">
        <v>45954</v>
      </c>
      <c r="B958" s="32">
        <v>184362.84419999999</v>
      </c>
      <c r="C958" s="33">
        <f t="shared" si="59"/>
        <v>1.0245706656646592E-2</v>
      </c>
      <c r="D958" s="32">
        <f>MAX($B$2:B958)</f>
        <v>184362.84419999999</v>
      </c>
      <c r="E958" s="34">
        <f t="shared" si="56"/>
        <v>0</v>
      </c>
      <c r="F958" s="35">
        <f t="shared" si="57"/>
        <v>167.65212790703731</v>
      </c>
      <c r="G958" s="36" t="str">
        <f t="shared" si="58"/>
        <v>2025-10</v>
      </c>
    </row>
    <row r="959" spans="1:7" x14ac:dyDescent="0.25">
      <c r="A959" s="37">
        <v>45957</v>
      </c>
      <c r="B959" s="38">
        <v>188048.45199999999</v>
      </c>
      <c r="C959" s="39">
        <f t="shared" si="59"/>
        <v>1.9991055225866416E-2</v>
      </c>
      <c r="D959" s="38">
        <f>MAX($B$2:B959)</f>
        <v>188048.45199999999</v>
      </c>
      <c r="E959" s="40">
        <f t="shared" si="56"/>
        <v>0</v>
      </c>
      <c r="F959" s="41">
        <f t="shared" si="57"/>
        <v>171.00367085476091</v>
      </c>
      <c r="G959" s="42" t="str">
        <f t="shared" si="58"/>
        <v>2025-10</v>
      </c>
    </row>
    <row r="960" spans="1:7" x14ac:dyDescent="0.25">
      <c r="A960" s="31">
        <v>45958</v>
      </c>
      <c r="B960" s="32">
        <v>189789.96</v>
      </c>
      <c r="C960" s="33">
        <f t="shared" si="59"/>
        <v>9.2609536610277488E-3</v>
      </c>
      <c r="D960" s="32">
        <f>MAX($B$2:B960)</f>
        <v>189789.96</v>
      </c>
      <c r="E960" s="34">
        <f t="shared" si="56"/>
        <v>0</v>
      </c>
      <c r="F960" s="35">
        <f t="shared" si="57"/>
        <v>172.58732792641251</v>
      </c>
      <c r="G960" s="36" t="str">
        <f t="shared" si="58"/>
        <v>2025-10</v>
      </c>
    </row>
    <row r="961" spans="1:7" x14ac:dyDescent="0.25">
      <c r="A961" s="37">
        <v>45959</v>
      </c>
      <c r="B961" s="38">
        <v>190733.64670000001</v>
      </c>
      <c r="C961" s="39">
        <f t="shared" si="59"/>
        <v>4.9722688175919405E-3</v>
      </c>
      <c r="D961" s="38">
        <f>MAX($B$2:B961)</f>
        <v>190733.64670000001</v>
      </c>
      <c r="E961" s="40">
        <f t="shared" si="56"/>
        <v>0</v>
      </c>
      <c r="F961" s="41">
        <f t="shared" si="57"/>
        <v>173.44547851537254</v>
      </c>
      <c r="G961" s="42" t="str">
        <f t="shared" si="58"/>
        <v>2025-10</v>
      </c>
    </row>
    <row r="962" spans="1:7" x14ac:dyDescent="0.25">
      <c r="A962" s="31">
        <v>45960</v>
      </c>
      <c r="B962" s="32">
        <v>187560.28030000001</v>
      </c>
      <c r="C962" s="33">
        <f t="shared" si="59"/>
        <v>-1.663768535286958E-2</v>
      </c>
      <c r="D962" s="32">
        <f>MAX($B$2:B962)</f>
        <v>190733.64670000001</v>
      </c>
      <c r="E962" s="34">
        <f t="shared" ref="E962:E1025" si="60">B962/D962-1</f>
        <v>-1.663768535286958E-2</v>
      </c>
      <c r="F962" s="35">
        <f t="shared" ref="F962:F1025" si="61">B962/$B$2*100</f>
        <v>170.55974721795585</v>
      </c>
      <c r="G962" s="36" t="str">
        <f t="shared" ref="G962:G1025" si="62">TEXT(A962,"YYYY-MM")</f>
        <v>2025-10</v>
      </c>
    </row>
    <row r="963" spans="1:7" x14ac:dyDescent="0.25">
      <c r="A963" s="37">
        <v>45961</v>
      </c>
      <c r="B963" s="38">
        <v>189290.1741</v>
      </c>
      <c r="C963" s="39">
        <f t="shared" ref="C963:C1026" si="63">B963/B962-1</f>
        <v>9.2231350754703456E-3</v>
      </c>
      <c r="D963" s="38">
        <f>MAX($B$2:B963)</f>
        <v>190733.64670000001</v>
      </c>
      <c r="E963" s="40">
        <f t="shared" si="60"/>
        <v>-7.5680018967518858E-3</v>
      </c>
      <c r="F963" s="41">
        <f t="shared" si="61"/>
        <v>172.13284280498513</v>
      </c>
      <c r="G963" s="42" t="str">
        <f t="shared" si="62"/>
        <v>2025-10</v>
      </c>
    </row>
    <row r="964" spans="1:7" x14ac:dyDescent="0.25">
      <c r="A964" s="31">
        <v>45964</v>
      </c>
      <c r="B964" s="32">
        <v>191142.1771</v>
      </c>
      <c r="C964" s="33">
        <f t="shared" si="63"/>
        <v>9.7839362703613375E-3</v>
      </c>
      <c r="D964" s="32">
        <f>MAX($B$2:B964)</f>
        <v>191142.1771</v>
      </c>
      <c r="E964" s="34">
        <f t="shared" si="60"/>
        <v>0</v>
      </c>
      <c r="F964" s="35">
        <f t="shared" si="61"/>
        <v>173.81697956902525</v>
      </c>
      <c r="G964" s="36" t="str">
        <f t="shared" si="62"/>
        <v>2025-11</v>
      </c>
    </row>
    <row r="965" spans="1:7" x14ac:dyDescent="0.25">
      <c r="A965" s="37">
        <v>45965</v>
      </c>
      <c r="B965" s="38">
        <v>186361.9902</v>
      </c>
      <c r="C965" s="39">
        <f t="shared" si="63"/>
        <v>-2.5008540618950637E-2</v>
      </c>
      <c r="D965" s="38">
        <f>MAX($B$2:B965)</f>
        <v>191142.1771</v>
      </c>
      <c r="E965" s="40">
        <f t="shared" si="60"/>
        <v>-2.5008540618950637E-2</v>
      </c>
      <c r="F965" s="41">
        <f t="shared" si="61"/>
        <v>169.47007057520995</v>
      </c>
      <c r="G965" s="42" t="str">
        <f t="shared" si="62"/>
        <v>2025-11</v>
      </c>
    </row>
    <row r="966" spans="1:7" x14ac:dyDescent="0.25">
      <c r="A966" s="31">
        <v>45966</v>
      </c>
      <c r="B966" s="32">
        <v>188415.79610000001</v>
      </c>
      <c r="C966" s="33">
        <f t="shared" si="63"/>
        <v>1.1020519247491922E-2</v>
      </c>
      <c r="D966" s="32">
        <f>MAX($B$2:B966)</f>
        <v>191142.1771</v>
      </c>
      <c r="E966" s="34">
        <f t="shared" si="60"/>
        <v>-1.4263628474701529E-2</v>
      </c>
      <c r="F966" s="35">
        <f t="shared" si="61"/>
        <v>171.33771874985788</v>
      </c>
      <c r="G966" s="36" t="str">
        <f t="shared" si="62"/>
        <v>2025-11</v>
      </c>
    </row>
    <row r="967" spans="1:7" x14ac:dyDescent="0.25">
      <c r="A967" s="37">
        <v>45967</v>
      </c>
      <c r="B967" s="38">
        <v>184551.1508</v>
      </c>
      <c r="C967" s="39">
        <f t="shared" si="63"/>
        <v>-2.0511259565248352E-2</v>
      </c>
      <c r="D967" s="38">
        <f>MAX($B$2:B967)</f>
        <v>191142.1771</v>
      </c>
      <c r="E967" s="40">
        <f t="shared" si="60"/>
        <v>-3.4482323053962927E-2</v>
      </c>
      <c r="F967" s="41">
        <f t="shared" si="61"/>
        <v>167.82336632726202</v>
      </c>
      <c r="G967" s="42" t="str">
        <f t="shared" si="62"/>
        <v>2025-11</v>
      </c>
    </row>
    <row r="968" spans="1:7" x14ac:dyDescent="0.25">
      <c r="A968" s="31">
        <v>45968</v>
      </c>
      <c r="B968" s="32">
        <v>183724.43710000001</v>
      </c>
      <c r="C968" s="33">
        <f t="shared" si="63"/>
        <v>-4.4795911399972965E-3</v>
      </c>
      <c r="D968" s="32">
        <f>MAX($B$2:B968)</f>
        <v>191142.1771</v>
      </c>
      <c r="E968" s="34">
        <f t="shared" si="60"/>
        <v>-3.8807447485121216E-2</v>
      </c>
      <c r="F968" s="35">
        <f t="shared" si="61"/>
        <v>167.07158626237791</v>
      </c>
      <c r="G968" s="36" t="str">
        <f t="shared" si="62"/>
        <v>2025-11</v>
      </c>
    </row>
    <row r="969" spans="1:7" x14ac:dyDescent="0.25">
      <c r="A969" s="37">
        <v>45971</v>
      </c>
      <c r="B969" s="38">
        <v>188500.3052</v>
      </c>
      <c r="C969" s="39">
        <f t="shared" si="63"/>
        <v>2.5994735242544253E-2</v>
      </c>
      <c r="D969" s="38">
        <f>MAX($B$2:B969)</f>
        <v>191142.1771</v>
      </c>
      <c r="E969" s="40">
        <f t="shared" si="60"/>
        <v>-1.3821501565391525E-2</v>
      </c>
      <c r="F969" s="41">
        <f t="shared" si="61"/>
        <v>171.41456791382032</v>
      </c>
      <c r="G969" s="42" t="str">
        <f t="shared" si="62"/>
        <v>2025-11</v>
      </c>
    </row>
    <row r="970" spans="1:7" x14ac:dyDescent="0.25">
      <c r="A970" s="31">
        <v>45972</v>
      </c>
      <c r="B970" s="32">
        <v>187599.8505</v>
      </c>
      <c r="C970" s="33">
        <f t="shared" si="63"/>
        <v>-4.7769402762749547E-3</v>
      </c>
      <c r="D970" s="32">
        <f>MAX($B$2:B970)</f>
        <v>191142.1771</v>
      </c>
      <c r="E970" s="34">
        <f t="shared" si="60"/>
        <v>-1.8532417354160224E-2</v>
      </c>
      <c r="F970" s="35">
        <f t="shared" si="61"/>
        <v>170.59573076041252</v>
      </c>
      <c r="G970" s="36" t="str">
        <f t="shared" si="62"/>
        <v>2025-11</v>
      </c>
    </row>
    <row r="971" spans="1:7" x14ac:dyDescent="0.25">
      <c r="A971" s="37">
        <v>45973</v>
      </c>
      <c r="B971" s="38">
        <v>187152.54990000001</v>
      </c>
      <c r="C971" s="39">
        <f t="shared" si="63"/>
        <v>-2.3843334565982754E-3</v>
      </c>
      <c r="D971" s="38">
        <f>MAX($B$2:B971)</f>
        <v>191142.1771</v>
      </c>
      <c r="E971" s="40">
        <f t="shared" si="60"/>
        <v>-2.0872563348029338E-2</v>
      </c>
      <c r="F971" s="41">
        <f t="shared" si="61"/>
        <v>170.18897365200763</v>
      </c>
      <c r="G971" s="42" t="str">
        <f t="shared" si="62"/>
        <v>2025-11</v>
      </c>
    </row>
    <row r="972" spans="1:7" x14ac:dyDescent="0.25">
      <c r="A972" s="31">
        <v>45974</v>
      </c>
      <c r="B972" s="32">
        <v>181874.5386</v>
      </c>
      <c r="C972" s="33">
        <f t="shared" si="63"/>
        <v>-2.8201653158453799E-2</v>
      </c>
      <c r="D972" s="32">
        <f>MAX($B$2:B972)</f>
        <v>191142.1771</v>
      </c>
      <c r="E972" s="34">
        <f t="shared" si="60"/>
        <v>-4.8485575714414142E-2</v>
      </c>
      <c r="F972" s="35">
        <f t="shared" si="61"/>
        <v>165.3893632456805</v>
      </c>
      <c r="G972" s="36" t="str">
        <f t="shared" si="62"/>
        <v>2025-11</v>
      </c>
    </row>
    <row r="973" spans="1:7" x14ac:dyDescent="0.25">
      <c r="A973" s="37">
        <v>45975</v>
      </c>
      <c r="B973" s="38">
        <v>182829.94260000001</v>
      </c>
      <c r="C973" s="39">
        <f t="shared" si="63"/>
        <v>5.2530937389825283E-3</v>
      </c>
      <c r="D973" s="38">
        <f>MAX($B$2:B973)</f>
        <v>191142.1771</v>
      </c>
      <c r="E973" s="40">
        <f t="shared" si="60"/>
        <v>-4.3487181249647899E-2</v>
      </c>
      <c r="F973" s="41">
        <f t="shared" si="61"/>
        <v>166.2581690742407</v>
      </c>
      <c r="G973" s="42" t="str">
        <f t="shared" si="62"/>
        <v>2025-11</v>
      </c>
    </row>
    <row r="974" spans="1:7" x14ac:dyDescent="0.25">
      <c r="A974" s="31">
        <v>45978</v>
      </c>
      <c r="B974" s="32">
        <v>181208.46739999999</v>
      </c>
      <c r="C974" s="33">
        <f t="shared" si="63"/>
        <v>-8.8687617407807728E-3</v>
      </c>
      <c r="D974" s="32">
        <f>MAX($B$2:B974)</f>
        <v>191142.1771</v>
      </c>
      <c r="E974" s="34">
        <f t="shared" si="60"/>
        <v>-5.1970265541147365E-2</v>
      </c>
      <c r="F974" s="35">
        <f t="shared" si="61"/>
        <v>164.78366498526282</v>
      </c>
      <c r="G974" s="36" t="str">
        <f t="shared" si="62"/>
        <v>2025-11</v>
      </c>
    </row>
    <row r="975" spans="1:7" x14ac:dyDescent="0.25">
      <c r="A975" s="37">
        <v>45979</v>
      </c>
      <c r="B975" s="38">
        <v>178271.1629</v>
      </c>
      <c r="C975" s="39">
        <f t="shared" si="63"/>
        <v>-1.6209532270455074E-2</v>
      </c>
      <c r="D975" s="38">
        <f>MAX($B$2:B975)</f>
        <v>191142.1771</v>
      </c>
      <c r="E975" s="40">
        <f t="shared" si="60"/>
        <v>-6.7337384115208954E-2</v>
      </c>
      <c r="F975" s="41">
        <f t="shared" si="61"/>
        <v>162.11259885004034</v>
      </c>
      <c r="G975" s="42" t="str">
        <f t="shared" si="62"/>
        <v>2025-11</v>
      </c>
    </row>
    <row r="976" spans="1:7" x14ac:dyDescent="0.25">
      <c r="A976" s="31">
        <v>45980</v>
      </c>
      <c r="B976" s="32">
        <v>179458.2248</v>
      </c>
      <c r="C976" s="33">
        <f t="shared" si="63"/>
        <v>6.6587432352469555E-3</v>
      </c>
      <c r="D976" s="32">
        <f>MAX($B$2:B976)</f>
        <v>191142.1771</v>
      </c>
      <c r="E976" s="34">
        <f t="shared" si="60"/>
        <v>-6.1127023230918343E-2</v>
      </c>
      <c r="F976" s="35">
        <f t="shared" si="61"/>
        <v>163.19206502098137</v>
      </c>
      <c r="G976" s="36" t="str">
        <f t="shared" si="62"/>
        <v>2025-11</v>
      </c>
    </row>
    <row r="977" spans="1:7" x14ac:dyDescent="0.25">
      <c r="A977" s="37">
        <v>45981</v>
      </c>
      <c r="B977" s="38">
        <v>174833.71599999999</v>
      </c>
      <c r="C977" s="39">
        <f t="shared" si="63"/>
        <v>-2.5769277530488632E-2</v>
      </c>
      <c r="D977" s="38">
        <f>MAX($B$2:B977)</f>
        <v>191142.1771</v>
      </c>
      <c r="E977" s="40">
        <f t="shared" si="60"/>
        <v>-8.5321101535156707E-2</v>
      </c>
      <c r="F977" s="41">
        <f t="shared" si="61"/>
        <v>158.98672340668216</v>
      </c>
      <c r="G977" s="42" t="str">
        <f t="shared" si="62"/>
        <v>2025-11</v>
      </c>
    </row>
    <row r="978" spans="1:7" x14ac:dyDescent="0.25">
      <c r="A978" s="31">
        <v>45982</v>
      </c>
      <c r="B978" s="32">
        <v>175923.7254</v>
      </c>
      <c r="C978" s="33">
        <f t="shared" si="63"/>
        <v>6.234549175858195E-3</v>
      </c>
      <c r="D978" s="32">
        <f>MAX($B$2:B978)</f>
        <v>191142.1771</v>
      </c>
      <c r="E978" s="34">
        <f t="shared" si="60"/>
        <v>-7.9618490962558019E-2</v>
      </c>
      <c r="F978" s="35">
        <f t="shared" si="61"/>
        <v>159.97793395206966</v>
      </c>
      <c r="G978" s="36" t="str">
        <f t="shared" si="62"/>
        <v>2025-11</v>
      </c>
    </row>
    <row r="979" spans="1:7" x14ac:dyDescent="0.25">
      <c r="A979" s="37">
        <v>45985</v>
      </c>
      <c r="B979" s="38">
        <v>181237.07759999999</v>
      </c>
      <c r="C979" s="39">
        <f t="shared" si="63"/>
        <v>3.0202590286892539E-2</v>
      </c>
      <c r="D979" s="38">
        <f>MAX($B$2:B979)</f>
        <v>191142.1771</v>
      </c>
      <c r="E979" s="40">
        <f t="shared" si="60"/>
        <v>-5.182058533746825E-2</v>
      </c>
      <c r="F979" s="41">
        <f t="shared" si="61"/>
        <v>164.80968194616759</v>
      </c>
      <c r="G979" s="42" t="str">
        <f t="shared" si="62"/>
        <v>2025-11</v>
      </c>
    </row>
    <row r="980" spans="1:7" x14ac:dyDescent="0.25">
      <c r="A980" s="31">
        <v>45986</v>
      </c>
      <c r="B980" s="32">
        <v>182225.19320000001</v>
      </c>
      <c r="C980" s="33">
        <f t="shared" si="63"/>
        <v>5.4520609860022606E-3</v>
      </c>
      <c r="D980" s="32">
        <f>MAX($B$2:B980)</f>
        <v>191142.1771</v>
      </c>
      <c r="E980" s="34">
        <f t="shared" si="60"/>
        <v>-4.6651053343056192E-2</v>
      </c>
      <c r="F980" s="35">
        <f t="shared" si="61"/>
        <v>165.70823438322174</v>
      </c>
      <c r="G980" s="36" t="str">
        <f t="shared" si="62"/>
        <v>2025-11</v>
      </c>
    </row>
    <row r="981" spans="1:7" x14ac:dyDescent="0.25">
      <c r="A981" s="37">
        <v>45987</v>
      </c>
      <c r="B981" s="38">
        <v>184896.26939999999</v>
      </c>
      <c r="C981" s="39">
        <f t="shared" si="63"/>
        <v>1.4658106012094496E-2</v>
      </c>
      <c r="D981" s="38">
        <f>MAX($B$2:B981)</f>
        <v>191142.1771</v>
      </c>
      <c r="E981" s="40">
        <f t="shared" si="60"/>
        <v>-3.2676763416440213E-2</v>
      </c>
      <c r="F981" s="41">
        <f t="shared" si="61"/>
        <v>168.13720324988799</v>
      </c>
      <c r="G981" s="42" t="str">
        <f t="shared" si="62"/>
        <v>2025-11</v>
      </c>
    </row>
    <row r="982" spans="1:7" x14ac:dyDescent="0.25">
      <c r="A982" s="31">
        <v>45989</v>
      </c>
      <c r="B982" s="32">
        <v>186086.29579999999</v>
      </c>
      <c r="C982" s="33">
        <f t="shared" si="63"/>
        <v>6.4361839417403921E-3</v>
      </c>
      <c r="D982" s="32">
        <f>MAX($B$2:B982)</f>
        <v>191142.1771</v>
      </c>
      <c r="E982" s="34">
        <f t="shared" si="60"/>
        <v>-2.645089313466864E-2</v>
      </c>
      <c r="F982" s="35">
        <f t="shared" si="61"/>
        <v>169.21936521745405</v>
      </c>
      <c r="G982" s="36" t="str">
        <f t="shared" si="62"/>
        <v>2025-11</v>
      </c>
    </row>
    <row r="983" spans="1:7" x14ac:dyDescent="0.25">
      <c r="A983" s="37">
        <v>45992</v>
      </c>
      <c r="B983" s="38">
        <v>185331.06340000001</v>
      </c>
      <c r="C983" s="39">
        <f t="shared" si="63"/>
        <v>-4.0585062793214721E-3</v>
      </c>
      <c r="D983" s="38">
        <f>MAX($B$2:B983)</f>
        <v>191142.1771</v>
      </c>
      <c r="E983" s="40">
        <f t="shared" si="60"/>
        <v>-3.0402048298109441E-2</v>
      </c>
      <c r="F983" s="41">
        <f t="shared" si="61"/>
        <v>168.53258736113622</v>
      </c>
      <c r="G983" s="42" t="str">
        <f t="shared" si="62"/>
        <v>2025-12</v>
      </c>
    </row>
    <row r="984" spans="1:7" x14ac:dyDescent="0.25">
      <c r="A984" s="31">
        <v>45993</v>
      </c>
      <c r="B984" s="32">
        <v>186274.33259999999</v>
      </c>
      <c r="C984" s="33">
        <f t="shared" si="63"/>
        <v>5.089644351546907E-3</v>
      </c>
      <c r="D984" s="32">
        <f>MAX($B$2:B984)</f>
        <v>191142.1771</v>
      </c>
      <c r="E984" s="34">
        <f t="shared" si="60"/>
        <v>-2.5467139559958496E-2</v>
      </c>
      <c r="F984" s="35">
        <f t="shared" si="61"/>
        <v>169.39035829245043</v>
      </c>
      <c r="G984" s="36" t="str">
        <f t="shared" si="62"/>
        <v>2025-12</v>
      </c>
    </row>
    <row r="985" spans="1:7" x14ac:dyDescent="0.25">
      <c r="A985" s="37">
        <v>45994</v>
      </c>
      <c r="B985" s="38">
        <v>187249.48300000001</v>
      </c>
      <c r="C985" s="39">
        <f t="shared" si="63"/>
        <v>5.2350229169471074E-3</v>
      </c>
      <c r="D985" s="38">
        <f>MAX($B$2:B985)</f>
        <v>191142.1771</v>
      </c>
      <c r="E985" s="40">
        <f t="shared" si="60"/>
        <v>-2.0365437702236977E-2</v>
      </c>
      <c r="F985" s="41">
        <f t="shared" si="61"/>
        <v>170.27712070002124</v>
      </c>
      <c r="G985" s="42" t="str">
        <f t="shared" si="62"/>
        <v>2025-12</v>
      </c>
    </row>
    <row r="986" spans="1:7" x14ac:dyDescent="0.25">
      <c r="A986" s="31">
        <v>45995</v>
      </c>
      <c r="B986" s="32">
        <v>187425.83660000001</v>
      </c>
      <c r="C986" s="33">
        <f t="shared" si="63"/>
        <v>9.4181087805722541E-4</v>
      </c>
      <c r="D986" s="32">
        <f>MAX($B$2:B986)</f>
        <v>191142.1771</v>
      </c>
      <c r="E986" s="34">
        <f t="shared" si="60"/>
        <v>-1.9442807214944069E-2</v>
      </c>
      <c r="F986" s="35">
        <f t="shared" si="61"/>
        <v>170.43748954458081</v>
      </c>
      <c r="G986" s="36" t="str">
        <f t="shared" si="62"/>
        <v>2025-12</v>
      </c>
    </row>
    <row r="987" spans="1:7" x14ac:dyDescent="0.25">
      <c r="A987" s="37">
        <v>45996</v>
      </c>
      <c r="B987" s="38">
        <v>187754.70989999999</v>
      </c>
      <c r="C987" s="39">
        <f t="shared" si="63"/>
        <v>1.7546849781540086E-3</v>
      </c>
      <c r="D987" s="38">
        <f>MAX($B$2:B987)</f>
        <v>191142.1771</v>
      </c>
      <c r="E987" s="40">
        <f t="shared" si="60"/>
        <v>-1.7722238238543131E-2</v>
      </c>
      <c r="F987" s="41">
        <f t="shared" si="61"/>
        <v>170.73655364719897</v>
      </c>
      <c r="G987" s="42" t="str">
        <f t="shared" si="62"/>
        <v>2025-12</v>
      </c>
    </row>
    <row r="988" spans="1:7" x14ac:dyDescent="0.25">
      <c r="A988" s="31">
        <v>45999</v>
      </c>
      <c r="B988" s="32">
        <v>188073.51300000001</v>
      </c>
      <c r="C988" s="33">
        <f t="shared" si="63"/>
        <v>1.6979765789619794E-3</v>
      </c>
      <c r="D988" s="32">
        <f>MAX($B$2:B988)</f>
        <v>191142.1771</v>
      </c>
      <c r="E988" s="34">
        <f t="shared" si="60"/>
        <v>-1.6054353605036931E-2</v>
      </c>
      <c r="F988" s="35">
        <f t="shared" si="61"/>
        <v>171.02646031646464</v>
      </c>
      <c r="G988" s="36" t="str">
        <f t="shared" si="62"/>
        <v>2025-12</v>
      </c>
    </row>
    <row r="989" spans="1:7" x14ac:dyDescent="0.25">
      <c r="A989" s="37">
        <v>46000</v>
      </c>
      <c r="B989" s="38">
        <v>188629.47709999999</v>
      </c>
      <c r="C989" s="39">
        <f t="shared" si="63"/>
        <v>2.9560999373685615E-3</v>
      </c>
      <c r="D989" s="38">
        <f>MAX($B$2:B989)</f>
        <v>191142.1771</v>
      </c>
      <c r="E989" s="40">
        <f t="shared" si="60"/>
        <v>-1.3145711941354721E-2</v>
      </c>
      <c r="F989" s="41">
        <f t="shared" si="61"/>
        <v>171.5320316250945</v>
      </c>
      <c r="G989" s="42" t="str">
        <f t="shared" si="62"/>
        <v>2025-12</v>
      </c>
    </row>
    <row r="990" spans="1:7" x14ac:dyDescent="0.25">
      <c r="A990" s="31">
        <v>46001</v>
      </c>
      <c r="B990" s="32">
        <v>189901.44260000001</v>
      </c>
      <c r="C990" s="33">
        <f t="shared" si="63"/>
        <v>6.7431958119976709E-3</v>
      </c>
      <c r="D990" s="32">
        <f>MAX($B$2:B990)</f>
        <v>191142.1771</v>
      </c>
      <c r="E990" s="34">
        <f t="shared" si="60"/>
        <v>-6.4911602390658185E-3</v>
      </c>
      <c r="F990" s="35">
        <f t="shared" si="61"/>
        <v>172.68870570237226</v>
      </c>
      <c r="G990" s="36" t="str">
        <f t="shared" si="62"/>
        <v>2025-12</v>
      </c>
    </row>
    <row r="991" spans="1:7" x14ac:dyDescent="0.25">
      <c r="A991" s="37">
        <v>46002</v>
      </c>
      <c r="B991" s="38">
        <v>188110.26809999999</v>
      </c>
      <c r="C991" s="39">
        <f t="shared" si="63"/>
        <v>-9.4321268731637486E-3</v>
      </c>
      <c r="D991" s="38">
        <f>MAX($B$2:B991)</f>
        <v>191142.1771</v>
      </c>
      <c r="E991" s="40">
        <f t="shared" si="60"/>
        <v>-1.5862061665300686E-2</v>
      </c>
      <c r="F991" s="41">
        <f t="shared" si="61"/>
        <v>171.05988392062505</v>
      </c>
      <c r="G991" s="42" t="str">
        <f t="shared" si="62"/>
        <v>2025-12</v>
      </c>
    </row>
    <row r="992" spans="1:7" x14ac:dyDescent="0.25">
      <c r="A992" s="31">
        <v>46003</v>
      </c>
      <c r="B992" s="32">
        <v>185505.6018</v>
      </c>
      <c r="C992" s="33">
        <f t="shared" si="63"/>
        <v>-1.3846486565078586E-2</v>
      </c>
      <c r="D992" s="32">
        <f>MAX($B$2:B992)</f>
        <v>191142.1771</v>
      </c>
      <c r="E992" s="34">
        <f t="shared" si="60"/>
        <v>-2.9488914406636146E-2</v>
      </c>
      <c r="F992" s="35">
        <f t="shared" si="61"/>
        <v>168.69130553609421</v>
      </c>
      <c r="G992" s="36" t="str">
        <f t="shared" si="62"/>
        <v>2025-12</v>
      </c>
    </row>
    <row r="993" spans="1:7" x14ac:dyDescent="0.25">
      <c r="A993" s="37">
        <v>46006</v>
      </c>
      <c r="B993" s="38">
        <v>184938.2715</v>
      </c>
      <c r="C993" s="39">
        <f t="shared" si="63"/>
        <v>-3.0582920111040801E-3</v>
      </c>
      <c r="D993" s="38">
        <f>MAX($B$2:B993)</f>
        <v>191142.1771</v>
      </c>
      <c r="E993" s="40">
        <f t="shared" si="60"/>
        <v>-3.2457020706394335E-2</v>
      </c>
      <c r="F993" s="41">
        <f t="shared" si="61"/>
        <v>168.17539826403046</v>
      </c>
      <c r="G993" s="42" t="str">
        <f t="shared" si="62"/>
        <v>2025-12</v>
      </c>
    </row>
    <row r="994" spans="1:7" x14ac:dyDescent="0.25">
      <c r="A994" s="31">
        <v>46007</v>
      </c>
      <c r="B994" s="32">
        <v>185600.42110000001</v>
      </c>
      <c r="C994" s="33">
        <f t="shared" si="63"/>
        <v>3.5803816842745473E-3</v>
      </c>
      <c r="D994" s="32">
        <f>MAX($B$2:B994)</f>
        <v>191142.1771</v>
      </c>
      <c r="E994" s="34">
        <f t="shared" si="60"/>
        <v>-2.8992847544583089E-2</v>
      </c>
      <c r="F994" s="35">
        <f t="shared" si="61"/>
        <v>168.77753037972059</v>
      </c>
      <c r="G994" s="36" t="str">
        <f t="shared" si="62"/>
        <v>2025-12</v>
      </c>
    </row>
    <row r="995" spans="1:7" x14ac:dyDescent="0.25">
      <c r="A995" s="37">
        <v>46008</v>
      </c>
      <c r="B995" s="38">
        <v>181833.80619999999</v>
      </c>
      <c r="C995" s="39">
        <f t="shared" si="63"/>
        <v>-2.0294215269967442E-2</v>
      </c>
      <c r="D995" s="38">
        <f>MAX($B$2:B995)</f>
        <v>191142.1771</v>
      </c>
      <c r="E995" s="40">
        <f t="shared" si="60"/>
        <v>-4.8698675725191376E-2</v>
      </c>
      <c r="F995" s="41">
        <f t="shared" si="61"/>
        <v>165.35232284546106</v>
      </c>
      <c r="G995" s="42" t="str">
        <f t="shared" si="62"/>
        <v>2025-12</v>
      </c>
    </row>
    <row r="996" spans="1:7" x14ac:dyDescent="0.25">
      <c r="A996" s="31">
        <v>46009</v>
      </c>
      <c r="B996" s="32">
        <v>185372.35339999999</v>
      </c>
      <c r="C996" s="33">
        <f t="shared" si="63"/>
        <v>1.9460337293428998E-2</v>
      </c>
      <c r="D996" s="32">
        <f>MAX($B$2:B996)</f>
        <v>191142.1771</v>
      </c>
      <c r="E996" s="34">
        <f t="shared" si="60"/>
        <v>-3.0186031087117926E-2</v>
      </c>
      <c r="F996" s="35">
        <f t="shared" si="61"/>
        <v>168.57013482028569</v>
      </c>
      <c r="G996" s="36" t="str">
        <f t="shared" si="62"/>
        <v>2025-12</v>
      </c>
    </row>
    <row r="997" spans="1:7" x14ac:dyDescent="0.25">
      <c r="A997" s="37">
        <v>46010</v>
      </c>
      <c r="B997" s="38">
        <v>187835.82019999999</v>
      </c>
      <c r="C997" s="39">
        <f t="shared" si="63"/>
        <v>1.328928912438343E-2</v>
      </c>
      <c r="D997" s="38">
        <f>MAX($B$2:B997)</f>
        <v>191142.1771</v>
      </c>
      <c r="E997" s="40">
        <f t="shared" si="60"/>
        <v>-1.7297892857368824E-2</v>
      </c>
      <c r="F997" s="41">
        <f t="shared" si="61"/>
        <v>170.81031207964878</v>
      </c>
      <c r="G997" s="42" t="str">
        <f t="shared" si="62"/>
        <v>2025-12</v>
      </c>
    </row>
    <row r="998" spans="1:7" x14ac:dyDescent="0.25">
      <c r="A998" s="31">
        <v>46013</v>
      </c>
      <c r="B998" s="32">
        <v>189398.69380000001</v>
      </c>
      <c r="C998" s="33">
        <f t="shared" si="63"/>
        <v>8.3204236462244285E-3</v>
      </c>
      <c r="D998" s="32">
        <f>MAX($B$2:B998)</f>
        <v>191142.1771</v>
      </c>
      <c r="E998" s="34">
        <f t="shared" si="60"/>
        <v>-9.1213950079047645E-3</v>
      </c>
      <c r="F998" s="35">
        <f t="shared" si="61"/>
        <v>172.23152623929525</v>
      </c>
      <c r="G998" s="36" t="str">
        <f t="shared" si="62"/>
        <v>2025-12</v>
      </c>
    </row>
    <row r="999" spans="1:7" x14ac:dyDescent="0.25">
      <c r="A999" s="37">
        <v>46014</v>
      </c>
      <c r="B999" s="38">
        <v>190291.81880000001</v>
      </c>
      <c r="C999" s="39">
        <f t="shared" si="63"/>
        <v>4.7155816235096015E-3</v>
      </c>
      <c r="D999" s="38">
        <f>MAX($B$2:B999)</f>
        <v>191142.1771</v>
      </c>
      <c r="E999" s="40">
        <f t="shared" si="60"/>
        <v>-4.4488260670751956E-3</v>
      </c>
      <c r="F999" s="41">
        <f t="shared" si="61"/>
        <v>173.04369805941826</v>
      </c>
      <c r="G999" s="42" t="str">
        <f t="shared" si="62"/>
        <v>2025-12</v>
      </c>
    </row>
    <row r="1000" spans="1:7" x14ac:dyDescent="0.25">
      <c r="A1000" s="31">
        <v>46015</v>
      </c>
      <c r="B1000" s="32">
        <v>191160.1991</v>
      </c>
      <c r="C1000" s="33">
        <f t="shared" si="63"/>
        <v>4.5634137372594363E-3</v>
      </c>
      <c r="D1000" s="32">
        <f>MAX($B$2:B1000)</f>
        <v>191160.1991</v>
      </c>
      <c r="E1000" s="34">
        <f t="shared" si="60"/>
        <v>0</v>
      </c>
      <c r="F1000" s="35">
        <f t="shared" si="61"/>
        <v>173.83336804828878</v>
      </c>
      <c r="G1000" s="36" t="str">
        <f t="shared" si="62"/>
        <v>2025-12</v>
      </c>
    </row>
    <row r="1001" spans="1:7" x14ac:dyDescent="0.25">
      <c r="A1001" s="37">
        <v>46017</v>
      </c>
      <c r="B1001" s="38">
        <v>190697.41639999999</v>
      </c>
      <c r="C1001" s="39">
        <f t="shared" si="63"/>
        <v>-2.4209155576256913E-3</v>
      </c>
      <c r="D1001" s="38">
        <f>MAX($B$2:B1001)</f>
        <v>191160.1991</v>
      </c>
      <c r="E1001" s="40">
        <f t="shared" si="60"/>
        <v>-2.4209155576256913E-3</v>
      </c>
      <c r="F1001" s="41">
        <f t="shared" si="61"/>
        <v>173.41253214314619</v>
      </c>
      <c r="G1001" s="42" t="str">
        <f t="shared" si="62"/>
        <v>2025-12</v>
      </c>
    </row>
    <row r="1002" spans="1:7" x14ac:dyDescent="0.25">
      <c r="A1002" s="31">
        <v>46020</v>
      </c>
      <c r="B1002" s="32">
        <v>189849.70629999999</v>
      </c>
      <c r="C1002" s="33">
        <f t="shared" si="63"/>
        <v>-4.445315075595313E-3</v>
      </c>
      <c r="D1002" s="32">
        <f>MAX($B$2:B1002)</f>
        <v>191160.1991</v>
      </c>
      <c r="E1002" s="34">
        <f t="shared" si="60"/>
        <v>-6.8554689007959135E-3</v>
      </c>
      <c r="F1002" s="35">
        <f t="shared" si="61"/>
        <v>172.64165879971313</v>
      </c>
      <c r="G1002" s="36" t="str">
        <f t="shared" si="62"/>
        <v>2025-12</v>
      </c>
    </row>
    <row r="1003" spans="1:7" x14ac:dyDescent="0.25">
      <c r="A1003" s="37">
        <v>46021</v>
      </c>
      <c r="B1003" s="38">
        <v>189194.7942</v>
      </c>
      <c r="C1003" s="39">
        <f t="shared" si="63"/>
        <v>-3.4496345175540899E-3</v>
      </c>
      <c r="D1003" s="38">
        <f>MAX($B$2:B1003)</f>
        <v>191160.1991</v>
      </c>
      <c r="E1003" s="40">
        <f t="shared" si="60"/>
        <v>-1.0281454556195779E-2</v>
      </c>
      <c r="F1003" s="41">
        <f t="shared" si="61"/>
        <v>172.04610817434985</v>
      </c>
      <c r="G1003" s="42" t="str">
        <f t="shared" si="62"/>
        <v>2025-12</v>
      </c>
    </row>
    <row r="1004" spans="1:7" x14ac:dyDescent="0.25">
      <c r="A1004" s="31">
        <v>46022</v>
      </c>
      <c r="B1004" s="32">
        <v>187875.9613</v>
      </c>
      <c r="C1004" s="33">
        <f t="shared" si="63"/>
        <v>-6.9707673806598258E-3</v>
      </c>
      <c r="D1004" s="32">
        <f>MAX($B$2:B1004)</f>
        <v>191160.1991</v>
      </c>
      <c r="E1004" s="34">
        <f t="shared" si="60"/>
        <v>-1.7180552308809549E-2</v>
      </c>
      <c r="F1004" s="35">
        <f t="shared" si="61"/>
        <v>170.84681477551862</v>
      </c>
      <c r="G1004" s="36" t="str">
        <f t="shared" si="62"/>
        <v>2025-12</v>
      </c>
    </row>
    <row r="1005" spans="1:7" x14ac:dyDescent="0.25">
      <c r="A1005" s="37">
        <v>46024</v>
      </c>
      <c r="B1005" s="38">
        <v>189291.59479999999</v>
      </c>
      <c r="C1005" s="39">
        <f t="shared" si="63"/>
        <v>7.5349368285573259E-3</v>
      </c>
      <c r="D1005" s="38">
        <f>MAX($B$2:B1005)</f>
        <v>191160.1991</v>
      </c>
      <c r="E1005" s="40">
        <f t="shared" si="60"/>
        <v>-9.775069856578722E-3</v>
      </c>
      <c r="F1005" s="41">
        <f t="shared" si="61"/>
        <v>172.1341347322124</v>
      </c>
      <c r="G1005" s="42" t="str">
        <f t="shared" si="62"/>
        <v>2026-01</v>
      </c>
    </row>
    <row r="1006" spans="1:7" x14ac:dyDescent="0.25">
      <c r="A1006" s="31">
        <v>46027</v>
      </c>
      <c r="B1006" s="32">
        <v>190993.0624</v>
      </c>
      <c r="C1006" s="33">
        <f t="shared" si="63"/>
        <v>8.9886061861210731E-3</v>
      </c>
      <c r="D1006" s="32">
        <f>MAX($B$2:B1006)</f>
        <v>191160.1991</v>
      </c>
      <c r="E1006" s="34">
        <f t="shared" si="60"/>
        <v>-8.7432792384034563E-4</v>
      </c>
      <c r="F1006" s="35">
        <f t="shared" si="61"/>
        <v>173.68138068050897</v>
      </c>
      <c r="G1006" s="36" t="str">
        <f t="shared" si="62"/>
        <v>2026-01</v>
      </c>
    </row>
    <row r="1007" spans="1:7" x14ac:dyDescent="0.25">
      <c r="A1007" s="37">
        <v>46028</v>
      </c>
      <c r="B1007" s="38">
        <v>192016.05679999999</v>
      </c>
      <c r="C1007" s="39">
        <f t="shared" si="63"/>
        <v>5.3561861731790117E-3</v>
      </c>
      <c r="D1007" s="38">
        <f>MAX($B$2:B1007)</f>
        <v>192016.05679999999</v>
      </c>
      <c r="E1007" s="40">
        <f t="shared" si="60"/>
        <v>0</v>
      </c>
      <c r="F1007" s="41">
        <f t="shared" si="61"/>
        <v>174.61165049024854</v>
      </c>
      <c r="G1007" s="42" t="str">
        <f t="shared" si="62"/>
        <v>2026-01</v>
      </c>
    </row>
    <row r="1008" spans="1:7" x14ac:dyDescent="0.25">
      <c r="A1008" s="31">
        <v>46029</v>
      </c>
      <c r="B1008" s="32">
        <v>191167.46</v>
      </c>
      <c r="C1008" s="33">
        <f t="shared" si="63"/>
        <v>-4.4194054088084744E-3</v>
      </c>
      <c r="D1008" s="32">
        <f>MAX($B$2:B1008)</f>
        <v>192016.05679999999</v>
      </c>
      <c r="E1008" s="34">
        <f t="shared" si="60"/>
        <v>-4.4194054088084744E-3</v>
      </c>
      <c r="F1008" s="35">
        <f t="shared" si="61"/>
        <v>173.83997081763096</v>
      </c>
      <c r="G1008" s="36" t="str">
        <f t="shared" si="62"/>
        <v>2026-01</v>
      </c>
    </row>
    <row r="1009" spans="1:7" x14ac:dyDescent="0.25">
      <c r="A1009" s="37">
        <v>46030</v>
      </c>
      <c r="B1009" s="38">
        <v>190462.88039999999</v>
      </c>
      <c r="C1009" s="39">
        <f t="shared" si="63"/>
        <v>-3.6856670062990204E-3</v>
      </c>
      <c r="D1009" s="38">
        <f>MAX($B$2:B1009)</f>
        <v>192016.05679999999</v>
      </c>
      <c r="E1009" s="40">
        <f t="shared" si="60"/>
        <v>-8.0887839584048438E-3</v>
      </c>
      <c r="F1009" s="41">
        <f t="shared" si="61"/>
        <v>173.19925457281244</v>
      </c>
      <c r="G1009" s="42" t="str">
        <f t="shared" si="62"/>
        <v>2026-01</v>
      </c>
    </row>
    <row r="1010" spans="1:7" x14ac:dyDescent="0.25">
      <c r="A1010" s="31">
        <v>46031</v>
      </c>
      <c r="B1010" s="32">
        <v>192550.8046</v>
      </c>
      <c r="C1010" s="33">
        <f t="shared" si="63"/>
        <v>1.0962368077260365E-2</v>
      </c>
      <c r="D1010" s="32">
        <f>MAX($B$2:B1010)</f>
        <v>192550.8046</v>
      </c>
      <c r="E1010" s="34">
        <f t="shared" si="60"/>
        <v>0</v>
      </c>
      <c r="F1010" s="35">
        <f t="shared" si="61"/>
        <v>175.0979285521467</v>
      </c>
      <c r="G1010" s="36" t="str">
        <f t="shared" si="62"/>
        <v>2026-01</v>
      </c>
    </row>
    <row r="1011" spans="1:7" x14ac:dyDescent="0.25">
      <c r="A1011" s="37">
        <v>46034</v>
      </c>
      <c r="B1011" s="38">
        <v>193554.3321</v>
      </c>
      <c r="C1011" s="39">
        <f t="shared" si="63"/>
        <v>5.2117543839127478E-3</v>
      </c>
      <c r="D1011" s="38">
        <f>MAX($B$2:B1011)</f>
        <v>193554.3321</v>
      </c>
      <c r="E1011" s="40">
        <f t="shared" si="60"/>
        <v>0</v>
      </c>
      <c r="F1011" s="41">
        <f t="shared" si="61"/>
        <v>176.01049594889241</v>
      </c>
      <c r="G1011" s="42" t="str">
        <f t="shared" si="62"/>
        <v>2026-01</v>
      </c>
    </row>
    <row r="1012" spans="1:7" x14ac:dyDescent="0.25">
      <c r="A1012" s="31">
        <v>46035</v>
      </c>
      <c r="B1012" s="32">
        <v>193074.03339999999</v>
      </c>
      <c r="C1012" s="33">
        <f t="shared" si="63"/>
        <v>-2.4814670629633717E-3</v>
      </c>
      <c r="D1012" s="32">
        <f>MAX($B$2:B1012)</f>
        <v>193554.3321</v>
      </c>
      <c r="E1012" s="34">
        <f t="shared" si="60"/>
        <v>-2.4814670629633717E-3</v>
      </c>
      <c r="F1012" s="35">
        <f t="shared" si="61"/>
        <v>175.5737317004594</v>
      </c>
      <c r="G1012" s="36" t="str">
        <f t="shared" si="62"/>
        <v>2026-01</v>
      </c>
    </row>
    <row r="1013" spans="1:7" x14ac:dyDescent="0.25">
      <c r="A1013" s="37">
        <v>46036</v>
      </c>
      <c r="B1013" s="38">
        <v>191082.51800000001</v>
      </c>
      <c r="C1013" s="39">
        <f t="shared" si="63"/>
        <v>-1.0314775969247347E-2</v>
      </c>
      <c r="D1013" s="38">
        <f>MAX($B$2:B1013)</f>
        <v>193554.3321</v>
      </c>
      <c r="E1013" s="40">
        <f t="shared" si="60"/>
        <v>-1.2770647255381129E-2</v>
      </c>
      <c r="F1013" s="41">
        <f t="shared" si="61"/>
        <v>173.76272799188442</v>
      </c>
      <c r="G1013" s="42" t="str">
        <f t="shared" si="62"/>
        <v>2026-01</v>
      </c>
    </row>
    <row r="1014" spans="1:7" x14ac:dyDescent="0.25">
      <c r="A1014" s="31">
        <v>46037</v>
      </c>
      <c r="B1014" s="32">
        <v>191342.8394</v>
      </c>
      <c r="C1014" s="33">
        <f t="shared" si="63"/>
        <v>1.362350688721703E-3</v>
      </c>
      <c r="D1014" s="32">
        <f>MAX($B$2:B1014)</f>
        <v>193554.3321</v>
      </c>
      <c r="E1014" s="34">
        <f t="shared" si="60"/>
        <v>-1.1425694666743147E-2</v>
      </c>
      <c r="F1014" s="35">
        <f t="shared" si="61"/>
        <v>173.99945376403835</v>
      </c>
      <c r="G1014" s="36" t="str">
        <f t="shared" si="62"/>
        <v>2026-01</v>
      </c>
    </row>
    <row r="1015" spans="1:7" x14ac:dyDescent="0.25">
      <c r="A1015" s="37">
        <v>46038</v>
      </c>
      <c r="B1015" s="38">
        <v>192051.14670000001</v>
      </c>
      <c r="C1015" s="39">
        <f t="shared" si="63"/>
        <v>3.7017706135284989E-3</v>
      </c>
      <c r="D1015" s="38">
        <f>MAX($B$2:B1015)</f>
        <v>193554.3321</v>
      </c>
      <c r="E1015" s="40">
        <f t="shared" si="60"/>
        <v>-7.7662193539711488E-3</v>
      </c>
      <c r="F1015" s="41">
        <f t="shared" si="61"/>
        <v>174.64355982875205</v>
      </c>
      <c r="G1015" s="42" t="str">
        <f t="shared" si="62"/>
        <v>2026-01</v>
      </c>
    </row>
    <row r="1016" spans="1:7" x14ac:dyDescent="0.25">
      <c r="A1016" s="31">
        <v>46042</v>
      </c>
      <c r="B1016" s="32">
        <v>187176.40179999999</v>
      </c>
      <c r="C1016" s="33">
        <f t="shared" si="63"/>
        <v>-2.5382534724537664E-2</v>
      </c>
      <c r="D1016" s="32">
        <f>MAX($B$2:B1016)</f>
        <v>193554.3321</v>
      </c>
      <c r="E1016" s="34">
        <f t="shared" si="60"/>
        <v>-3.2951627746078294E-2</v>
      </c>
      <c r="F1016" s="35">
        <f t="shared" si="61"/>
        <v>170.21066360698188</v>
      </c>
      <c r="G1016" s="36" t="str">
        <f t="shared" si="62"/>
        <v>2026-01</v>
      </c>
    </row>
    <row r="1017" spans="1:7" x14ac:dyDescent="0.25">
      <c r="A1017" s="37">
        <v>46043</v>
      </c>
      <c r="B1017" s="38">
        <v>189557.93960000001</v>
      </c>
      <c r="C1017" s="39">
        <f t="shared" si="63"/>
        <v>1.2723493865133273E-2</v>
      </c>
      <c r="D1017" s="38">
        <f>MAX($B$2:B1017)</f>
        <v>193554.3321</v>
      </c>
      <c r="E1017" s="40">
        <f t="shared" si="60"/>
        <v>-2.0647393714418372E-2</v>
      </c>
      <c r="F1017" s="41">
        <f t="shared" si="61"/>
        <v>172.37633794116559</v>
      </c>
      <c r="G1017" s="42" t="str">
        <f t="shared" si="62"/>
        <v>2026-01</v>
      </c>
    </row>
    <row r="1018" spans="1:7" x14ac:dyDescent="0.25">
      <c r="A1018" s="31">
        <v>46044</v>
      </c>
      <c r="B1018" s="32">
        <v>191718.08670000001</v>
      </c>
      <c r="C1018" s="33">
        <f t="shared" si="63"/>
        <v>1.1395708903347845E-2</v>
      </c>
      <c r="D1018" s="32">
        <f>MAX($B$2:B1018)</f>
        <v>193554.3321</v>
      </c>
      <c r="E1018" s="34">
        <f t="shared" si="60"/>
        <v>-9.4869764994528483E-3</v>
      </c>
      <c r="F1018" s="35">
        <f t="shared" si="61"/>
        <v>174.34068851016823</v>
      </c>
      <c r="G1018" s="36" t="str">
        <f t="shared" si="62"/>
        <v>2026-01</v>
      </c>
    </row>
    <row r="1019" spans="1:7" x14ac:dyDescent="0.25">
      <c r="A1019" s="37">
        <v>46045</v>
      </c>
      <c r="B1019" s="38">
        <v>193047.69579999999</v>
      </c>
      <c r="C1019" s="39">
        <f t="shared" si="63"/>
        <v>6.9352303837693086E-3</v>
      </c>
      <c r="D1019" s="38">
        <f>MAX($B$2:B1019)</f>
        <v>193554.3321</v>
      </c>
      <c r="E1019" s="40">
        <f t="shared" si="60"/>
        <v>-2.6175404833524984E-3</v>
      </c>
      <c r="F1019" s="41">
        <f t="shared" si="61"/>
        <v>175.54978135025124</v>
      </c>
      <c r="G1019" s="42" t="str">
        <f t="shared" si="62"/>
        <v>2026-01</v>
      </c>
    </row>
    <row r="1020" spans="1:7" x14ac:dyDescent="0.25">
      <c r="A1020" s="31">
        <v>46048</v>
      </c>
      <c r="B1020" s="32">
        <v>192950.52840000001</v>
      </c>
      <c r="C1020" s="33">
        <f t="shared" si="63"/>
        <v>-5.03333643001036E-4</v>
      </c>
      <c r="D1020" s="32">
        <f>MAX($B$2:B1020)</f>
        <v>193554.3321</v>
      </c>
      <c r="E1020" s="34">
        <f t="shared" si="60"/>
        <v>-3.1195566301663868E-3</v>
      </c>
      <c r="F1020" s="35">
        <f t="shared" si="61"/>
        <v>175.46142123927615</v>
      </c>
      <c r="G1020" s="36" t="str">
        <f t="shared" si="62"/>
        <v>2026-01</v>
      </c>
    </row>
    <row r="1021" spans="1:7" x14ac:dyDescent="0.25">
      <c r="A1021" s="37">
        <v>46049</v>
      </c>
      <c r="B1021" s="38">
        <v>194961.19279999999</v>
      </c>
      <c r="C1021" s="39">
        <f t="shared" si="63"/>
        <v>1.0420621372084105E-2</v>
      </c>
      <c r="D1021" s="38">
        <f>MAX($B$2:B1021)</f>
        <v>194961.19279999999</v>
      </c>
      <c r="E1021" s="40">
        <f t="shared" si="60"/>
        <v>0</v>
      </c>
      <c r="F1021" s="41">
        <f t="shared" si="61"/>
        <v>177.28983827541842</v>
      </c>
      <c r="G1021" s="42" t="str">
        <f t="shared" si="62"/>
        <v>2026-01</v>
      </c>
    </row>
    <row r="1022" spans="1:7" x14ac:dyDescent="0.25">
      <c r="A1022" s="31">
        <v>46050</v>
      </c>
      <c r="B1022" s="32">
        <v>196133.06030000001</v>
      </c>
      <c r="C1022" s="33">
        <f t="shared" si="63"/>
        <v>6.0107731347447402E-3</v>
      </c>
      <c r="D1022" s="32">
        <f>MAX($B$2:B1022)</f>
        <v>196133.06030000001</v>
      </c>
      <c r="E1022" s="34">
        <f t="shared" si="60"/>
        <v>0</v>
      </c>
      <c r="F1022" s="35">
        <f t="shared" si="61"/>
        <v>178.35548727238753</v>
      </c>
      <c r="G1022" s="36" t="str">
        <f t="shared" si="62"/>
        <v>2026-01</v>
      </c>
    </row>
    <row r="1023" spans="1:7" x14ac:dyDescent="0.25">
      <c r="A1023" s="37">
        <v>46051</v>
      </c>
      <c r="B1023" s="38">
        <v>193305.27830000001</v>
      </c>
      <c r="C1023" s="39">
        <f t="shared" si="63"/>
        <v>-1.441767132820293E-2</v>
      </c>
      <c r="D1023" s="38">
        <f>MAX($B$2:B1023)</f>
        <v>196133.06030000001</v>
      </c>
      <c r="E1023" s="40">
        <f t="shared" si="60"/>
        <v>-1.441767132820293E-2</v>
      </c>
      <c r="F1023" s="41">
        <f t="shared" si="61"/>
        <v>175.78401647731278</v>
      </c>
      <c r="G1023" s="42" t="str">
        <f t="shared" si="62"/>
        <v>2026-01</v>
      </c>
    </row>
    <row r="1024" spans="1:7" x14ac:dyDescent="0.25">
      <c r="A1024" s="31">
        <v>46052</v>
      </c>
      <c r="B1024" s="32">
        <v>192047.34539999999</v>
      </c>
      <c r="C1024" s="33">
        <f t="shared" si="63"/>
        <v>-6.5074937997697813E-3</v>
      </c>
      <c r="D1024" s="32">
        <f>MAX($B$2:B1024)</f>
        <v>196133.06030000001</v>
      </c>
      <c r="E1024" s="34">
        <f t="shared" si="60"/>
        <v>-2.0831342221197313E-2</v>
      </c>
      <c r="F1024" s="35">
        <f t="shared" si="61"/>
        <v>174.64010307998805</v>
      </c>
      <c r="G1024" s="36" t="str">
        <f t="shared" si="62"/>
        <v>2026-01</v>
      </c>
    </row>
    <row r="1025" spans="1:7" x14ac:dyDescent="0.25">
      <c r="A1025" s="37">
        <v>46055</v>
      </c>
      <c r="B1025" s="38">
        <v>193132.37820000001</v>
      </c>
      <c r="C1025" s="39">
        <f t="shared" si="63"/>
        <v>5.6498193075258385E-3</v>
      </c>
      <c r="D1025" s="38">
        <f>MAX($B$2:B1025)</f>
        <v>196133.06030000001</v>
      </c>
      <c r="E1025" s="40">
        <f t="shared" si="60"/>
        <v>-1.5299216233154334E-2</v>
      </c>
      <c r="F1025" s="41">
        <f t="shared" si="61"/>
        <v>175.62678810623768</v>
      </c>
      <c r="G1025" s="42" t="str">
        <f t="shared" si="62"/>
        <v>2026-02</v>
      </c>
    </row>
    <row r="1026" spans="1:7" x14ac:dyDescent="0.25">
      <c r="A1026" s="31">
        <v>46056</v>
      </c>
      <c r="B1026" s="32">
        <v>190237.49530000001</v>
      </c>
      <c r="C1026" s="33">
        <f t="shared" si="63"/>
        <v>-1.4989112270973881E-2</v>
      </c>
      <c r="D1026" s="32">
        <f>MAX($B$2:B1026)</f>
        <v>196133.06030000001</v>
      </c>
      <c r="E1026" s="34">
        <f t="shared" ref="E1026:E1089" si="64">B1026/D1026-1</f>
        <v>-3.0059006834351587E-2</v>
      </c>
      <c r="F1026" s="35">
        <f t="shared" ref="F1026:F1089" si="65">B1026/$B$2*100</f>
        <v>172.99429846152273</v>
      </c>
      <c r="G1026" s="36" t="str">
        <f t="shared" ref="G1026:G1089" si="66">TEXT(A1026,"YYYY-MM")</f>
        <v>2026-02</v>
      </c>
    </row>
    <row r="1027" spans="1:7" x14ac:dyDescent="0.25">
      <c r="A1027" s="37">
        <v>46057</v>
      </c>
      <c r="B1027" s="38">
        <v>186352.18520000001</v>
      </c>
      <c r="C1027" s="39">
        <f t="shared" ref="C1027:C1090" si="67">B1027/B1026-1</f>
        <v>-2.0423471691913053E-2</v>
      </c>
      <c r="D1027" s="38">
        <f>MAX($B$2:B1027)</f>
        <v>196133.06030000001</v>
      </c>
      <c r="E1027" s="40">
        <f t="shared" si="64"/>
        <v>-4.9868569251096284E-2</v>
      </c>
      <c r="F1027" s="41">
        <f t="shared" si="65"/>
        <v>169.46115430403145</v>
      </c>
      <c r="G1027" s="42" t="str">
        <f t="shared" si="66"/>
        <v>2026-02</v>
      </c>
    </row>
    <row r="1028" spans="1:7" x14ac:dyDescent="0.25">
      <c r="A1028" s="31">
        <v>46058</v>
      </c>
      <c r="B1028" s="32">
        <v>183542.2702</v>
      </c>
      <c r="C1028" s="33">
        <f t="shared" si="67"/>
        <v>-1.5078519186583761E-2</v>
      </c>
      <c r="D1028" s="32">
        <f>MAX($B$2:B1028)</f>
        <v>196133.06030000001</v>
      </c>
      <c r="E1028" s="34">
        <f t="shared" si="64"/>
        <v>-6.4195144259419967E-2</v>
      </c>
      <c r="F1028" s="35">
        <f t="shared" si="65"/>
        <v>166.90593103747747</v>
      </c>
      <c r="G1028" s="36" t="str">
        <f t="shared" si="66"/>
        <v>2026-02</v>
      </c>
    </row>
    <row r="1029" spans="1:7" x14ac:dyDescent="0.25">
      <c r="A1029" s="37">
        <v>46059</v>
      </c>
      <c r="B1029" s="38">
        <v>188176.51250000001</v>
      </c>
      <c r="C1029" s="39">
        <f t="shared" si="67"/>
        <v>2.5248910209894504E-2</v>
      </c>
      <c r="D1029" s="38">
        <f>MAX($B$2:B1029)</f>
        <v>196133.06030000001</v>
      </c>
      <c r="E1029" s="40">
        <f t="shared" si="64"/>
        <v>-4.0567091482842654E-2</v>
      </c>
      <c r="F1029" s="41">
        <f t="shared" si="65"/>
        <v>171.12012390374161</v>
      </c>
      <c r="G1029" s="42" t="str">
        <f t="shared" si="66"/>
        <v>2026-02</v>
      </c>
    </row>
    <row r="1030" spans="1:7" x14ac:dyDescent="0.25">
      <c r="A1030" s="31">
        <v>46062</v>
      </c>
      <c r="B1030" s="32">
        <v>189534.16200000001</v>
      </c>
      <c r="C1030" s="33">
        <f t="shared" si="67"/>
        <v>7.2147659767050065E-3</v>
      </c>
      <c r="D1030" s="32">
        <f>MAX($B$2:B1030)</f>
        <v>196133.06030000001</v>
      </c>
      <c r="E1030" s="34">
        <f t="shared" si="64"/>
        <v>-3.3645007577541963E-2</v>
      </c>
      <c r="F1030" s="35">
        <f t="shared" si="65"/>
        <v>172.35471555161189</v>
      </c>
      <c r="G1030" s="36" t="str">
        <f t="shared" si="66"/>
        <v>2026-02</v>
      </c>
    </row>
    <row r="1031" spans="1:7" x14ac:dyDescent="0.25">
      <c r="A1031" s="37">
        <v>46063</v>
      </c>
      <c r="B1031" s="38">
        <v>189178.3688</v>
      </c>
      <c r="C1031" s="39">
        <f t="shared" si="67"/>
        <v>-1.8771982646590413E-3</v>
      </c>
      <c r="D1031" s="38">
        <f>MAX($B$2:B1031)</f>
        <v>196133.06030000001</v>
      </c>
      <c r="E1031" s="40">
        <f t="shared" si="64"/>
        <v>-3.5459047492362061E-2</v>
      </c>
      <c r="F1031" s="41">
        <f t="shared" si="65"/>
        <v>172.03117157867257</v>
      </c>
      <c r="G1031" s="42" t="str">
        <f t="shared" si="66"/>
        <v>2026-02</v>
      </c>
    </row>
    <row r="1032" spans="1:7" x14ac:dyDescent="0.25">
      <c r="A1032" s="31">
        <v>46064</v>
      </c>
      <c r="B1032" s="32">
        <v>190316.52470000001</v>
      </c>
      <c r="C1032" s="33">
        <f t="shared" si="67"/>
        <v>6.0163109937969583E-3</v>
      </c>
      <c r="D1032" s="32">
        <f>MAX($B$2:B1032)</f>
        <v>196133.06030000001</v>
      </c>
      <c r="E1032" s="34">
        <f t="shared" si="64"/>
        <v>-2.9656069155822973E-2</v>
      </c>
      <c r="F1032" s="35">
        <f t="shared" si="65"/>
        <v>173.06616460751712</v>
      </c>
      <c r="G1032" s="36" t="str">
        <f t="shared" si="66"/>
        <v>2026-02</v>
      </c>
    </row>
    <row r="1033" spans="1:7" x14ac:dyDescent="0.25">
      <c r="A1033" s="37">
        <v>46065</v>
      </c>
      <c r="B1033" s="38">
        <v>186734.14869999999</v>
      </c>
      <c r="C1033" s="39">
        <f t="shared" si="67"/>
        <v>-1.8823252503412324E-2</v>
      </c>
      <c r="D1033" s="38">
        <f>MAX($B$2:B1033)</f>
        <v>196133.06030000001</v>
      </c>
      <c r="E1033" s="40">
        <f t="shared" si="64"/>
        <v>-4.7921097981256655E-2</v>
      </c>
      <c r="F1033" s="41">
        <f t="shared" si="65"/>
        <v>169.8084964913127</v>
      </c>
      <c r="G1033" s="42" t="str">
        <f t="shared" si="66"/>
        <v>2026-02</v>
      </c>
    </row>
    <row r="1034" spans="1:7" x14ac:dyDescent="0.25">
      <c r="A1034" s="31">
        <v>46066</v>
      </c>
      <c r="B1034" s="32">
        <v>186276.39180000001</v>
      </c>
      <c r="C1034" s="33">
        <f t="shared" si="67"/>
        <v>-2.4513829055198277E-3</v>
      </c>
      <c r="D1034" s="32">
        <f>MAX($B$2:B1034)</f>
        <v>196133.06030000001</v>
      </c>
      <c r="E1034" s="34">
        <f t="shared" si="64"/>
        <v>-5.0255007926371498E-2</v>
      </c>
      <c r="F1034" s="35">
        <f t="shared" si="65"/>
        <v>169.39223084580186</v>
      </c>
      <c r="G1034" s="36" t="str">
        <f t="shared" si="66"/>
        <v>2026-02</v>
      </c>
    </row>
    <row r="1035" spans="1:7" x14ac:dyDescent="0.25">
      <c r="A1035" s="37">
        <v>46070</v>
      </c>
      <c r="B1035" s="38">
        <v>185801.0509</v>
      </c>
      <c r="C1035" s="39">
        <f t="shared" si="67"/>
        <v>-2.5518043129715284E-3</v>
      </c>
      <c r="D1035" s="38">
        <f>MAX($B$2:B1035)</f>
        <v>196133.06030000001</v>
      </c>
      <c r="E1035" s="40">
        <f t="shared" si="64"/>
        <v>-5.2678571293368059E-2</v>
      </c>
      <c r="F1035" s="41">
        <f t="shared" si="65"/>
        <v>168.95997502054567</v>
      </c>
      <c r="G1035" s="42" t="str">
        <f t="shared" si="66"/>
        <v>2026-02</v>
      </c>
    </row>
    <row r="1036" spans="1:7" x14ac:dyDescent="0.25">
      <c r="A1036" s="31">
        <v>46071</v>
      </c>
      <c r="B1036" s="32">
        <v>187338.7697</v>
      </c>
      <c r="C1036" s="33">
        <f t="shared" si="67"/>
        <v>8.2761577103651618E-3</v>
      </c>
      <c r="D1036" s="32">
        <f>MAX($B$2:B1036)</f>
        <v>196133.06030000001</v>
      </c>
      <c r="E1036" s="34">
        <f t="shared" si="64"/>
        <v>-4.4838389746983398E-2</v>
      </c>
      <c r="F1036" s="35">
        <f t="shared" si="65"/>
        <v>170.3583144205551</v>
      </c>
      <c r="G1036" s="36" t="str">
        <f t="shared" si="66"/>
        <v>2026-02</v>
      </c>
    </row>
    <row r="1037" spans="1:7" x14ac:dyDescent="0.25">
      <c r="A1037" s="37">
        <v>46072</v>
      </c>
      <c r="B1037" s="38">
        <v>186711.36369999999</v>
      </c>
      <c r="C1037" s="39">
        <f t="shared" si="67"/>
        <v>-3.3490451602983251E-3</v>
      </c>
      <c r="D1037" s="38">
        <f>MAX($B$2:B1037)</f>
        <v>196133.06030000001</v>
      </c>
      <c r="E1037" s="40">
        <f t="shared" si="64"/>
        <v>-4.8037269115103975E-2</v>
      </c>
      <c r="F1037" s="41">
        <f t="shared" si="65"/>
        <v>169.78777673212835</v>
      </c>
      <c r="G1037" s="42" t="str">
        <f t="shared" si="66"/>
        <v>2026-02</v>
      </c>
    </row>
    <row r="1038" spans="1:7" x14ac:dyDescent="0.25">
      <c r="A1038" s="31">
        <v>46073</v>
      </c>
      <c r="B1038" s="32">
        <v>189101.57810000001</v>
      </c>
      <c r="C1038" s="33">
        <f t="shared" si="67"/>
        <v>1.2801654664364781E-2</v>
      </c>
      <c r="D1038" s="32">
        <f>MAX($B$2:B1038)</f>
        <v>196133.06030000001</v>
      </c>
      <c r="E1038" s="34">
        <f t="shared" si="64"/>
        <v>-3.5850570980969887E-2</v>
      </c>
      <c r="F1038" s="35">
        <f t="shared" si="65"/>
        <v>171.96134121608335</v>
      </c>
      <c r="G1038" s="36" t="str">
        <f t="shared" si="66"/>
        <v>2026-02</v>
      </c>
    </row>
    <row r="1039" spans="1:7" x14ac:dyDescent="0.25">
      <c r="A1039" s="37">
        <v>46076</v>
      </c>
      <c r="B1039" s="38">
        <v>186605.92360000001</v>
      </c>
      <c r="C1039" s="39">
        <f t="shared" si="67"/>
        <v>-1.3197428202742278E-2</v>
      </c>
      <c r="D1039" s="38">
        <f>MAX($B$2:B1039)</f>
        <v>196133.06030000001</v>
      </c>
      <c r="E1039" s="40">
        <f t="shared" si="64"/>
        <v>-4.8574863847163474E-2</v>
      </c>
      <c r="F1039" s="41">
        <f t="shared" si="65"/>
        <v>169.69189376173682</v>
      </c>
      <c r="G1039" s="42" t="str">
        <f t="shared" si="66"/>
        <v>2026-02</v>
      </c>
    </row>
    <row r="1040" spans="1:7" x14ac:dyDescent="0.25">
      <c r="A1040" s="31">
        <v>46077</v>
      </c>
      <c r="B1040" s="32">
        <v>189080.1857</v>
      </c>
      <c r="C1040" s="33">
        <f t="shared" si="67"/>
        <v>1.3259290231877774E-2</v>
      </c>
      <c r="D1040" s="32">
        <f>MAX($B$2:B1040)</f>
        <v>196133.06030000001</v>
      </c>
      <c r="E1040" s="34">
        <f t="shared" si="64"/>
        <v>-3.5959641833009259E-2</v>
      </c>
      <c r="F1040" s="35">
        <f t="shared" si="65"/>
        <v>171.94188783112065</v>
      </c>
      <c r="G1040" s="36" t="str">
        <f t="shared" si="66"/>
        <v>2026-02</v>
      </c>
    </row>
    <row r="1041" spans="1:7" x14ac:dyDescent="0.25">
      <c r="A1041" s="37">
        <v>46078</v>
      </c>
      <c r="B1041" s="38">
        <v>191752.90479999999</v>
      </c>
      <c r="C1041" s="39">
        <f t="shared" si="67"/>
        <v>1.4135373783906724E-2</v>
      </c>
      <c r="D1041" s="38">
        <f>MAX($B$2:B1041)</f>
        <v>196133.06030000001</v>
      </c>
      <c r="E1041" s="40">
        <f t="shared" si="64"/>
        <v>-2.2332571027547599E-2</v>
      </c>
      <c r="F1041" s="41">
        <f t="shared" si="65"/>
        <v>174.3723506847241</v>
      </c>
      <c r="G1041" s="42" t="str">
        <f t="shared" si="66"/>
        <v>2026-02</v>
      </c>
    </row>
    <row r="1042" spans="1:7" x14ac:dyDescent="0.25">
      <c r="A1042" s="31">
        <v>46079</v>
      </c>
      <c r="B1042" s="32">
        <v>189152.32209999999</v>
      </c>
      <c r="C1042" s="33">
        <f t="shared" si="67"/>
        <v>-1.3562155434945988E-2</v>
      </c>
      <c r="D1042" s="32">
        <f>MAX($B$2:B1042)</f>
        <v>196133.06030000001</v>
      </c>
      <c r="E1042" s="34">
        <f t="shared" si="64"/>
        <v>-3.5591848662955949E-2</v>
      </c>
      <c r="F1042" s="35">
        <f t="shared" si="65"/>
        <v>172.00748576118096</v>
      </c>
      <c r="G1042" s="36" t="str">
        <f t="shared" si="66"/>
        <v>2026-02</v>
      </c>
    </row>
    <row r="1043" spans="1:7" x14ac:dyDescent="0.25">
      <c r="A1043" s="37">
        <v>46080</v>
      </c>
      <c r="B1043" s="38">
        <v>186959.1875</v>
      </c>
      <c r="C1043" s="39">
        <f t="shared" si="67"/>
        <v>-1.1594542301418542E-2</v>
      </c>
      <c r="D1043" s="38">
        <f>MAX($B$2:B1043)</f>
        <v>196133.06030000001</v>
      </c>
      <c r="E1043" s="40">
        <f t="shared" si="64"/>
        <v>-4.6773719769466204E-2</v>
      </c>
      <c r="F1043" s="41">
        <f t="shared" si="65"/>
        <v>170.01313769136232</v>
      </c>
      <c r="G1043" s="42" t="str">
        <f t="shared" si="66"/>
        <v>2026-02</v>
      </c>
    </row>
    <row r="1044" spans="1:7" x14ac:dyDescent="0.25">
      <c r="A1044" s="31">
        <v>46083</v>
      </c>
      <c r="B1044" s="32">
        <v>187278.51060000001</v>
      </c>
      <c r="C1044" s="33">
        <f t="shared" si="67"/>
        <v>1.7079829254178502E-3</v>
      </c>
      <c r="D1044" s="32">
        <f>MAX($B$2:B1044)</f>
        <v>196133.06030000001</v>
      </c>
      <c r="E1044" s="34">
        <f t="shared" si="64"/>
        <v>-4.5145625558772773E-2</v>
      </c>
      <c r="F1044" s="35">
        <f t="shared" si="65"/>
        <v>170.30351722763589</v>
      </c>
      <c r="G1044" s="36" t="str">
        <f t="shared" si="66"/>
        <v>2026-03</v>
      </c>
    </row>
    <row r="1045" spans="1:7" x14ac:dyDescent="0.25">
      <c r="A1045" s="37">
        <v>46084</v>
      </c>
      <c r="B1045" s="38">
        <v>183719.10320000001</v>
      </c>
      <c r="C1045" s="39">
        <f t="shared" si="67"/>
        <v>-1.9005957429907072E-2</v>
      </c>
      <c r="D1045" s="38">
        <f>MAX($B$2:B1045)</f>
        <v>196133.06030000001</v>
      </c>
      <c r="E1045" s="40">
        <f t="shared" si="64"/>
        <v>-6.329354715116331E-2</v>
      </c>
      <c r="F1045" s="41">
        <f t="shared" si="65"/>
        <v>167.06673582904398</v>
      </c>
      <c r="G1045" s="42" t="str">
        <f t="shared" si="66"/>
        <v>2026-03</v>
      </c>
    </row>
    <row r="1046" spans="1:7" x14ac:dyDescent="0.25">
      <c r="A1046" s="31">
        <v>46085</v>
      </c>
      <c r="B1046" s="32">
        <v>186728.03150000001</v>
      </c>
      <c r="C1046" s="33">
        <f t="shared" si="67"/>
        <v>1.6377873871528781E-2</v>
      </c>
      <c r="D1046" s="32">
        <f>MAX($B$2:B1046)</f>
        <v>196133.06030000001</v>
      </c>
      <c r="E1046" s="34">
        <f t="shared" si="64"/>
        <v>-4.7952287011757799E-2</v>
      </c>
      <c r="F1046" s="35">
        <f t="shared" si="65"/>
        <v>169.8029337565801</v>
      </c>
      <c r="G1046" s="36" t="str">
        <f t="shared" si="66"/>
        <v>2026-03</v>
      </c>
    </row>
    <row r="1047" spans="1:7" x14ac:dyDescent="0.25">
      <c r="A1047" s="37">
        <v>46086</v>
      </c>
      <c r="B1047" s="38">
        <v>185938.8628</v>
      </c>
      <c r="C1047" s="39">
        <f t="shared" si="67"/>
        <v>-4.2263001096329855E-3</v>
      </c>
      <c r="D1047" s="38">
        <f>MAX($B$2:B1047)</f>
        <v>196133.06030000001</v>
      </c>
      <c r="E1047" s="40">
        <f t="shared" si="64"/>
        <v>-5.1975926365535829E-2</v>
      </c>
      <c r="F1047" s="41">
        <f t="shared" si="65"/>
        <v>169.08529559902865</v>
      </c>
      <c r="G1047" s="42" t="str">
        <f t="shared" si="66"/>
        <v>2026-03</v>
      </c>
    </row>
    <row r="1048" spans="1:7" x14ac:dyDescent="0.25">
      <c r="A1048" s="31">
        <v>46087</v>
      </c>
      <c r="B1048" s="32">
        <v>181719.06340000001</v>
      </c>
      <c r="C1048" s="33">
        <f t="shared" si="67"/>
        <v>-2.2694553125985784E-2</v>
      </c>
      <c r="D1048" s="32">
        <f>MAX($B$2:B1048)</f>
        <v>196133.06030000001</v>
      </c>
      <c r="E1048" s="34">
        <f t="shared" si="64"/>
        <v>-7.3490909069346744E-2</v>
      </c>
      <c r="F1048" s="35">
        <f t="shared" si="65"/>
        <v>165.24798037523348</v>
      </c>
      <c r="G1048" s="36" t="str">
        <f t="shared" si="66"/>
        <v>2026-03</v>
      </c>
    </row>
    <row r="1049" spans="1:7" x14ac:dyDescent="0.25">
      <c r="A1049" s="37">
        <v>46090</v>
      </c>
      <c r="B1049" s="38">
        <v>184564.9736</v>
      </c>
      <c r="C1049" s="39">
        <f t="shared" si="67"/>
        <v>1.5661043738353309E-2</v>
      </c>
      <c r="D1049" s="38">
        <f>MAX($B$2:B1049)</f>
        <v>196133.06030000001</v>
      </c>
      <c r="E1049" s="40">
        <f t="shared" si="64"/>
        <v>-5.8980809672299905E-2</v>
      </c>
      <c r="F1049" s="41">
        <f t="shared" si="65"/>
        <v>167.83593622356457</v>
      </c>
      <c r="G1049" s="42" t="str">
        <f t="shared" si="66"/>
        <v>2026-03</v>
      </c>
    </row>
    <row r="1050" spans="1:7" x14ac:dyDescent="0.25">
      <c r="A1050" s="31">
        <v>46091</v>
      </c>
      <c r="B1050" s="32">
        <v>184945.5374</v>
      </c>
      <c r="C1050" s="33">
        <f t="shared" si="67"/>
        <v>2.0619502854577476E-3</v>
      </c>
      <c r="D1050" s="32">
        <f>MAX($B$2:B1050)</f>
        <v>196133.06030000001</v>
      </c>
      <c r="E1050" s="34">
        <f t="shared" si="64"/>
        <v>-5.7040474884182513E-2</v>
      </c>
      <c r="F1050" s="35">
        <f t="shared" si="65"/>
        <v>168.18200558017077</v>
      </c>
      <c r="G1050" s="36" t="str">
        <f t="shared" si="66"/>
        <v>2026-03</v>
      </c>
    </row>
    <row r="1051" spans="1:7" x14ac:dyDescent="0.25">
      <c r="A1051" s="37">
        <v>46092</v>
      </c>
      <c r="B1051" s="38">
        <v>186326.33869999999</v>
      </c>
      <c r="C1051" s="39">
        <f t="shared" si="67"/>
        <v>7.4659887413968118E-3</v>
      </c>
      <c r="D1051" s="38">
        <f>MAX($B$2:B1051)</f>
        <v>196133.06030000001</v>
      </c>
      <c r="E1051" s="40">
        <f t="shared" si="64"/>
        <v>-5.0000349686074919E-2</v>
      </c>
      <c r="F1051" s="41">
        <f t="shared" si="65"/>
        <v>169.43765054033787</v>
      </c>
      <c r="G1051" s="42" t="str">
        <f t="shared" si="66"/>
        <v>2026-03</v>
      </c>
    </row>
    <row r="1052" spans="1:7" x14ac:dyDescent="0.25">
      <c r="A1052" s="31">
        <v>46093</v>
      </c>
      <c r="B1052" s="32">
        <v>182171.29579999999</v>
      </c>
      <c r="C1052" s="33">
        <f t="shared" si="67"/>
        <v>-2.2299815093184128E-2</v>
      </c>
      <c r="D1052" s="32">
        <f>MAX($B$2:B1052)</f>
        <v>196133.06030000001</v>
      </c>
      <c r="E1052" s="34">
        <f t="shared" si="64"/>
        <v>-7.1185166226665042E-2</v>
      </c>
      <c r="F1052" s="35">
        <f t="shared" si="65"/>
        <v>165.65922226346478</v>
      </c>
      <c r="G1052" s="36" t="str">
        <f t="shared" si="66"/>
        <v>2026-03</v>
      </c>
    </row>
    <row r="1053" spans="1:7" x14ac:dyDescent="0.25">
      <c r="A1053" s="37">
        <v>46094</v>
      </c>
      <c r="B1053" s="38">
        <v>181490.34160000001</v>
      </c>
      <c r="C1053" s="39">
        <f t="shared" si="67"/>
        <v>-3.7379884520751805E-3</v>
      </c>
      <c r="D1053" s="38">
        <f>MAX($B$2:B1053)</f>
        <v>196133.06030000001</v>
      </c>
      <c r="E1053" s="40">
        <f t="shared" si="64"/>
        <v>-7.4657065349425955E-2</v>
      </c>
      <c r="F1053" s="41">
        <f t="shared" si="65"/>
        <v>165.0399900036642</v>
      </c>
      <c r="G1053" s="42" t="str">
        <f t="shared" si="66"/>
        <v>2026-03</v>
      </c>
    </row>
    <row r="1054" spans="1:7" x14ac:dyDescent="0.25">
      <c r="A1054" s="31">
        <v>46097</v>
      </c>
      <c r="B1054" s="32">
        <v>183964.80850000001</v>
      </c>
      <c r="C1054" s="33">
        <f t="shared" si="67"/>
        <v>1.3634151978476394E-2</v>
      </c>
      <c r="D1054" s="32">
        <f>MAX($B$2:B1054)</f>
        <v>196133.06030000001</v>
      </c>
      <c r="E1054" s="34">
        <f t="shared" si="64"/>
        <v>-6.2040799146190651E-2</v>
      </c>
      <c r="F1054" s="35">
        <f t="shared" si="65"/>
        <v>167.29017030990039</v>
      </c>
      <c r="G1054" s="36" t="str">
        <f t="shared" si="66"/>
        <v>2026-03</v>
      </c>
    </row>
    <row r="1055" spans="1:7" x14ac:dyDescent="0.25">
      <c r="A1055" s="37">
        <v>46098</v>
      </c>
      <c r="B1055" s="38">
        <v>185923.08230000001</v>
      </c>
      <c r="C1055" s="39">
        <f t="shared" si="67"/>
        <v>1.064482830149549E-2</v>
      </c>
      <c r="D1055" s="38">
        <f>MAX($B$2:B1055)</f>
        <v>196133.06030000001</v>
      </c>
      <c r="E1055" s="40">
        <f t="shared" si="64"/>
        <v>-5.2056384499293951E-2</v>
      </c>
      <c r="F1055" s="41">
        <f t="shared" si="65"/>
        <v>169.07094544937721</v>
      </c>
      <c r="G1055" s="42" t="str">
        <f t="shared" si="66"/>
        <v>2026-03</v>
      </c>
    </row>
    <row r="1056" spans="1:7" x14ac:dyDescent="0.25">
      <c r="A1056" s="31">
        <v>46099</v>
      </c>
      <c r="B1056" s="32">
        <v>183243.2617</v>
      </c>
      <c r="C1056" s="33">
        <f t="shared" si="67"/>
        <v>-1.4413598176454157E-2</v>
      </c>
      <c r="D1056" s="32">
        <f>MAX($B$2:B1056)</f>
        <v>196133.06030000001</v>
      </c>
      <c r="E1056" s="34">
        <f t="shared" si="64"/>
        <v>-6.5719662867056217E-2</v>
      </c>
      <c r="F1056" s="35">
        <f t="shared" si="65"/>
        <v>166.63402477835669</v>
      </c>
      <c r="G1056" s="36" t="str">
        <f t="shared" si="66"/>
        <v>2026-03</v>
      </c>
    </row>
    <row r="1057" spans="1:7" x14ac:dyDescent="0.25">
      <c r="A1057" s="37">
        <v>46100</v>
      </c>
      <c r="B1057" s="38">
        <v>181405.33199999999</v>
      </c>
      <c r="C1057" s="39">
        <f t="shared" si="67"/>
        <v>-1.0029998827509434E-2</v>
      </c>
      <c r="D1057" s="38">
        <f>MAX($B$2:B1057)</f>
        <v>196133.06030000001</v>
      </c>
      <c r="E1057" s="40">
        <f t="shared" si="64"/>
        <v>-7.5090493553064741E-2</v>
      </c>
      <c r="F1057" s="41">
        <f t="shared" si="65"/>
        <v>164.96268570520661</v>
      </c>
      <c r="G1057" s="42" t="str">
        <f t="shared" si="66"/>
        <v>2026-03</v>
      </c>
    </row>
    <row r="1058" spans="1:7" x14ac:dyDescent="0.25">
      <c r="A1058" s="31">
        <v>46101</v>
      </c>
      <c r="B1058" s="32">
        <v>177316.78279999999</v>
      </c>
      <c r="C1058" s="33">
        <f t="shared" si="67"/>
        <v>-2.2538197499068047E-2</v>
      </c>
      <c r="D1058" s="32">
        <f>MAX($B$2:B1058)</f>
        <v>196133.06030000001</v>
      </c>
      <c r="E1058" s="34">
        <f t="shared" si="64"/>
        <v>-9.5936286678131366E-2</v>
      </c>
      <c r="F1058" s="35">
        <f t="shared" si="65"/>
        <v>161.24472411480596</v>
      </c>
      <c r="G1058" s="36" t="str">
        <f t="shared" si="66"/>
        <v>2026-03</v>
      </c>
    </row>
    <row r="1059" spans="1:7" x14ac:dyDescent="0.25">
      <c r="A1059" s="37">
        <v>46104</v>
      </c>
      <c r="B1059" s="38">
        <v>179049.6783</v>
      </c>
      <c r="C1059" s="39">
        <f t="shared" si="67"/>
        <v>9.7728792088145333E-3</v>
      </c>
      <c r="D1059" s="38">
        <f>MAX($B$2:B1059)</f>
        <v>196133.06030000001</v>
      </c>
      <c r="E1059" s="40">
        <f t="shared" si="64"/>
        <v>-8.7100981210764372E-2</v>
      </c>
      <c r="F1059" s="41">
        <f t="shared" si="65"/>
        <v>162.8205493266386</v>
      </c>
      <c r="G1059" s="42" t="str">
        <f t="shared" si="66"/>
        <v>2026-03</v>
      </c>
    </row>
    <row r="1060" spans="1:7" x14ac:dyDescent="0.25">
      <c r="A1060" s="31">
        <v>46105</v>
      </c>
      <c r="B1060" s="32">
        <v>177650.32010000001</v>
      </c>
      <c r="C1060" s="33">
        <f t="shared" si="67"/>
        <v>-7.8154745279985782E-3</v>
      </c>
      <c r="D1060" s="32">
        <f>MAX($B$2:B1060)</f>
        <v>196133.06030000001</v>
      </c>
      <c r="E1060" s="34">
        <f t="shared" si="64"/>
        <v>-9.423572023874649E-2</v>
      </c>
      <c r="F1060" s="35">
        <f t="shared" si="65"/>
        <v>161.54802947074151</v>
      </c>
      <c r="G1060" s="36" t="str">
        <f t="shared" si="66"/>
        <v>2026-03</v>
      </c>
    </row>
    <row r="1061" spans="1:7" x14ac:dyDescent="0.25">
      <c r="A1061" s="37">
        <v>46106</v>
      </c>
      <c r="B1061" s="38">
        <v>178447.0613</v>
      </c>
      <c r="C1061" s="39">
        <f t="shared" si="67"/>
        <v>4.484884685552526E-3</v>
      </c>
      <c r="D1061" s="38">
        <f>MAX($B$2:B1061)</f>
        <v>196133.06030000001</v>
      </c>
      <c r="E1061" s="40">
        <f t="shared" si="64"/>
        <v>-9.0173471891724755E-2</v>
      </c>
      <c r="F1061" s="41">
        <f t="shared" si="65"/>
        <v>162.27255375409604</v>
      </c>
      <c r="G1061" s="42" t="str">
        <f t="shared" si="66"/>
        <v>2026-03</v>
      </c>
    </row>
    <row r="1062" spans="1:7" x14ac:dyDescent="0.25">
      <c r="A1062" s="31">
        <v>46107</v>
      </c>
      <c r="B1062" s="32">
        <v>173193.91949999999</v>
      </c>
      <c r="C1062" s="33">
        <f t="shared" si="67"/>
        <v>-2.9438096440089767E-2</v>
      </c>
      <c r="D1062" s="32">
        <f>MAX($B$2:B1062)</f>
        <v>196133.06030000001</v>
      </c>
      <c r="E1062" s="34">
        <f t="shared" si="64"/>
        <v>-0.11695703296992821</v>
      </c>
      <c r="F1062" s="35">
        <f t="shared" si="65"/>
        <v>157.4955586671033</v>
      </c>
      <c r="G1062" s="36" t="str">
        <f t="shared" si="66"/>
        <v>2026-03</v>
      </c>
    </row>
    <row r="1063" spans="1:7" x14ac:dyDescent="0.25">
      <c r="A1063" s="37">
        <v>46108</v>
      </c>
      <c r="B1063" s="38">
        <v>170118.35889999999</v>
      </c>
      <c r="C1063" s="39">
        <f t="shared" si="67"/>
        <v>-1.7757901714326674E-2</v>
      </c>
      <c r="D1063" s="38">
        <f>MAX($B$2:B1063)</f>
        <v>196133.06030000001</v>
      </c>
      <c r="E1063" s="40">
        <f t="shared" si="64"/>
        <v>-0.13263802318797557</v>
      </c>
      <c r="F1063" s="41">
        <f t="shared" si="65"/>
        <v>154.69876801584991</v>
      </c>
      <c r="G1063" s="42" t="str">
        <f t="shared" si="66"/>
        <v>2026-03</v>
      </c>
    </row>
    <row r="1064" spans="1:7" x14ac:dyDescent="0.25">
      <c r="A1064" s="31">
        <v>46111</v>
      </c>
      <c r="B1064" s="32">
        <v>167429.5546</v>
      </c>
      <c r="C1064" s="33">
        <f t="shared" si="67"/>
        <v>-1.5805491643500647E-2</v>
      </c>
      <c r="D1064" s="32">
        <f>MAX($B$2:B1064)</f>
        <v>196133.06030000001</v>
      </c>
      <c r="E1064" s="34">
        <f t="shared" si="64"/>
        <v>-0.14634710566436826</v>
      </c>
      <c r="F1064" s="35">
        <f t="shared" si="65"/>
        <v>152.25367793071555</v>
      </c>
      <c r="G1064" s="36" t="str">
        <f t="shared" si="66"/>
        <v>2026-03</v>
      </c>
    </row>
    <row r="1065" spans="1:7" x14ac:dyDescent="0.25">
      <c r="A1065" s="37">
        <v>46112</v>
      </c>
      <c r="B1065" s="38">
        <v>174201.7856</v>
      </c>
      <c r="C1065" s="39">
        <f t="shared" si="67"/>
        <v>4.0448241149415365E-2</v>
      </c>
      <c r="D1065" s="38">
        <f>MAX($B$2:B1065)</f>
        <v>196133.06030000001</v>
      </c>
      <c r="E1065" s="40">
        <f t="shared" si="64"/>
        <v>-0.1118183475363842</v>
      </c>
      <c r="F1065" s="41">
        <f t="shared" si="65"/>
        <v>158.41207141154257</v>
      </c>
      <c r="G1065" s="42" t="str">
        <f t="shared" si="66"/>
        <v>2026-03</v>
      </c>
    </row>
    <row r="1066" spans="1:7" x14ac:dyDescent="0.25">
      <c r="A1066" s="31">
        <v>46113</v>
      </c>
      <c r="B1066" s="32">
        <v>177136.55439999999</v>
      </c>
      <c r="C1066" s="33">
        <f t="shared" si="67"/>
        <v>1.684695016122717E-2</v>
      </c>
      <c r="D1066" s="32">
        <f>MAX($B$2:B1066)</f>
        <v>196133.06030000001</v>
      </c>
      <c r="E1066" s="34">
        <f t="shared" si="64"/>
        <v>-9.6855195503213309E-2</v>
      </c>
      <c r="F1066" s="35">
        <f t="shared" si="65"/>
        <v>161.08083168354958</v>
      </c>
      <c r="G1066" s="36" t="str">
        <f t="shared" si="66"/>
        <v>2026-04</v>
      </c>
    </row>
    <row r="1067" spans="1:7" x14ac:dyDescent="0.25">
      <c r="A1067" s="37">
        <v>46114</v>
      </c>
      <c r="B1067" s="38">
        <v>176151.48680000001</v>
      </c>
      <c r="C1067" s="39">
        <f t="shared" si="67"/>
        <v>-5.5610633465047465E-3</v>
      </c>
      <c r="D1067" s="38">
        <f>MAX($B$2:B1067)</f>
        <v>196133.06030000001</v>
      </c>
      <c r="E1067" s="40">
        <f t="shared" si="64"/>
        <v>-0.10187764097208651</v>
      </c>
      <c r="F1067" s="41">
        <f t="shared" si="65"/>
        <v>160.1850509746497</v>
      </c>
      <c r="G1067" s="42" t="str">
        <f t="shared" si="66"/>
        <v>2026-04</v>
      </c>
    </row>
    <row r="1068" spans="1:7" x14ac:dyDescent="0.25">
      <c r="A1068" s="31">
        <v>46118</v>
      </c>
      <c r="B1068" s="32">
        <v>177195.27470000001</v>
      </c>
      <c r="C1068" s="33">
        <f t="shared" si="67"/>
        <v>5.9255128580610883E-3</v>
      </c>
      <c r="D1068" s="32">
        <f>MAX($B$2:B1068)</f>
        <v>196133.06030000001</v>
      </c>
      <c r="E1068" s="34">
        <f t="shared" si="64"/>
        <v>-9.6555805385554416E-2</v>
      </c>
      <c r="F1068" s="35">
        <f t="shared" si="65"/>
        <v>161.13422955386918</v>
      </c>
      <c r="G1068" s="36" t="str">
        <f t="shared" si="66"/>
        <v>2026-04</v>
      </c>
    </row>
    <row r="1069" spans="1:7" x14ac:dyDescent="0.25">
      <c r="A1069" s="37">
        <v>46119</v>
      </c>
      <c r="B1069" s="38">
        <v>177023.14379999999</v>
      </c>
      <c r="C1069" s="39">
        <f t="shared" si="67"/>
        <v>-9.7141924518839851E-4</v>
      </c>
      <c r="D1069" s="38">
        <f>MAX($B$2:B1069)</f>
        <v>196133.06030000001</v>
      </c>
      <c r="E1069" s="40">
        <f t="shared" si="64"/>
        <v>-9.7433428463156502E-2</v>
      </c>
      <c r="F1069" s="41">
        <f t="shared" si="65"/>
        <v>160.97770066222193</v>
      </c>
      <c r="G1069" s="42" t="str">
        <f t="shared" si="66"/>
        <v>2026-04</v>
      </c>
    </row>
    <row r="1070" spans="1:7" x14ac:dyDescent="0.25">
      <c r="A1070" s="31">
        <v>46120</v>
      </c>
      <c r="B1070" s="32">
        <v>182257.63959999999</v>
      </c>
      <c r="C1070" s="33">
        <f t="shared" si="67"/>
        <v>2.9569556203983716E-2</v>
      </c>
      <c r="D1070" s="32">
        <f>MAX($B$2:B1070)</f>
        <v>196133.06030000001</v>
      </c>
      <c r="E1070" s="34">
        <f t="shared" si="64"/>
        <v>-7.0744935498260886E-2</v>
      </c>
      <c r="F1070" s="35">
        <f t="shared" si="65"/>
        <v>165.7377398295416</v>
      </c>
      <c r="G1070" s="36" t="str">
        <f t="shared" si="66"/>
        <v>2026-04</v>
      </c>
    </row>
    <row r="1071" spans="1:7" x14ac:dyDescent="0.25">
      <c r="A1071" s="37">
        <v>46121</v>
      </c>
      <c r="B1071" s="38">
        <v>183734.5215</v>
      </c>
      <c r="C1071" s="39">
        <f t="shared" si="67"/>
        <v>8.1032647149459347E-3</v>
      </c>
      <c r="D1071" s="38">
        <f>MAX($B$2:B1071)</f>
        <v>196133.06030000001</v>
      </c>
      <c r="E1071" s="40">
        <f t="shared" si="64"/>
        <v>-6.3214935722899157E-2</v>
      </c>
      <c r="F1071" s="41">
        <f t="shared" si="65"/>
        <v>167.08075660863722</v>
      </c>
      <c r="G1071" s="42" t="str">
        <f t="shared" si="66"/>
        <v>2026-04</v>
      </c>
    </row>
    <row r="1072" spans="1:7" x14ac:dyDescent="0.25">
      <c r="A1072" s="31">
        <v>46122</v>
      </c>
      <c r="B1072" s="32">
        <v>184254.17910000001</v>
      </c>
      <c r="C1072" s="33">
        <f t="shared" si="67"/>
        <v>2.8283068187597848E-3</v>
      </c>
      <c r="D1072" s="32">
        <f>MAX($B$2:B1072)</f>
        <v>196133.06030000001</v>
      </c>
      <c r="E1072" s="34">
        <f t="shared" si="64"/>
        <v>-6.0565420137892012E-2</v>
      </c>
      <c r="F1072" s="35">
        <f t="shared" si="65"/>
        <v>167.55331225183693</v>
      </c>
      <c r="G1072" s="36" t="str">
        <f t="shared" si="66"/>
        <v>2026-04</v>
      </c>
    </row>
    <row r="1073" spans="1:7" x14ac:dyDescent="0.25">
      <c r="A1073" s="37">
        <v>46125</v>
      </c>
      <c r="B1073" s="38">
        <v>186137.0331</v>
      </c>
      <c r="C1073" s="39">
        <f t="shared" si="67"/>
        <v>1.0218785859820834E-2</v>
      </c>
      <c r="D1073" s="38">
        <f>MAX($B$2:B1073)</f>
        <v>196133.06030000001</v>
      </c>
      <c r="E1073" s="40">
        <f t="shared" si="64"/>
        <v>-5.0965539336970234E-2</v>
      </c>
      <c r="F1073" s="41">
        <f t="shared" si="65"/>
        <v>169.26550366984219</v>
      </c>
      <c r="G1073" s="42" t="str">
        <f t="shared" si="66"/>
        <v>2026-04</v>
      </c>
    </row>
    <row r="1074" spans="1:7" x14ac:dyDescent="0.25">
      <c r="A1074" s="31">
        <v>46126</v>
      </c>
      <c r="B1074" s="32">
        <v>191590.76519999999</v>
      </c>
      <c r="C1074" s="33">
        <f t="shared" si="67"/>
        <v>2.9299554254042626E-2</v>
      </c>
      <c r="D1074" s="32">
        <f>MAX($B$2:B1074)</f>
        <v>196133.06030000001</v>
      </c>
      <c r="E1074" s="34">
        <f t="shared" si="64"/>
        <v>-2.3159252667817709E-2</v>
      </c>
      <c r="F1074" s="35">
        <f t="shared" si="65"/>
        <v>174.22490747795459</v>
      </c>
      <c r="G1074" s="36" t="str">
        <f t="shared" si="66"/>
        <v>2026-04</v>
      </c>
    </row>
    <row r="1075" spans="1:7" x14ac:dyDescent="0.25">
      <c r="A1075" s="37">
        <v>46127</v>
      </c>
      <c r="B1075" s="38">
        <v>194832.40969999999</v>
      </c>
      <c r="C1075" s="39">
        <f t="shared" si="67"/>
        <v>1.6919628128297726E-2</v>
      </c>
      <c r="D1075" s="38">
        <f>MAX($B$2:B1075)</f>
        <v>196133.06030000001</v>
      </c>
      <c r="E1075" s="40">
        <f t="shared" si="64"/>
        <v>-6.6314704823887682E-3</v>
      </c>
      <c r="F1075" s="41">
        <f t="shared" si="65"/>
        <v>177.17272812316864</v>
      </c>
      <c r="G1075" s="42" t="str">
        <f t="shared" si="66"/>
        <v>2026-04</v>
      </c>
    </row>
    <row r="1076" spans="1:7" x14ac:dyDescent="0.25">
      <c r="A1076" s="31">
        <v>46128</v>
      </c>
      <c r="B1076" s="32">
        <v>194375.11350000001</v>
      </c>
      <c r="C1076" s="33">
        <f t="shared" si="67"/>
        <v>-2.3471259258360799E-3</v>
      </c>
      <c r="D1076" s="32">
        <f>MAX($B$2:B1076)</f>
        <v>196133.06030000001</v>
      </c>
      <c r="E1076" s="34">
        <f t="shared" si="64"/>
        <v>-8.9630315119291204E-3</v>
      </c>
      <c r="F1076" s="35">
        <f t="shared" si="65"/>
        <v>176.75688141963965</v>
      </c>
      <c r="G1076" s="36" t="str">
        <f t="shared" si="66"/>
        <v>2026-04</v>
      </c>
    </row>
    <row r="1077" spans="1:7" x14ac:dyDescent="0.25">
      <c r="A1077" s="37">
        <v>46129</v>
      </c>
      <c r="B1077" s="38">
        <v>197266.76379999999</v>
      </c>
      <c r="C1077" s="39">
        <f t="shared" si="67"/>
        <v>1.4876648805146386E-2</v>
      </c>
      <c r="D1077" s="38">
        <f>MAX($B$2:B1077)</f>
        <v>197266.76379999999</v>
      </c>
      <c r="E1077" s="40">
        <f t="shared" si="64"/>
        <v>0</v>
      </c>
      <c r="F1077" s="41">
        <f t="shared" si="65"/>
        <v>179.38643146841255</v>
      </c>
      <c r="G1077" s="42" t="str">
        <f t="shared" si="66"/>
        <v>2026-04</v>
      </c>
    </row>
    <row r="1078" spans="1:7" x14ac:dyDescent="0.25">
      <c r="A1078" s="31">
        <v>46132</v>
      </c>
      <c r="B1078" s="32">
        <v>196084.18489999999</v>
      </c>
      <c r="C1078" s="33">
        <f t="shared" si="67"/>
        <v>-5.994820806200063E-3</v>
      </c>
      <c r="D1078" s="32">
        <f>MAX($B$2:B1078)</f>
        <v>197266.76379999999</v>
      </c>
      <c r="E1078" s="34">
        <f t="shared" si="64"/>
        <v>-5.994820806200063E-3</v>
      </c>
      <c r="F1078" s="35">
        <f t="shared" si="65"/>
        <v>178.31104195669573</v>
      </c>
      <c r="G1078" s="36" t="str">
        <f t="shared" si="66"/>
        <v>2026-04</v>
      </c>
    </row>
    <row r="1079" spans="1:7" x14ac:dyDescent="0.25">
      <c r="A1079" s="37">
        <v>46133</v>
      </c>
      <c r="B1079" s="38">
        <v>194690.7898</v>
      </c>
      <c r="C1079" s="39">
        <f t="shared" si="67"/>
        <v>-7.1061064955881825E-3</v>
      </c>
      <c r="D1079" s="38">
        <f>MAX($B$2:B1079)</f>
        <v>197266.76379999999</v>
      </c>
      <c r="E1079" s="40">
        <f t="shared" si="64"/>
        <v>-1.3058327466717423E-2</v>
      </c>
      <c r="F1079" s="41">
        <f t="shared" si="65"/>
        <v>177.04394470321216</v>
      </c>
      <c r="G1079" s="42" t="str">
        <f t="shared" si="66"/>
        <v>2026-04</v>
      </c>
    </row>
    <row r="1080" spans="1:7" x14ac:dyDescent="0.25">
      <c r="A1080" s="31">
        <v>46134</v>
      </c>
      <c r="B1080" s="32">
        <v>199506.82939999999</v>
      </c>
      <c r="C1080" s="33">
        <f t="shared" si="67"/>
        <v>2.4736864054778263E-2</v>
      </c>
      <c r="D1080" s="32">
        <f>MAX($B$2:B1080)</f>
        <v>199506.82939999999</v>
      </c>
      <c r="E1080" s="34">
        <f t="shared" si="64"/>
        <v>0</v>
      </c>
      <c r="F1080" s="35">
        <f t="shared" si="65"/>
        <v>181.42345669505718</v>
      </c>
      <c r="G1080" s="36" t="str">
        <f t="shared" si="66"/>
        <v>2026-04</v>
      </c>
    </row>
    <row r="1081" spans="1:7" x14ac:dyDescent="0.25">
      <c r="A1081" s="37">
        <v>46135</v>
      </c>
      <c r="B1081" s="38">
        <v>196891.0931</v>
      </c>
      <c r="C1081" s="39">
        <f t="shared" si="67"/>
        <v>-1.3111011326612743E-2</v>
      </c>
      <c r="D1081" s="38">
        <f>MAX($B$2:B1081)</f>
        <v>199506.82939999999</v>
      </c>
      <c r="E1081" s="40">
        <f t="shared" si="64"/>
        <v>-1.3111011326612743E-2</v>
      </c>
      <c r="F1081" s="41">
        <f t="shared" si="65"/>
        <v>179.04481169941505</v>
      </c>
      <c r="G1081" s="42" t="str">
        <f t="shared" si="66"/>
        <v>2026-04</v>
      </c>
    </row>
    <row r="1082" spans="1:7" x14ac:dyDescent="0.25">
      <c r="A1082" s="31">
        <v>46136</v>
      </c>
      <c r="B1082" s="32">
        <v>200437.8308</v>
      </c>
      <c r="C1082" s="33">
        <f t="shared" si="67"/>
        <v>1.8013703129773573E-2</v>
      </c>
      <c r="D1082" s="32">
        <f>MAX($B$2:B1082)</f>
        <v>200437.8308</v>
      </c>
      <c r="E1082" s="34">
        <f t="shared" si="64"/>
        <v>0</v>
      </c>
      <c r="F1082" s="35">
        <f t="shared" si="65"/>
        <v>182.27007178429454</v>
      </c>
      <c r="G1082" s="36" t="str">
        <f t="shared" si="66"/>
        <v>2026-04</v>
      </c>
    </row>
    <row r="1083" spans="1:7" x14ac:dyDescent="0.25">
      <c r="A1083" s="37">
        <v>46139</v>
      </c>
      <c r="B1083" s="38">
        <v>202197.6035</v>
      </c>
      <c r="C1083" s="39">
        <f t="shared" si="67"/>
        <v>8.7796435082951874E-3</v>
      </c>
      <c r="D1083" s="38">
        <f>MAX($B$2:B1083)</f>
        <v>202197.6035</v>
      </c>
      <c r="E1083" s="40">
        <f t="shared" si="64"/>
        <v>0</v>
      </c>
      <c r="F1083" s="41">
        <f t="shared" si="65"/>
        <v>183.87033803679199</v>
      </c>
      <c r="G1083" s="42" t="str">
        <f t="shared" si="66"/>
        <v>2026-04</v>
      </c>
    </row>
    <row r="1084" spans="1:7" x14ac:dyDescent="0.25">
      <c r="A1084" s="31">
        <v>46140</v>
      </c>
      <c r="B1084" s="32">
        <v>200205.12940000001</v>
      </c>
      <c r="C1084" s="33">
        <f t="shared" si="67"/>
        <v>-9.8540935476517655E-3</v>
      </c>
      <c r="D1084" s="32">
        <f>MAX($B$2:B1084)</f>
        <v>202197.6035</v>
      </c>
      <c r="E1084" s="34">
        <f t="shared" si="64"/>
        <v>-9.8540935476517655E-3</v>
      </c>
      <c r="F1084" s="35">
        <f t="shared" si="65"/>
        <v>182.05846252513911</v>
      </c>
      <c r="G1084" s="36" t="str">
        <f t="shared" si="66"/>
        <v>2026-04</v>
      </c>
    </row>
    <row r="1085" spans="1:7" x14ac:dyDescent="0.25">
      <c r="A1085" s="37">
        <v>46141</v>
      </c>
      <c r="B1085" s="38">
        <v>199514.68890000001</v>
      </c>
      <c r="C1085" s="39">
        <f t="shared" si="67"/>
        <v>-3.4486653866920847E-3</v>
      </c>
      <c r="D1085" s="38">
        <f>MAX($B$2:B1085)</f>
        <v>202197.6035</v>
      </c>
      <c r="E1085" s="40">
        <f t="shared" si="64"/>
        <v>-1.3268775463008864E-2</v>
      </c>
      <c r="F1085" s="41">
        <f t="shared" si="65"/>
        <v>181.43060380707428</v>
      </c>
      <c r="G1085" s="42" t="str">
        <f t="shared" si="66"/>
        <v>2026-04</v>
      </c>
    </row>
    <row r="1086" spans="1:7" x14ac:dyDescent="0.25">
      <c r="A1086" s="31">
        <v>46142</v>
      </c>
      <c r="B1086" s="32">
        <v>201025.291</v>
      </c>
      <c r="C1086" s="33">
        <f t="shared" si="67"/>
        <v>7.5713828807719707E-3</v>
      </c>
      <c r="D1086" s="32">
        <f>MAX($B$2:B1086)</f>
        <v>202197.6035</v>
      </c>
      <c r="E1086" s="34">
        <f t="shared" si="64"/>
        <v>-5.7978555616263749E-3</v>
      </c>
      <c r="F1086" s="35">
        <f t="shared" si="65"/>
        <v>182.80428437478727</v>
      </c>
      <c r="G1086" s="36" t="str">
        <f t="shared" si="66"/>
        <v>2026-04</v>
      </c>
    </row>
    <row r="1087" spans="1:7" x14ac:dyDescent="0.25">
      <c r="A1087" s="37">
        <v>46143</v>
      </c>
      <c r="B1087" s="38">
        <v>203653.21549999999</v>
      </c>
      <c r="C1087" s="39">
        <f t="shared" si="67"/>
        <v>1.3072606371702822E-2</v>
      </c>
      <c r="D1087" s="38">
        <f>MAX($B$2:B1087)</f>
        <v>203653.21549999999</v>
      </c>
      <c r="E1087" s="40">
        <f t="shared" si="64"/>
        <v>0</v>
      </c>
      <c r="F1087" s="41">
        <f t="shared" si="65"/>
        <v>185.19401282747967</v>
      </c>
      <c r="G1087" s="42" t="str">
        <f t="shared" si="66"/>
        <v>2026-05</v>
      </c>
    </row>
    <row r="1088" spans="1:7" x14ac:dyDescent="0.25">
      <c r="A1088" s="31">
        <v>46146</v>
      </c>
      <c r="B1088" s="32">
        <v>205081.6318</v>
      </c>
      <c r="C1088" s="33">
        <f t="shared" si="67"/>
        <v>7.0139638919672898E-3</v>
      </c>
      <c r="D1088" s="32">
        <f>MAX($B$2:B1088)</f>
        <v>205081.6318</v>
      </c>
      <c r="E1088" s="34">
        <f t="shared" si="64"/>
        <v>0</v>
      </c>
      <c r="F1088" s="35">
        <f t="shared" si="65"/>
        <v>186.49295694646014</v>
      </c>
      <c r="G1088" s="36" t="str">
        <f t="shared" si="66"/>
        <v>2026-05</v>
      </c>
    </row>
    <row r="1089" spans="1:7" x14ac:dyDescent="0.25">
      <c r="A1089" s="37">
        <v>46147</v>
      </c>
      <c r="B1089" s="38">
        <v>208186.67970000001</v>
      </c>
      <c r="C1089" s="39">
        <f t="shared" si="67"/>
        <v>1.5140546097410112E-2</v>
      </c>
      <c r="D1089" s="38">
        <f>MAX($B$2:B1089)</f>
        <v>208186.67970000001</v>
      </c>
      <c r="E1089" s="40">
        <f t="shared" si="64"/>
        <v>0</v>
      </c>
      <c r="F1089" s="41">
        <f t="shared" si="65"/>
        <v>189.31656215795033</v>
      </c>
      <c r="G1089" s="42" t="str">
        <f t="shared" si="66"/>
        <v>2026-05</v>
      </c>
    </row>
    <row r="1090" spans="1:7" x14ac:dyDescent="0.25">
      <c r="A1090" s="31">
        <v>46148</v>
      </c>
      <c r="B1090" s="32">
        <v>213453.00159999999</v>
      </c>
      <c r="C1090" s="33">
        <f t="shared" si="67"/>
        <v>2.5296152028500662E-2</v>
      </c>
      <c r="D1090" s="32">
        <f>MAX($B$2:B1090)</f>
        <v>213453.00159999999</v>
      </c>
      <c r="E1090" s="34">
        <f t="shared" ref="E1090:E1130" si="68">B1090/D1090-1</f>
        <v>0</v>
      </c>
      <c r="F1090" s="35">
        <f t="shared" ref="F1090:F1130" si="69">B1090/$B$2*100</f>
        <v>194.10554269581095</v>
      </c>
      <c r="G1090" s="36" t="str">
        <f t="shared" ref="G1090:G1130" si="70">TEXT(A1090,"YYYY-MM")</f>
        <v>2026-05</v>
      </c>
    </row>
    <row r="1091" spans="1:7" x14ac:dyDescent="0.25">
      <c r="A1091" s="37">
        <v>46149</v>
      </c>
      <c r="B1091" s="38">
        <v>212837.2684</v>
      </c>
      <c r="C1091" s="39">
        <f t="shared" ref="C1091:C1130" si="71">B1091/B1090-1</f>
        <v>-2.884631255520298E-3</v>
      </c>
      <c r="D1091" s="38">
        <f>MAX($B$2:B1091)</f>
        <v>213453.00159999999</v>
      </c>
      <c r="E1091" s="40">
        <f t="shared" si="68"/>
        <v>-2.884631255520298E-3</v>
      </c>
      <c r="F1091" s="41">
        <f t="shared" si="69"/>
        <v>193.54561978048088</v>
      </c>
      <c r="G1091" s="42" t="str">
        <f t="shared" si="70"/>
        <v>2026-05</v>
      </c>
    </row>
    <row r="1092" spans="1:7" x14ac:dyDescent="0.25">
      <c r="A1092" s="31">
        <v>46150</v>
      </c>
      <c r="B1092" s="32">
        <v>218571.92259999999</v>
      </c>
      <c r="C1092" s="33">
        <f t="shared" si="71"/>
        <v>2.6943844201300582E-2</v>
      </c>
      <c r="D1092" s="32">
        <f>MAX($B$2:B1092)</f>
        <v>218571.92259999999</v>
      </c>
      <c r="E1092" s="34">
        <f t="shared" si="68"/>
        <v>0</v>
      </c>
      <c r="F1092" s="35">
        <f t="shared" si="69"/>
        <v>198.76048280569032</v>
      </c>
      <c r="G1092" s="36" t="str">
        <f t="shared" si="70"/>
        <v>2026-05</v>
      </c>
    </row>
    <row r="1093" spans="1:7" x14ac:dyDescent="0.25">
      <c r="A1093" s="37">
        <v>46153</v>
      </c>
      <c r="B1093" s="38">
        <v>220893.07740000001</v>
      </c>
      <c r="C1093" s="39">
        <f t="shared" si="71"/>
        <v>1.0619638480500848E-2</v>
      </c>
      <c r="D1093" s="38">
        <f>MAX($B$2:B1093)</f>
        <v>220893.07740000001</v>
      </c>
      <c r="E1093" s="40">
        <f t="shared" si="68"/>
        <v>0</v>
      </c>
      <c r="F1093" s="41">
        <f t="shared" si="69"/>
        <v>200.87124727729656</v>
      </c>
      <c r="G1093" s="42" t="str">
        <f t="shared" si="70"/>
        <v>2026-05</v>
      </c>
    </row>
    <row r="1094" spans="1:7" x14ac:dyDescent="0.25">
      <c r="A1094" s="31">
        <v>46154</v>
      </c>
      <c r="B1094" s="32">
        <v>218371.16819999999</v>
      </c>
      <c r="C1094" s="33">
        <f t="shared" si="71"/>
        <v>-1.1416877476125076E-2</v>
      </c>
      <c r="D1094" s="32">
        <f>MAX($B$2:B1094)</f>
        <v>220893.07740000001</v>
      </c>
      <c r="E1094" s="34">
        <f t="shared" si="68"/>
        <v>-1.1416877476125076E-2</v>
      </c>
      <c r="F1094" s="35">
        <f t="shared" si="69"/>
        <v>198.57792485865525</v>
      </c>
      <c r="G1094" s="36" t="str">
        <f t="shared" si="70"/>
        <v>2026-05</v>
      </c>
    </row>
    <row r="1095" spans="1:7" x14ac:dyDescent="0.25">
      <c r="A1095" s="37">
        <v>46155</v>
      </c>
      <c r="B1095" s="38">
        <v>221871.3412</v>
      </c>
      <c r="C1095" s="39">
        <f t="shared" si="71"/>
        <v>1.6028549138841885E-2</v>
      </c>
      <c r="D1095" s="38">
        <f>MAX($B$2:B1095)</f>
        <v>221871.3412</v>
      </c>
      <c r="E1095" s="40">
        <f t="shared" si="68"/>
        <v>0</v>
      </c>
      <c r="F1095" s="41">
        <f t="shared" si="69"/>
        <v>201.76084088514145</v>
      </c>
      <c r="G1095" s="42" t="str">
        <f t="shared" si="70"/>
        <v>2026-05</v>
      </c>
    </row>
    <row r="1096" spans="1:7" x14ac:dyDescent="0.25">
      <c r="A1096" s="31">
        <v>46156</v>
      </c>
      <c r="B1096" s="32">
        <v>223043.92670000001</v>
      </c>
      <c r="C1096" s="33">
        <f t="shared" si="71"/>
        <v>5.2849795456142434E-3</v>
      </c>
      <c r="D1096" s="32">
        <f>MAX($B$2:B1096)</f>
        <v>223043.92670000001</v>
      </c>
      <c r="E1096" s="34">
        <f t="shared" si="68"/>
        <v>0</v>
      </c>
      <c r="F1096" s="35">
        <f t="shared" si="69"/>
        <v>202.82714280232534</v>
      </c>
      <c r="G1096" s="36" t="str">
        <f t="shared" si="70"/>
        <v>2026-05</v>
      </c>
    </row>
    <row r="1097" spans="1:7" x14ac:dyDescent="0.25">
      <c r="A1097" s="37">
        <v>46157</v>
      </c>
      <c r="B1097" s="38">
        <v>217982.97589999999</v>
      </c>
      <c r="C1097" s="39">
        <f t="shared" si="71"/>
        <v>-2.2690377070016088E-2</v>
      </c>
      <c r="D1097" s="38">
        <f>MAX($B$2:B1097)</f>
        <v>223043.92670000001</v>
      </c>
      <c r="E1097" s="40">
        <f t="shared" si="68"/>
        <v>-2.2690377070016088E-2</v>
      </c>
      <c r="F1097" s="41">
        <f t="shared" si="69"/>
        <v>198.22491845210661</v>
      </c>
      <c r="G1097" s="42" t="str">
        <f t="shared" si="70"/>
        <v>2026-05</v>
      </c>
    </row>
    <row r="1098" spans="1:7" x14ac:dyDescent="0.25">
      <c r="A1098" s="31">
        <v>46160</v>
      </c>
      <c r="B1098" s="32">
        <v>214993.5687</v>
      </c>
      <c r="C1098" s="33">
        <f t="shared" si="71"/>
        <v>-1.3713948016616628E-2</v>
      </c>
      <c r="D1098" s="32">
        <f>MAX($B$2:B1098)</f>
        <v>223043.92670000001</v>
      </c>
      <c r="E1098" s="34">
        <f t="shared" si="68"/>
        <v>-3.6093150435017041E-2</v>
      </c>
      <c r="F1098" s="35">
        <f t="shared" si="69"/>
        <v>195.50647222485637</v>
      </c>
      <c r="G1098" s="36" t="str">
        <f t="shared" si="70"/>
        <v>2026-05</v>
      </c>
    </row>
    <row r="1099" spans="1:7" x14ac:dyDescent="0.25">
      <c r="A1099" s="37">
        <v>46161</v>
      </c>
      <c r="B1099" s="38">
        <v>213751.68239999999</v>
      </c>
      <c r="C1099" s="39">
        <f t="shared" si="71"/>
        <v>-5.776388138070021E-3</v>
      </c>
      <c r="D1099" s="38">
        <f>MAX($B$2:B1099)</f>
        <v>223043.92670000001</v>
      </c>
      <c r="E1099" s="40">
        <f t="shared" si="68"/>
        <v>-4.1661050527048604E-2</v>
      </c>
      <c r="F1099" s="41">
        <f t="shared" si="69"/>
        <v>194.3771509577808</v>
      </c>
      <c r="G1099" s="42" t="str">
        <f t="shared" si="70"/>
        <v>2026-05</v>
      </c>
    </row>
    <row r="1100" spans="1:7" x14ac:dyDescent="0.25">
      <c r="A1100" s="31">
        <v>46162</v>
      </c>
      <c r="B1100" s="32">
        <v>217744.63750000001</v>
      </c>
      <c r="C1100" s="33">
        <f t="shared" si="71"/>
        <v>1.8680344665207738E-2</v>
      </c>
      <c r="D1100" s="32">
        <f>MAX($B$2:B1100)</f>
        <v>223043.92670000001</v>
      </c>
      <c r="E1100" s="34">
        <f t="shared" si="68"/>
        <v>-2.375894864480077E-2</v>
      </c>
      <c r="F1100" s="35">
        <f t="shared" si="69"/>
        <v>198.00818313271324</v>
      </c>
      <c r="G1100" s="36" t="str">
        <f t="shared" si="70"/>
        <v>2026-05</v>
      </c>
    </row>
    <row r="1101" spans="1:7" x14ac:dyDescent="0.25">
      <c r="A1101" s="37">
        <v>46163</v>
      </c>
      <c r="B1101" s="38">
        <v>219422.448</v>
      </c>
      <c r="C1101" s="39">
        <f t="shared" si="71"/>
        <v>7.7054044557125501E-3</v>
      </c>
      <c r="D1101" s="38">
        <f>MAX($B$2:B1101)</f>
        <v>223043.92670000001</v>
      </c>
      <c r="E1101" s="40">
        <f t="shared" si="68"/>
        <v>-1.6236616497838918E-2</v>
      </c>
      <c r="F1101" s="41">
        <f t="shared" si="69"/>
        <v>199.53391626929158</v>
      </c>
      <c r="G1101" s="42" t="str">
        <f t="shared" si="70"/>
        <v>2026-05</v>
      </c>
    </row>
    <row r="1102" spans="1:7" x14ac:dyDescent="0.25">
      <c r="A1102" s="31">
        <v>46164</v>
      </c>
      <c r="B1102" s="32">
        <v>219082.18549999999</v>
      </c>
      <c r="C1102" s="33">
        <f t="shared" si="71"/>
        <v>-1.5507187304737435E-3</v>
      </c>
      <c r="D1102" s="32">
        <f>MAX($B$2:B1102)</f>
        <v>223043.92670000001</v>
      </c>
      <c r="E1102" s="34">
        <f t="shared" si="68"/>
        <v>-1.7762156802990092E-2</v>
      </c>
      <c r="F1102" s="35">
        <f t="shared" si="69"/>
        <v>199.22449528796798</v>
      </c>
      <c r="G1102" s="36" t="str">
        <f t="shared" si="70"/>
        <v>2026-05</v>
      </c>
    </row>
    <row r="1103" spans="1:7" x14ac:dyDescent="0.25">
      <c r="A1103" s="37">
        <v>46168</v>
      </c>
      <c r="B1103" s="38">
        <v>226197.56589999999</v>
      </c>
      <c r="C1103" s="39">
        <f t="shared" si="71"/>
        <v>3.2478133188971636E-2</v>
      </c>
      <c r="D1103" s="38">
        <f>MAX($B$2:B1103)</f>
        <v>226197.56589999999</v>
      </c>
      <c r="E1103" s="40">
        <f t="shared" si="68"/>
        <v>0</v>
      </c>
      <c r="F1103" s="41">
        <f t="shared" si="69"/>
        <v>205.69493498043627</v>
      </c>
      <c r="G1103" s="42" t="str">
        <f t="shared" si="70"/>
        <v>2026-05</v>
      </c>
    </row>
    <row r="1104" spans="1:7" x14ac:dyDescent="0.25">
      <c r="A1104" s="31">
        <v>46169</v>
      </c>
      <c r="B1104" s="32">
        <v>228631.84080000001</v>
      </c>
      <c r="C1104" s="33">
        <f t="shared" si="71"/>
        <v>1.0761720137502317E-2</v>
      </c>
      <c r="D1104" s="32">
        <f>MAX($B$2:B1104)</f>
        <v>228631.84080000001</v>
      </c>
      <c r="E1104" s="34">
        <f t="shared" si="68"/>
        <v>0</v>
      </c>
      <c r="F1104" s="35">
        <f t="shared" si="69"/>
        <v>207.90856630439745</v>
      </c>
      <c r="G1104" s="36" t="str">
        <f t="shared" si="70"/>
        <v>2026-05</v>
      </c>
    </row>
    <row r="1105" spans="1:7" x14ac:dyDescent="0.25">
      <c r="A1105" s="37">
        <v>46170</v>
      </c>
      <c r="B1105" s="38">
        <v>230597.92800000001</v>
      </c>
      <c r="C1105" s="39">
        <f t="shared" si="71"/>
        <v>8.5993586594086402E-3</v>
      </c>
      <c r="D1105" s="38">
        <f>MAX($B$2:B1105)</f>
        <v>230597.92800000001</v>
      </c>
      <c r="E1105" s="40">
        <f t="shared" si="68"/>
        <v>0</v>
      </c>
      <c r="F1105" s="41">
        <f t="shared" si="69"/>
        <v>209.69644663441241</v>
      </c>
      <c r="G1105" s="42" t="str">
        <f t="shared" si="70"/>
        <v>2026-05</v>
      </c>
    </row>
    <row r="1106" spans="1:7" x14ac:dyDescent="0.25">
      <c r="A1106" s="31">
        <v>46171</v>
      </c>
      <c r="B1106" s="32">
        <v>233110.20680000001</v>
      </c>
      <c r="C1106" s="33">
        <f t="shared" si="71"/>
        <v>1.0894628680271579E-2</v>
      </c>
      <c r="D1106" s="32">
        <f>MAX($B$2:B1106)</f>
        <v>233110.20680000001</v>
      </c>
      <c r="E1106" s="34">
        <f t="shared" si="68"/>
        <v>0</v>
      </c>
      <c r="F1106" s="35">
        <f t="shared" si="69"/>
        <v>211.9810115560667</v>
      </c>
      <c r="G1106" s="36" t="str">
        <f t="shared" si="70"/>
        <v>2026-05</v>
      </c>
    </row>
    <row r="1107" spans="1:7" x14ac:dyDescent="0.25">
      <c r="A1107" s="37">
        <v>46174</v>
      </c>
      <c r="B1107" s="38">
        <v>235962.9811</v>
      </c>
      <c r="C1107" s="39">
        <f t="shared" si="71"/>
        <v>1.2237878122803858E-2</v>
      </c>
      <c r="D1107" s="38">
        <f>MAX($B$2:B1107)</f>
        <v>235962.9811</v>
      </c>
      <c r="E1107" s="40">
        <f t="shared" si="68"/>
        <v>0</v>
      </c>
      <c r="F1107" s="41">
        <f t="shared" si="69"/>
        <v>214.57520933983852</v>
      </c>
      <c r="G1107" s="42" t="str">
        <f t="shared" si="70"/>
        <v>2026-06</v>
      </c>
    </row>
    <row r="1108" spans="1:7" x14ac:dyDescent="0.25">
      <c r="A1108" s="31">
        <v>46175</v>
      </c>
      <c r="B1108" s="32">
        <v>237002.69209999999</v>
      </c>
      <c r="C1108" s="33">
        <f t="shared" si="71"/>
        <v>4.4062462474119268E-3</v>
      </c>
      <c r="D1108" s="32">
        <f>MAX($B$2:B1108)</f>
        <v>237002.69209999999</v>
      </c>
      <c r="E1108" s="34">
        <f t="shared" si="68"/>
        <v>0</v>
      </c>
      <c r="F1108" s="35">
        <f t="shared" si="69"/>
        <v>215.52068055077979</v>
      </c>
      <c r="G1108" s="36" t="str">
        <f t="shared" si="70"/>
        <v>2026-06</v>
      </c>
    </row>
    <row r="1109" spans="1:7" x14ac:dyDescent="0.25">
      <c r="A1109" s="37">
        <v>46176</v>
      </c>
      <c r="B1109" s="38">
        <v>234561.27179999999</v>
      </c>
      <c r="C1109" s="39">
        <f t="shared" si="71"/>
        <v>-1.0301234464332065E-2</v>
      </c>
      <c r="D1109" s="38">
        <f>MAX($B$2:B1109)</f>
        <v>237002.69209999999</v>
      </c>
      <c r="E1109" s="40">
        <f t="shared" si="68"/>
        <v>-1.0301234464332065E-2</v>
      </c>
      <c r="F1109" s="41">
        <f t="shared" si="69"/>
        <v>213.3005514885138</v>
      </c>
      <c r="G1109" s="42" t="str">
        <f t="shared" si="70"/>
        <v>2026-06</v>
      </c>
    </row>
    <row r="1110" spans="1:7" x14ac:dyDescent="0.25">
      <c r="A1110" s="31">
        <v>46177</v>
      </c>
      <c r="B1110" s="32">
        <v>233025.91310000001</v>
      </c>
      <c r="C1110" s="33">
        <f t="shared" si="71"/>
        <v>-6.5456615587807798E-3</v>
      </c>
      <c r="D1110" s="32">
        <f>MAX($B$2:B1110)</f>
        <v>237002.69209999999</v>
      </c>
      <c r="E1110" s="34">
        <f t="shared" si="68"/>
        <v>-1.6779467628671663E-2</v>
      </c>
      <c r="F1110" s="35">
        <f t="shared" si="69"/>
        <v>211.90435826816869</v>
      </c>
      <c r="G1110" s="36" t="str">
        <f t="shared" si="70"/>
        <v>2026-06</v>
      </c>
    </row>
    <row r="1111" spans="1:7" x14ac:dyDescent="0.25">
      <c r="A1111" s="37">
        <v>46178</v>
      </c>
      <c r="B1111" s="38">
        <v>220733.4302</v>
      </c>
      <c r="C1111" s="39">
        <f t="shared" si="71"/>
        <v>-5.2751570572002637E-2</v>
      </c>
      <c r="D1111" s="38">
        <f>MAX($B$2:B1111)</f>
        <v>237002.69209999999</v>
      </c>
      <c r="E1111" s="40">
        <f t="shared" si="68"/>
        <v>-6.8645894929899809E-2</v>
      </c>
      <c r="F1111" s="41">
        <f t="shared" si="69"/>
        <v>200.72607055847044</v>
      </c>
      <c r="G1111" s="42" t="str">
        <f t="shared" si="70"/>
        <v>2026-06</v>
      </c>
    </row>
    <row r="1112" spans="1:7" x14ac:dyDescent="0.25">
      <c r="A1112" s="31">
        <v>46181</v>
      </c>
      <c r="B1112" s="32">
        <v>225394.80069999999</v>
      </c>
      <c r="C1112" s="33">
        <f t="shared" si="71"/>
        <v>2.1117646274859458E-2</v>
      </c>
      <c r="D1112" s="32">
        <f>MAX($B$2:B1112)</f>
        <v>237002.69209999999</v>
      </c>
      <c r="E1112" s="34">
        <f t="shared" si="68"/>
        <v>-4.8977888382391033E-2</v>
      </c>
      <c r="F1112" s="35">
        <f t="shared" si="69"/>
        <v>204.96493271466676</v>
      </c>
      <c r="G1112" s="36" t="str">
        <f t="shared" si="70"/>
        <v>2026-06</v>
      </c>
    </row>
    <row r="1113" spans="1:7" x14ac:dyDescent="0.25">
      <c r="A1113" s="37">
        <v>46182</v>
      </c>
      <c r="B1113" s="38">
        <v>223037.71909999999</v>
      </c>
      <c r="C1113" s="39">
        <f t="shared" si="71"/>
        <v>-1.0457568642576076E-2</v>
      </c>
      <c r="D1113" s="38">
        <f>MAX($B$2:B1113)</f>
        <v>237002.69209999999</v>
      </c>
      <c r="E1113" s="40">
        <f t="shared" si="68"/>
        <v>-5.8923267395239898E-2</v>
      </c>
      <c r="F1113" s="41">
        <f t="shared" si="69"/>
        <v>202.82149786148213</v>
      </c>
      <c r="G1113" s="42" t="str">
        <f t="shared" si="70"/>
        <v>2026-06</v>
      </c>
    </row>
    <row r="1114" spans="1:7" x14ac:dyDescent="0.25">
      <c r="A1114" s="31">
        <v>46183</v>
      </c>
      <c r="B1114" s="32">
        <v>217564.36629999999</v>
      </c>
      <c r="C1114" s="33">
        <f t="shared" si="71"/>
        <v>-2.4540032161761816E-2</v>
      </c>
      <c r="D1114" s="32">
        <f>MAX($B$2:B1114)</f>
        <v>237002.69209999999</v>
      </c>
      <c r="E1114" s="34">
        <f t="shared" si="68"/>
        <v>-8.2017320680046413E-2</v>
      </c>
      <c r="F1114" s="35">
        <f t="shared" si="69"/>
        <v>197.84425178086465</v>
      </c>
      <c r="G1114" s="36" t="str">
        <f t="shared" si="70"/>
        <v>2026-06</v>
      </c>
    </row>
    <row r="1115" spans="1:7" x14ac:dyDescent="0.25">
      <c r="A1115" s="37">
        <v>46184</v>
      </c>
      <c r="B1115" s="38">
        <v>225282.37530000001</v>
      </c>
      <c r="C1115" s="39">
        <f t="shared" si="71"/>
        <v>3.547460060328822E-2</v>
      </c>
      <c r="D1115" s="38">
        <f>MAX($B$2:B1115)</f>
        <v>237002.69209999999</v>
      </c>
      <c r="E1115" s="40">
        <f t="shared" si="68"/>
        <v>-4.9452251770434552E-2</v>
      </c>
      <c r="F1115" s="41">
        <f t="shared" si="69"/>
        <v>204.86269759444724</v>
      </c>
      <c r="G1115" s="42" t="str">
        <f t="shared" si="70"/>
        <v>2026-06</v>
      </c>
    </row>
    <row r="1116" spans="1:7" x14ac:dyDescent="0.25">
      <c r="A1116" s="31">
        <v>46185</v>
      </c>
      <c r="B1116" s="32">
        <v>225411.69820000001</v>
      </c>
      <c r="C1116" s="33">
        <f t="shared" si="71"/>
        <v>5.7404801342220146E-4</v>
      </c>
      <c r="D1116" s="32">
        <f>MAX($B$2:B1116)</f>
        <v>237002.69209999999</v>
      </c>
      <c r="E1116" s="34">
        <f t="shared" si="68"/>
        <v>-4.8906591723900439E-2</v>
      </c>
      <c r="F1116" s="35">
        <f t="shared" si="69"/>
        <v>204.98029861902563</v>
      </c>
      <c r="G1116" s="36" t="str">
        <f t="shared" si="70"/>
        <v>2026-06</v>
      </c>
    </row>
    <row r="1117" spans="1:7" x14ac:dyDescent="0.25">
      <c r="A1117" s="37">
        <v>46188</v>
      </c>
      <c r="B1117" s="38">
        <v>234142.9387</v>
      </c>
      <c r="C1117" s="39">
        <f t="shared" si="71"/>
        <v>3.8734637863617305E-2</v>
      </c>
      <c r="D1117" s="38">
        <f>MAX($B$2:B1117)</f>
        <v>237002.69209999999</v>
      </c>
      <c r="E1117" s="40">
        <f t="shared" si="68"/>
        <v>-1.2066332979852157E-2</v>
      </c>
      <c r="F1117" s="41">
        <f t="shared" si="69"/>
        <v>212.92013625520974</v>
      </c>
      <c r="G1117" s="42" t="str">
        <f t="shared" si="70"/>
        <v>2026-06</v>
      </c>
    </row>
    <row r="1118" spans="1:7" x14ac:dyDescent="0.25">
      <c r="A1118" s="31">
        <v>46189</v>
      </c>
      <c r="B1118" s="32">
        <v>229559.59659999999</v>
      </c>
      <c r="C1118" s="33">
        <f t="shared" si="71"/>
        <v>-1.9574974694720582E-2</v>
      </c>
      <c r="D1118" s="32">
        <f>MAX($B$2:B1118)</f>
        <v>237002.69209999999</v>
      </c>
      <c r="E1118" s="34">
        <f t="shared" si="68"/>
        <v>-3.1405109511834062E-2</v>
      </c>
      <c r="F1118" s="35">
        <f t="shared" si="69"/>
        <v>208.75222997601753</v>
      </c>
      <c r="G1118" s="36" t="str">
        <f t="shared" si="70"/>
        <v>2026-06</v>
      </c>
    </row>
    <row r="1119" spans="1:7" x14ac:dyDescent="0.25">
      <c r="A1119" s="37">
        <v>46190</v>
      </c>
      <c r="B1119" s="38">
        <v>228658.1012</v>
      </c>
      <c r="C1119" s="39">
        <f t="shared" si="71"/>
        <v>-3.9270647507314571E-3</v>
      </c>
      <c r="D1119" s="38">
        <f>MAX($B$2:B1119)</f>
        <v>237002.69209999999</v>
      </c>
      <c r="E1119" s="40">
        <f t="shared" si="68"/>
        <v>-3.5208844364008729E-2</v>
      </c>
      <c r="F1119" s="41">
        <f t="shared" si="69"/>
        <v>207.93244645204214</v>
      </c>
      <c r="G1119" s="42" t="str">
        <f t="shared" si="70"/>
        <v>2026-06</v>
      </c>
    </row>
    <row r="1120" spans="1:7" x14ac:dyDescent="0.25">
      <c r="A1120" s="31">
        <v>46191</v>
      </c>
      <c r="B1120" s="32">
        <v>235928.09839999999</v>
      </c>
      <c r="C1120" s="33">
        <f t="shared" si="71"/>
        <v>3.1794181626834783E-2</v>
      </c>
      <c r="D1120" s="32">
        <f>MAX($B$2:B1120)</f>
        <v>237002.69209999999</v>
      </c>
      <c r="E1120" s="34">
        <f t="shared" si="68"/>
        <v>-4.53409912975411E-3</v>
      </c>
      <c r="F1120" s="35">
        <f t="shared" si="69"/>
        <v>214.54348842065048</v>
      </c>
      <c r="G1120" s="36" t="str">
        <f t="shared" si="70"/>
        <v>2026-06</v>
      </c>
    </row>
    <row r="1121" spans="1:7" x14ac:dyDescent="0.25">
      <c r="A1121" s="37">
        <v>46195</v>
      </c>
      <c r="B1121" s="38">
        <v>237469.3015</v>
      </c>
      <c r="C1121" s="39">
        <f t="shared" si="71"/>
        <v>6.5325118561629925E-3</v>
      </c>
      <c r="D1121" s="38">
        <f>MAX($B$2:B1121)</f>
        <v>237469.3015</v>
      </c>
      <c r="E1121" s="40">
        <f t="shared" si="68"/>
        <v>0</v>
      </c>
      <c r="F1121" s="41">
        <f t="shared" si="69"/>
        <v>215.94499630242098</v>
      </c>
      <c r="G1121" s="42" t="str">
        <f t="shared" si="70"/>
        <v>2026-06</v>
      </c>
    </row>
    <row r="1122" spans="1:7" x14ac:dyDescent="0.25">
      <c r="A1122" s="31">
        <v>46196</v>
      </c>
      <c r="B1122" s="32">
        <v>226618.1519</v>
      </c>
      <c r="C1122" s="33">
        <f t="shared" si="71"/>
        <v>-4.5694957333253461E-2</v>
      </c>
      <c r="D1122" s="32">
        <f>MAX($B$2:B1122)</f>
        <v>237469.3015</v>
      </c>
      <c r="E1122" s="34">
        <f t="shared" si="68"/>
        <v>-4.5694957333253461E-2</v>
      </c>
      <c r="F1122" s="35">
        <f t="shared" si="69"/>
        <v>206.07739891005227</v>
      </c>
      <c r="G1122" s="36" t="str">
        <f t="shared" si="70"/>
        <v>2026-06</v>
      </c>
    </row>
    <row r="1123" spans="1:7" x14ac:dyDescent="0.25">
      <c r="A1123" s="37">
        <v>46197</v>
      </c>
      <c r="B1123" s="38">
        <v>225450.54810000001</v>
      </c>
      <c r="C1123" s="39">
        <f t="shared" si="71"/>
        <v>-5.152296010759172E-3</v>
      </c>
      <c r="D1123" s="38">
        <f>MAX($B$2:B1123)</f>
        <v>237469.3015</v>
      </c>
      <c r="E1123" s="40">
        <f t="shared" si="68"/>
        <v>-5.0611819397632707E-2</v>
      </c>
      <c r="F1123" s="41">
        <f t="shared" si="69"/>
        <v>205.0156271497404</v>
      </c>
      <c r="G1123" s="42" t="str">
        <f t="shared" si="70"/>
        <v>2026-06</v>
      </c>
    </row>
    <row r="1124" spans="1:7" x14ac:dyDescent="0.25">
      <c r="A1124" s="31">
        <v>46198</v>
      </c>
      <c r="B1124" s="32">
        <v>229504.19940000001</v>
      </c>
      <c r="C1124" s="33">
        <f t="shared" si="71"/>
        <v>1.7980223752669611E-2</v>
      </c>
      <c r="D1124" s="32">
        <f>MAX($B$2:B1124)</f>
        <v>237469.3015</v>
      </c>
      <c r="E1124" s="34">
        <f t="shared" si="68"/>
        <v>-3.3541607482262203E-2</v>
      </c>
      <c r="F1124" s="35">
        <f t="shared" si="69"/>
        <v>208.7018539986866</v>
      </c>
      <c r="G1124" s="36" t="str">
        <f t="shared" si="70"/>
        <v>2026-06</v>
      </c>
    </row>
    <row r="1125" spans="1:7" x14ac:dyDescent="0.25">
      <c r="A1125" s="37">
        <v>46199</v>
      </c>
      <c r="B1125" s="38">
        <v>227315.04790000001</v>
      </c>
      <c r="C1125" s="39">
        <f t="shared" si="71"/>
        <v>-9.538611954479137E-3</v>
      </c>
      <c r="D1125" s="38">
        <f>MAX($B$2:B1125)</f>
        <v>237469.3015</v>
      </c>
      <c r="E1125" s="40">
        <f t="shared" si="68"/>
        <v>-4.2760279058638662E-2</v>
      </c>
      <c r="F1125" s="41">
        <f t="shared" si="69"/>
        <v>206.71112799921275</v>
      </c>
      <c r="G1125" s="42" t="str">
        <f t="shared" si="70"/>
        <v>2026-06</v>
      </c>
    </row>
    <row r="1126" spans="1:7" x14ac:dyDescent="0.25">
      <c r="A1126" s="31">
        <v>46202</v>
      </c>
      <c r="B1126" s="32">
        <v>232598.55100000001</v>
      </c>
      <c r="C1126" s="33">
        <f t="shared" si="71"/>
        <v>2.3243085527379304E-2</v>
      </c>
      <c r="D1126" s="32">
        <f>MAX($B$2:B1126)</f>
        <v>237469.3015</v>
      </c>
      <c r="E1126" s="34">
        <f t="shared" si="68"/>
        <v>-2.0511074354593983E-2</v>
      </c>
      <c r="F1126" s="35">
        <f t="shared" si="69"/>
        <v>211.51573242675948</v>
      </c>
      <c r="G1126" s="36" t="str">
        <f t="shared" si="70"/>
        <v>2026-06</v>
      </c>
    </row>
    <row r="1127" spans="1:7" x14ac:dyDescent="0.25">
      <c r="A1127" s="37">
        <v>46203</v>
      </c>
      <c r="B1127" s="38">
        <v>236009.40229999999</v>
      </c>
      <c r="C1127" s="39">
        <f t="shared" si="71"/>
        <v>1.4664112417450026E-2</v>
      </c>
      <c r="D1127" s="38">
        <f>MAX($B$2:B1127)</f>
        <v>237469.3015</v>
      </c>
      <c r="E1127" s="40">
        <f t="shared" si="68"/>
        <v>-6.1477386372823517E-3</v>
      </c>
      <c r="F1127" s="41">
        <f t="shared" si="69"/>
        <v>214.61742290512476</v>
      </c>
      <c r="G1127" s="42" t="str">
        <f t="shared" si="70"/>
        <v>2026-06</v>
      </c>
    </row>
    <row r="1128" spans="1:7" x14ac:dyDescent="0.25">
      <c r="A1128" s="31">
        <v>46204</v>
      </c>
      <c r="B1128" s="32">
        <v>230936.7023</v>
      </c>
      <c r="C1128" s="33">
        <f t="shared" si="71"/>
        <v>-2.1493635213532314E-2</v>
      </c>
      <c r="D1128" s="32">
        <f>MAX($B$2:B1128)</f>
        <v>237469.3015</v>
      </c>
      <c r="E1128" s="34">
        <f t="shared" si="68"/>
        <v>-2.7509236599156828E-2</v>
      </c>
      <c r="F1128" s="35">
        <f t="shared" si="69"/>
        <v>210.00451430673363</v>
      </c>
      <c r="G1128" s="36" t="str">
        <f t="shared" si="70"/>
        <v>2026-07</v>
      </c>
    </row>
    <row r="1129" spans="1:7" x14ac:dyDescent="0.25">
      <c r="A1129" s="37">
        <v>46205</v>
      </c>
      <c r="B1129" s="38">
        <v>227858.70389999999</v>
      </c>
      <c r="C1129" s="39">
        <f t="shared" si="71"/>
        <v>-1.3328320571588947E-2</v>
      </c>
      <c r="D1129" s="38">
        <f>MAX($B$2:B1129)</f>
        <v>237469.3015</v>
      </c>
      <c r="E1129" s="40">
        <f t="shared" si="68"/>
        <v>-4.0470905246672517E-2</v>
      </c>
      <c r="F1129" s="41">
        <f t="shared" si="69"/>
        <v>207.20550681857267</v>
      </c>
      <c r="G1129" s="42" t="str">
        <f t="shared" si="70"/>
        <v>2026-07</v>
      </c>
    </row>
    <row r="1130" spans="1:7" x14ac:dyDescent="0.25">
      <c r="A1130" s="31">
        <v>46209</v>
      </c>
      <c r="B1130" s="32">
        <v>232446.0907</v>
      </c>
      <c r="C1130" s="33">
        <f t="shared" si="71"/>
        <v>2.0132594109783408E-2</v>
      </c>
      <c r="D1130" s="32">
        <f>MAX($B$2:B1130)</f>
        <v>237469.3015</v>
      </c>
      <c r="E1130" s="34">
        <f t="shared" si="68"/>
        <v>-2.1153095445475945E-2</v>
      </c>
      <c r="F1130" s="35">
        <f t="shared" si="69"/>
        <v>211.3770911846629</v>
      </c>
      <c r="G1130" s="36" t="str">
        <f t="shared" si="70"/>
        <v>2026-07</v>
      </c>
    </row>
  </sheetData>
  <autoFilter ref="A1:G113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3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3" customWidth="1"/>
    <col min="3" max="3" width="12" customWidth="1"/>
    <col min="4" max="4" width="15" customWidth="1"/>
    <col min="5" max="5" width="11" customWidth="1"/>
    <col min="6" max="6" width="12" customWidth="1"/>
    <col min="7" max="7" width="9" customWidth="1"/>
  </cols>
  <sheetData>
    <row r="1" spans="1:7" x14ac:dyDescent="0.25">
      <c r="A1" s="6" t="s">
        <v>59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</row>
    <row r="2" spans="1:7" x14ac:dyDescent="0.25">
      <c r="A2" s="31">
        <v>44564</v>
      </c>
      <c r="B2" s="32">
        <v>44948.645019531301</v>
      </c>
      <c r="C2" s="33"/>
      <c r="D2" s="32">
        <f>MAX($B$2:B2)</f>
        <v>44948.645019531301</v>
      </c>
      <c r="E2" s="34">
        <f t="shared" ref="E2:E65" si="0">B2/D2-1</f>
        <v>0</v>
      </c>
      <c r="F2" s="35">
        <f t="shared" ref="F2:F65" si="1">B2/$B$2*100</f>
        <v>100</v>
      </c>
      <c r="G2" s="36" t="str">
        <f t="shared" ref="G2:G65" si="2">TEXT(A2,"YYYY-MM")</f>
        <v>2022-01</v>
      </c>
    </row>
    <row r="3" spans="1:7" x14ac:dyDescent="0.25">
      <c r="A3" s="37">
        <v>44565</v>
      </c>
      <c r="B3" s="38">
        <v>44933.59375</v>
      </c>
      <c r="C3" s="39">
        <f t="shared" ref="C3:C66" si="3">B3/B2-1</f>
        <v>-3.3485479984463051E-4</v>
      </c>
      <c r="D3" s="38">
        <f>MAX($B$2:B3)</f>
        <v>44948.645019531301</v>
      </c>
      <c r="E3" s="40">
        <f t="shared" si="0"/>
        <v>-3.3485479984463051E-4</v>
      </c>
      <c r="F3" s="41">
        <f t="shared" si="1"/>
        <v>99.966514520015537</v>
      </c>
      <c r="G3" s="42" t="str">
        <f t="shared" si="2"/>
        <v>2022-01</v>
      </c>
    </row>
    <row r="4" spans="1:7" x14ac:dyDescent="0.25">
      <c r="A4" s="31">
        <v>44566</v>
      </c>
      <c r="B4" s="32">
        <v>44070.764160156301</v>
      </c>
      <c r="C4" s="33">
        <f t="shared" si="3"/>
        <v>-1.9202327653654483E-2</v>
      </c>
      <c r="D4" s="32">
        <f>MAX($B$2:B4)</f>
        <v>44948.645019531301</v>
      </c>
      <c r="E4" s="34">
        <f t="shared" si="0"/>
        <v>-1.9530752461916046E-2</v>
      </c>
      <c r="F4" s="35">
        <f t="shared" si="1"/>
        <v>98.046924753808398</v>
      </c>
      <c r="G4" s="36" t="str">
        <f t="shared" si="2"/>
        <v>2022-01</v>
      </c>
    </row>
    <row r="5" spans="1:7" x14ac:dyDescent="0.25">
      <c r="A5" s="37">
        <v>44567</v>
      </c>
      <c r="B5" s="38">
        <v>44029.360961914099</v>
      </c>
      <c r="C5" s="39">
        <f t="shared" si="3"/>
        <v>-9.3947084946699455E-4</v>
      </c>
      <c r="D5" s="38">
        <f>MAX($B$2:B5)</f>
        <v>44948.645019531301</v>
      </c>
      <c r="E5" s="40">
        <f t="shared" si="0"/>
        <v>-2.0451874738776854E-2</v>
      </c>
      <c r="F5" s="41">
        <f t="shared" si="1"/>
        <v>97.954812526122311</v>
      </c>
      <c r="G5" s="42" t="str">
        <f t="shared" si="2"/>
        <v>2022-01</v>
      </c>
    </row>
    <row r="6" spans="1:7" x14ac:dyDescent="0.25">
      <c r="A6" s="31">
        <v>44568</v>
      </c>
      <c r="B6" s="32">
        <v>43855.291748046897</v>
      </c>
      <c r="C6" s="33">
        <f t="shared" si="3"/>
        <v>-3.9534803609294622E-3</v>
      </c>
      <c r="D6" s="32">
        <f>MAX($B$2:B6)</f>
        <v>44948.645019531301</v>
      </c>
      <c r="E6" s="34">
        <f t="shared" si="0"/>
        <v>-2.4324499014582446E-2</v>
      </c>
      <c r="F6" s="35">
        <f t="shared" si="1"/>
        <v>97.567550098541759</v>
      </c>
      <c r="G6" s="36" t="str">
        <f t="shared" si="2"/>
        <v>2022-01</v>
      </c>
    </row>
    <row r="7" spans="1:7" x14ac:dyDescent="0.25">
      <c r="A7" s="37">
        <v>44571</v>
      </c>
      <c r="B7" s="38">
        <v>43800.720214843801</v>
      </c>
      <c r="C7" s="39">
        <f t="shared" si="3"/>
        <v>-1.2443545813494161E-3</v>
      </c>
      <c r="D7" s="38">
        <f>MAX($B$2:B7)</f>
        <v>44948.645019531301</v>
      </c>
      <c r="E7" s="40">
        <f t="shared" si="0"/>
        <v>-2.5538585294143989E-2</v>
      </c>
      <c r="F7" s="41">
        <f t="shared" si="1"/>
        <v>97.446141470585601</v>
      </c>
      <c r="G7" s="42" t="str">
        <f t="shared" si="2"/>
        <v>2022-01</v>
      </c>
    </row>
    <row r="8" spans="1:7" x14ac:dyDescent="0.25">
      <c r="A8" s="31">
        <v>44572</v>
      </c>
      <c r="B8" s="32">
        <v>44199.679565429702</v>
      </c>
      <c r="C8" s="33">
        <f t="shared" si="3"/>
        <v>9.1085111986513034E-3</v>
      </c>
      <c r="D8" s="32">
        <f>MAX($B$2:B8)</f>
        <v>44948.645019531301</v>
      </c>
      <c r="E8" s="34">
        <f t="shared" si="0"/>
        <v>-1.6662692585642014E-2</v>
      </c>
      <c r="F8" s="35">
        <f t="shared" si="1"/>
        <v>98.333730741435801</v>
      </c>
      <c r="G8" s="36" t="str">
        <f t="shared" si="2"/>
        <v>2022-01</v>
      </c>
    </row>
    <row r="9" spans="1:7" x14ac:dyDescent="0.25">
      <c r="A9" s="37">
        <v>44573</v>
      </c>
      <c r="B9" s="38">
        <v>44319.168090820298</v>
      </c>
      <c r="C9" s="39">
        <f t="shared" si="3"/>
        <v>2.7033799015152571E-3</v>
      </c>
      <c r="D9" s="38">
        <f>MAX($B$2:B9)</f>
        <v>44948.645019531301</v>
      </c>
      <c r="E9" s="40">
        <f t="shared" si="0"/>
        <v>-1.4004358272367901E-2</v>
      </c>
      <c r="F9" s="41">
        <f t="shared" si="1"/>
        <v>98.599564172763209</v>
      </c>
      <c r="G9" s="42" t="str">
        <f t="shared" si="2"/>
        <v>2022-01</v>
      </c>
    </row>
    <row r="10" spans="1:7" x14ac:dyDescent="0.25">
      <c r="A10" s="31">
        <v>44574</v>
      </c>
      <c r="B10" s="32">
        <v>43708.517456054702</v>
      </c>
      <c r="C10" s="33">
        <f t="shared" si="3"/>
        <v>-1.3778476922541305E-2</v>
      </c>
      <c r="D10" s="32">
        <f>MAX($B$2:B10)</f>
        <v>44948.645019531301</v>
      </c>
      <c r="E10" s="34">
        <f t="shared" si="0"/>
        <v>-2.7589876467638441E-2</v>
      </c>
      <c r="F10" s="35">
        <f t="shared" si="1"/>
        <v>97.241012353236158</v>
      </c>
      <c r="G10" s="36" t="str">
        <f t="shared" si="2"/>
        <v>2022-01</v>
      </c>
    </row>
    <row r="11" spans="1:7" x14ac:dyDescent="0.25">
      <c r="A11" s="37">
        <v>44575</v>
      </c>
      <c r="B11" s="38">
        <v>43726.394653320298</v>
      </c>
      <c r="C11" s="39">
        <f t="shared" si="3"/>
        <v>4.0900946328292775E-4</v>
      </c>
      <c r="D11" s="38">
        <f>MAX($B$2:B11)</f>
        <v>44948.645019531301</v>
      </c>
      <c r="E11" s="40">
        <f t="shared" si="0"/>
        <v>-2.7192151524921493E-2</v>
      </c>
      <c r="F11" s="41">
        <f t="shared" si="1"/>
        <v>97.280784847507846</v>
      </c>
      <c r="G11" s="42" t="str">
        <f t="shared" si="2"/>
        <v>2022-01</v>
      </c>
    </row>
    <row r="12" spans="1:7" x14ac:dyDescent="0.25">
      <c r="A12" s="31">
        <v>44579</v>
      </c>
      <c r="B12" s="32">
        <v>42952.017211914099</v>
      </c>
      <c r="C12" s="33">
        <f t="shared" si="3"/>
        <v>-1.7709611038041473E-2</v>
      </c>
      <c r="D12" s="32">
        <f>MAX($B$2:B12)</f>
        <v>44948.645019531301</v>
      </c>
      <c r="E12" s="34">
        <f t="shared" si="0"/>
        <v>-4.4420200136169097E-2</v>
      </c>
      <c r="F12" s="35">
        <f t="shared" si="1"/>
        <v>95.557979986383089</v>
      </c>
      <c r="G12" s="36" t="str">
        <f t="shared" si="2"/>
        <v>2022-01</v>
      </c>
    </row>
    <row r="13" spans="1:7" x14ac:dyDescent="0.25">
      <c r="A13" s="37">
        <v>44580</v>
      </c>
      <c r="B13" s="38">
        <v>42506.021118164099</v>
      </c>
      <c r="C13" s="39">
        <f t="shared" si="3"/>
        <v>-1.038358900699754E-2</v>
      </c>
      <c r="D13" s="38">
        <f>MAX($B$2:B13)</f>
        <v>44948.645019531301</v>
      </c>
      <c r="E13" s="40">
        <f t="shared" si="0"/>
        <v>-5.4342548041344085E-2</v>
      </c>
      <c r="F13" s="41">
        <f t="shared" si="1"/>
        <v>94.565745195865588</v>
      </c>
      <c r="G13" s="42" t="str">
        <f t="shared" si="2"/>
        <v>2022-01</v>
      </c>
    </row>
    <row r="14" spans="1:7" x14ac:dyDescent="0.25">
      <c r="A14" s="31">
        <v>44581</v>
      </c>
      <c r="B14" s="32">
        <v>42035.559082031301</v>
      </c>
      <c r="C14" s="33">
        <f t="shared" si="3"/>
        <v>-1.1068126909007603E-2</v>
      </c>
      <c r="D14" s="32">
        <f>MAX($B$2:B14)</f>
        <v>44948.645019531301</v>
      </c>
      <c r="E14" s="34">
        <f t="shared" si="0"/>
        <v>-6.4809204732071302E-2</v>
      </c>
      <c r="F14" s="35">
        <f t="shared" si="1"/>
        <v>93.519079526792865</v>
      </c>
      <c r="G14" s="36" t="str">
        <f t="shared" si="2"/>
        <v>2022-01</v>
      </c>
    </row>
    <row r="15" spans="1:7" x14ac:dyDescent="0.25">
      <c r="A15" s="37">
        <v>44582</v>
      </c>
      <c r="B15" s="38">
        <v>41210.379028320298</v>
      </c>
      <c r="C15" s="39">
        <f t="shared" si="3"/>
        <v>-1.9630524054662479E-2</v>
      </c>
      <c r="D15" s="38">
        <f>MAX($B$2:B15)</f>
        <v>44948.645019531301</v>
      </c>
      <c r="E15" s="40">
        <f t="shared" si="0"/>
        <v>-8.3167490134277378E-2</v>
      </c>
      <c r="F15" s="41">
        <f t="shared" si="1"/>
        <v>91.683250986572261</v>
      </c>
      <c r="G15" s="42" t="str">
        <f t="shared" si="2"/>
        <v>2022-01</v>
      </c>
    </row>
    <row r="16" spans="1:7" x14ac:dyDescent="0.25">
      <c r="A16" s="31">
        <v>44585</v>
      </c>
      <c r="B16" s="32">
        <v>41385.3759765625</v>
      </c>
      <c r="C16" s="33">
        <f t="shared" si="3"/>
        <v>4.246428991151463E-3</v>
      </c>
      <c r="D16" s="32">
        <f>MAX($B$2:B16)</f>
        <v>44948.645019531301</v>
      </c>
      <c r="E16" s="34">
        <f t="shared" si="0"/>
        <v>-7.9274225984353297E-2</v>
      </c>
      <c r="F16" s="35">
        <f t="shared" si="1"/>
        <v>92.072577401564672</v>
      </c>
      <c r="G16" s="36" t="str">
        <f t="shared" si="2"/>
        <v>2022-01</v>
      </c>
    </row>
    <row r="17" spans="1:7" x14ac:dyDescent="0.25">
      <c r="A17" s="37">
        <v>44586</v>
      </c>
      <c r="B17" s="38">
        <v>40880.111694335901</v>
      </c>
      <c r="C17" s="39">
        <f t="shared" si="3"/>
        <v>-1.2208763852060711E-2</v>
      </c>
      <c r="D17" s="38">
        <f>MAX($B$2:B17)</f>
        <v>44948.645019531301</v>
      </c>
      <c r="E17" s="40">
        <f t="shared" si="0"/>
        <v>-9.0515149531816164E-2</v>
      </c>
      <c r="F17" s="41">
        <f t="shared" si="1"/>
        <v>90.948485046818377</v>
      </c>
      <c r="G17" s="42" t="str">
        <f t="shared" si="2"/>
        <v>2022-01</v>
      </c>
    </row>
    <row r="18" spans="1:7" x14ac:dyDescent="0.25">
      <c r="A18" s="31">
        <v>44587</v>
      </c>
      <c r="B18" s="32">
        <v>40777.548217773401</v>
      </c>
      <c r="C18" s="33">
        <f t="shared" si="3"/>
        <v>-2.5088844504480567E-3</v>
      </c>
      <c r="D18" s="32">
        <f>MAX($B$2:B18)</f>
        <v>44948.645019531301</v>
      </c>
      <c r="E18" s="34">
        <f t="shared" si="0"/>
        <v>-9.2796941931073906E-2</v>
      </c>
      <c r="F18" s="35">
        <f t="shared" si="1"/>
        <v>90.720305806892611</v>
      </c>
      <c r="G18" s="36" t="str">
        <f t="shared" si="2"/>
        <v>2022-01</v>
      </c>
    </row>
    <row r="19" spans="1:7" x14ac:dyDescent="0.25">
      <c r="A19" s="37">
        <v>44588</v>
      </c>
      <c r="B19" s="38">
        <v>40576.190185546897</v>
      </c>
      <c r="C19" s="39">
        <f t="shared" si="3"/>
        <v>-4.9379631936463664E-3</v>
      </c>
      <c r="D19" s="38">
        <f>MAX($B$2:B19)</f>
        <v>44948.645019531301</v>
      </c>
      <c r="E19" s="40">
        <f t="shared" si="0"/>
        <v>-9.7276677240981657E-2</v>
      </c>
      <c r="F19" s="41">
        <f t="shared" si="1"/>
        <v>90.272332275901832</v>
      </c>
      <c r="G19" s="42" t="str">
        <f t="shared" si="2"/>
        <v>2022-01</v>
      </c>
    </row>
    <row r="20" spans="1:7" x14ac:dyDescent="0.25">
      <c r="A20" s="31">
        <v>44589</v>
      </c>
      <c r="B20" s="32">
        <v>41583.926391601599</v>
      </c>
      <c r="C20" s="33">
        <f t="shared" si="3"/>
        <v>2.4835653654187828E-2</v>
      </c>
      <c r="D20" s="32">
        <f>MAX($B$2:B20)</f>
        <v>44948.645019531301</v>
      </c>
      <c r="E20" s="34">
        <f t="shared" si="0"/>
        <v>-7.4856953451380992E-2</v>
      </c>
      <c r="F20" s="35">
        <f t="shared" si="1"/>
        <v>92.514304654861903</v>
      </c>
      <c r="G20" s="36" t="str">
        <f t="shared" si="2"/>
        <v>2022-01</v>
      </c>
    </row>
    <row r="21" spans="1:7" x14ac:dyDescent="0.25">
      <c r="A21" s="37">
        <v>44592</v>
      </c>
      <c r="B21" s="38">
        <v>42332.888793945298</v>
      </c>
      <c r="C21" s="39">
        <f t="shared" si="3"/>
        <v>1.8010863026512114E-2</v>
      </c>
      <c r="D21" s="38">
        <f>MAX($B$2:B21)</f>
        <v>44948.645019531301</v>
      </c>
      <c r="E21" s="40">
        <f t="shared" si="0"/>
        <v>-5.8194328760063696E-2</v>
      </c>
      <c r="F21" s="41">
        <f t="shared" si="1"/>
        <v>94.180567123993626</v>
      </c>
      <c r="G21" s="42" t="str">
        <f t="shared" si="2"/>
        <v>2022-01</v>
      </c>
    </row>
    <row r="22" spans="1:7" x14ac:dyDescent="0.25">
      <c r="A22" s="31">
        <v>44593</v>
      </c>
      <c r="B22" s="32">
        <v>42618.930053710901</v>
      </c>
      <c r="C22" s="33">
        <f t="shared" si="3"/>
        <v>6.7569511062168797E-3</v>
      </c>
      <c r="D22" s="32">
        <f>MAX($B$2:B22)</f>
        <v>44948.645019531301</v>
      </c>
      <c r="E22" s="34">
        <f t="shared" si="0"/>
        <v>-5.1830593887937648E-2</v>
      </c>
      <c r="F22" s="35">
        <f t="shared" si="1"/>
        <v>94.816940611206235</v>
      </c>
      <c r="G22" s="36" t="str">
        <f t="shared" si="2"/>
        <v>2022-02</v>
      </c>
    </row>
    <row r="23" spans="1:7" x14ac:dyDescent="0.25">
      <c r="A23" s="37">
        <v>44594</v>
      </c>
      <c r="B23" s="38">
        <v>43032.937622070298</v>
      </c>
      <c r="C23" s="39">
        <f t="shared" si="3"/>
        <v>9.714170858762472E-3</v>
      </c>
      <c r="D23" s="38">
        <f>MAX($B$2:B23)</f>
        <v>44948.645019531301</v>
      </c>
      <c r="E23" s="40">
        <f t="shared" si="0"/>
        <v>-4.2619914273913762E-2</v>
      </c>
      <c r="F23" s="41">
        <f t="shared" si="1"/>
        <v>95.738008572608621</v>
      </c>
      <c r="G23" s="42" t="str">
        <f t="shared" si="2"/>
        <v>2022-02</v>
      </c>
    </row>
    <row r="24" spans="1:7" x14ac:dyDescent="0.25">
      <c r="A24" s="31">
        <v>44595</v>
      </c>
      <c r="B24" s="32">
        <v>42021.447753906301</v>
      </c>
      <c r="C24" s="33">
        <f t="shared" si="3"/>
        <v>-2.350501555453266E-2</v>
      </c>
      <c r="D24" s="32">
        <f>MAX($B$2:B24)</f>
        <v>44948.645019531301</v>
      </c>
      <c r="E24" s="34">
        <f t="shared" si="0"/>
        <v>-6.5123148080505233E-2</v>
      </c>
      <c r="F24" s="35">
        <f t="shared" si="1"/>
        <v>93.487685191949481</v>
      </c>
      <c r="G24" s="36" t="str">
        <f t="shared" si="2"/>
        <v>2022-02</v>
      </c>
    </row>
    <row r="25" spans="1:7" x14ac:dyDescent="0.25">
      <c r="A25" s="37">
        <v>44596</v>
      </c>
      <c r="B25" s="38">
        <v>42219.04296875</v>
      </c>
      <c r="C25" s="39">
        <f t="shared" si="3"/>
        <v>4.7022467193631456E-3</v>
      </c>
      <c r="D25" s="38">
        <f>MAX($B$2:B25)</f>
        <v>44948.645019531301</v>
      </c>
      <c r="E25" s="40">
        <f t="shared" si="0"/>
        <v>-6.0727126470558113E-2</v>
      </c>
      <c r="F25" s="41">
        <f t="shared" si="1"/>
        <v>93.927287352944191</v>
      </c>
      <c r="G25" s="42" t="str">
        <f t="shared" si="2"/>
        <v>2022-02</v>
      </c>
    </row>
    <row r="26" spans="1:7" x14ac:dyDescent="0.25">
      <c r="A26" s="31">
        <v>44599</v>
      </c>
      <c r="B26" s="32">
        <v>42083.551025390603</v>
      </c>
      <c r="C26" s="33">
        <f t="shared" si="3"/>
        <v>-3.20926136245403E-3</v>
      </c>
      <c r="D26" s="32">
        <f>MAX($B$2:B26)</f>
        <v>44948.645019531301</v>
      </c>
      <c r="E26" s="34">
        <f t="shared" si="0"/>
        <v>-6.3741498612377323E-2</v>
      </c>
      <c r="F26" s="35">
        <f t="shared" si="1"/>
        <v>93.625850138762274</v>
      </c>
      <c r="G26" s="36" t="str">
        <f t="shared" si="2"/>
        <v>2022-02</v>
      </c>
    </row>
    <row r="27" spans="1:7" x14ac:dyDescent="0.25">
      <c r="A27" s="37">
        <v>44600</v>
      </c>
      <c r="B27" s="38">
        <v>42429.806518554702</v>
      </c>
      <c r="C27" s="39">
        <f t="shared" si="3"/>
        <v>8.2278107414268664E-3</v>
      </c>
      <c r="D27" s="38">
        <f>MAX($B$2:B27)</f>
        <v>44948.645019531301</v>
      </c>
      <c r="E27" s="40">
        <f t="shared" si="0"/>
        <v>-5.6038140857907925E-2</v>
      </c>
      <c r="F27" s="41">
        <f t="shared" si="1"/>
        <v>94.396185914209212</v>
      </c>
      <c r="G27" s="42" t="str">
        <f t="shared" si="2"/>
        <v>2022-02</v>
      </c>
    </row>
    <row r="28" spans="1:7" x14ac:dyDescent="0.25">
      <c r="A28" s="31">
        <v>44601</v>
      </c>
      <c r="B28" s="32">
        <v>43050.814819335901</v>
      </c>
      <c r="C28" s="33">
        <f t="shared" si="3"/>
        <v>1.4636133221810343E-2</v>
      </c>
      <c r="D28" s="32">
        <f>MAX($B$2:B28)</f>
        <v>44948.645019531301</v>
      </c>
      <c r="E28" s="34">
        <f t="shared" si="0"/>
        <v>-4.2222189331196702E-2</v>
      </c>
      <c r="F28" s="35">
        <f t="shared" si="1"/>
        <v>95.777781066880323</v>
      </c>
      <c r="G28" s="36" t="str">
        <f t="shared" si="2"/>
        <v>2022-02</v>
      </c>
    </row>
    <row r="29" spans="1:7" x14ac:dyDescent="0.25">
      <c r="A29" s="37">
        <v>44602</v>
      </c>
      <c r="B29" s="38">
        <v>42277.374267578103</v>
      </c>
      <c r="C29" s="39">
        <f t="shared" si="3"/>
        <v>-1.7965758720330016E-2</v>
      </c>
      <c r="D29" s="38">
        <f>MAX($B$2:B29)</f>
        <v>44948.645019531301</v>
      </c>
      <c r="E29" s="40">
        <f t="shared" si="0"/>
        <v>-5.9429394385358325E-2</v>
      </c>
      <c r="F29" s="41">
        <f t="shared" si="1"/>
        <v>94.057060561464169</v>
      </c>
      <c r="G29" s="42" t="str">
        <f t="shared" si="2"/>
        <v>2022-02</v>
      </c>
    </row>
    <row r="30" spans="1:7" x14ac:dyDescent="0.25">
      <c r="A30" s="31">
        <v>44603</v>
      </c>
      <c r="B30" s="32">
        <v>41443.719482421897</v>
      </c>
      <c r="C30" s="33">
        <f t="shared" si="3"/>
        <v>-1.9718698230403731E-2</v>
      </c>
      <c r="D30" s="32">
        <f>MAX($B$2:B30)</f>
        <v>44948.645019531301</v>
      </c>
      <c r="E30" s="34">
        <f t="shared" si="0"/>
        <v>-7.7976222321861521E-2</v>
      </c>
      <c r="F30" s="35">
        <f t="shared" si="1"/>
        <v>92.202377767813843</v>
      </c>
      <c r="G30" s="36" t="str">
        <f t="shared" si="2"/>
        <v>2022-02</v>
      </c>
    </row>
    <row r="31" spans="1:7" x14ac:dyDescent="0.25">
      <c r="A31" s="37">
        <v>44606</v>
      </c>
      <c r="B31" s="38">
        <v>41308.224487304702</v>
      </c>
      <c r="C31" s="39">
        <f t="shared" si="3"/>
        <v>-3.2693734251980633E-3</v>
      </c>
      <c r="D31" s="38">
        <f>MAX($B$2:B31)</f>
        <v>44948.645019531301</v>
      </c>
      <c r="E31" s="40">
        <f t="shared" si="0"/>
        <v>-8.0990662358003118E-2</v>
      </c>
      <c r="F31" s="41">
        <f t="shared" si="1"/>
        <v>91.900933764199692</v>
      </c>
      <c r="G31" s="42" t="str">
        <f t="shared" si="2"/>
        <v>2022-02</v>
      </c>
    </row>
    <row r="32" spans="1:7" x14ac:dyDescent="0.25">
      <c r="A32" s="31">
        <v>44607</v>
      </c>
      <c r="B32" s="32">
        <v>41974.398803710901</v>
      </c>
      <c r="C32" s="33">
        <f t="shared" si="3"/>
        <v>1.6126917210177671E-2</v>
      </c>
      <c r="D32" s="32">
        <f>MAX($B$2:B32)</f>
        <v>44948.645019531301</v>
      </c>
      <c r="E32" s="34">
        <f t="shared" si="0"/>
        <v>-6.6169874854470345E-2</v>
      </c>
      <c r="F32" s="35">
        <f t="shared" si="1"/>
        <v>93.383012514552959</v>
      </c>
      <c r="G32" s="36" t="str">
        <f t="shared" si="2"/>
        <v>2022-02</v>
      </c>
    </row>
    <row r="33" spans="1:7" x14ac:dyDescent="0.25">
      <c r="A33" s="37">
        <v>44608</v>
      </c>
      <c r="B33" s="38">
        <v>42021.447753906301</v>
      </c>
      <c r="C33" s="39">
        <f t="shared" si="3"/>
        <v>1.1208963448272602E-3</v>
      </c>
      <c r="D33" s="38">
        <f>MAX($B$2:B33)</f>
        <v>44948.645019531301</v>
      </c>
      <c r="E33" s="40">
        <f t="shared" si="0"/>
        <v>-6.5123148080505233E-2</v>
      </c>
      <c r="F33" s="41">
        <f t="shared" si="1"/>
        <v>93.487685191949481</v>
      </c>
      <c r="G33" s="42" t="str">
        <f t="shared" si="2"/>
        <v>2022-02</v>
      </c>
    </row>
    <row r="34" spans="1:7" x14ac:dyDescent="0.25">
      <c r="A34" s="31">
        <v>44609</v>
      </c>
      <c r="B34" s="32">
        <v>41123.806762695298</v>
      </c>
      <c r="C34" s="33">
        <f t="shared" si="3"/>
        <v>-2.136149607381288E-2</v>
      </c>
      <c r="D34" s="32">
        <f>MAX($B$2:B34)</f>
        <v>44948.645019531301</v>
      </c>
      <c r="E34" s="34">
        <f t="shared" si="0"/>
        <v>-8.5093516282282011E-2</v>
      </c>
      <c r="F34" s="35">
        <f t="shared" si="1"/>
        <v>91.490648371771798</v>
      </c>
      <c r="G34" s="36" t="str">
        <f t="shared" si="2"/>
        <v>2022-02</v>
      </c>
    </row>
    <row r="35" spans="1:7" x14ac:dyDescent="0.25">
      <c r="A35" s="37">
        <v>44610</v>
      </c>
      <c r="B35" s="38">
        <v>40857.528686523401</v>
      </c>
      <c r="C35" s="39">
        <f t="shared" si="3"/>
        <v>-6.4750347094191252E-3</v>
      </c>
      <c r="D35" s="38">
        <f>MAX($B$2:B35)</f>
        <v>44948.645019531301</v>
      </c>
      <c r="E35" s="40">
        <f t="shared" si="0"/>
        <v>-9.1017567520226828E-2</v>
      </c>
      <c r="F35" s="41">
        <f t="shared" si="1"/>
        <v>90.898243247977319</v>
      </c>
      <c r="G35" s="42" t="str">
        <f t="shared" si="2"/>
        <v>2022-02</v>
      </c>
    </row>
    <row r="36" spans="1:7" x14ac:dyDescent="0.25">
      <c r="A36" s="31">
        <v>44614</v>
      </c>
      <c r="B36" s="32">
        <v>40419.064331054702</v>
      </c>
      <c r="C36" s="33">
        <f t="shared" si="3"/>
        <v>-1.0731543721911985E-2</v>
      </c>
      <c r="D36" s="32">
        <f>MAX($B$2:B36)</f>
        <v>44948.645019531301</v>
      </c>
      <c r="E36" s="34">
        <f t="shared" si="0"/>
        <v>-0.10077235223683345</v>
      </c>
      <c r="F36" s="35">
        <f t="shared" si="1"/>
        <v>89.922764776316654</v>
      </c>
      <c r="G36" s="36" t="str">
        <f t="shared" si="2"/>
        <v>2022-02</v>
      </c>
    </row>
    <row r="37" spans="1:7" x14ac:dyDescent="0.25">
      <c r="A37" s="37">
        <v>44615</v>
      </c>
      <c r="B37" s="38">
        <v>39702.084350585901</v>
      </c>
      <c r="C37" s="39">
        <f t="shared" si="3"/>
        <v>-1.7738658534901641E-2</v>
      </c>
      <c r="D37" s="38">
        <f>MAX($B$2:B37)</f>
        <v>44948.645019531301</v>
      </c>
      <c r="E37" s="40">
        <f t="shared" si="0"/>
        <v>-0.11672344442564708</v>
      </c>
      <c r="F37" s="41">
        <f t="shared" si="1"/>
        <v>88.327655557435293</v>
      </c>
      <c r="G37" s="42" t="str">
        <f t="shared" si="2"/>
        <v>2022-02</v>
      </c>
    </row>
    <row r="38" spans="1:7" x14ac:dyDescent="0.25">
      <c r="A38" s="31">
        <v>44616</v>
      </c>
      <c r="B38" s="32">
        <v>40299.560546875</v>
      </c>
      <c r="C38" s="33">
        <f t="shared" si="3"/>
        <v>1.5048988134052088E-2</v>
      </c>
      <c r="D38" s="32">
        <f>MAX($B$2:B38)</f>
        <v>44948.645019531301</v>
      </c>
      <c r="E38" s="34">
        <f t="shared" si="0"/>
        <v>-0.10343102602172227</v>
      </c>
      <c r="F38" s="35">
        <f t="shared" si="1"/>
        <v>89.656897397827777</v>
      </c>
      <c r="G38" s="36" t="str">
        <f t="shared" si="2"/>
        <v>2022-02</v>
      </c>
    </row>
    <row r="39" spans="1:7" x14ac:dyDescent="0.25">
      <c r="A39" s="37">
        <v>44617</v>
      </c>
      <c r="B39" s="38">
        <v>41188.735961914099</v>
      </c>
      <c r="C39" s="39">
        <f t="shared" si="3"/>
        <v>2.2064146679833918E-2</v>
      </c>
      <c r="D39" s="38">
        <f>MAX($B$2:B39)</f>
        <v>44948.645019531301</v>
      </c>
      <c r="E39" s="40">
        <f t="shared" si="0"/>
        <v>-8.3648996671277343E-2</v>
      </c>
      <c r="F39" s="41">
        <f t="shared" si="1"/>
        <v>91.63510033287227</v>
      </c>
      <c r="G39" s="42" t="str">
        <f t="shared" si="2"/>
        <v>2022-02</v>
      </c>
    </row>
    <row r="40" spans="1:7" x14ac:dyDescent="0.25">
      <c r="A40" s="31">
        <v>44620</v>
      </c>
      <c r="B40" s="32">
        <v>41083.349609375</v>
      </c>
      <c r="C40" s="33">
        <f t="shared" si="3"/>
        <v>-2.5586207024305141E-3</v>
      </c>
      <c r="D40" s="32">
        <f>MAX($B$2:B40)</f>
        <v>44948.645019531301</v>
      </c>
      <c r="E40" s="34">
        <f t="shared" si="0"/>
        <v>-8.5993591319087237E-2</v>
      </c>
      <c r="F40" s="35">
        <f t="shared" si="1"/>
        <v>91.400640868091273</v>
      </c>
      <c r="G40" s="36" t="str">
        <f t="shared" si="2"/>
        <v>2022-02</v>
      </c>
    </row>
    <row r="41" spans="1:7" x14ac:dyDescent="0.25">
      <c r="A41" s="37">
        <v>44621</v>
      </c>
      <c r="B41" s="38">
        <v>40457.638549804702</v>
      </c>
      <c r="C41" s="39">
        <f t="shared" si="3"/>
        <v>-1.5230283448638637E-2</v>
      </c>
      <c r="D41" s="38">
        <f>MAX($B$2:B41)</f>
        <v>44948.645019531301</v>
      </c>
      <c r="E41" s="40">
        <f t="shared" si="0"/>
        <v>-9.9914167997169789E-2</v>
      </c>
      <c r="F41" s="41">
        <f t="shared" si="1"/>
        <v>90.008583200283027</v>
      </c>
      <c r="G41" s="42" t="str">
        <f t="shared" si="2"/>
        <v>2022-03</v>
      </c>
    </row>
    <row r="42" spans="1:7" x14ac:dyDescent="0.25">
      <c r="A42" s="31">
        <v>44622</v>
      </c>
      <c r="B42" s="32">
        <v>41201.910400390603</v>
      </c>
      <c r="C42" s="33">
        <f t="shared" si="3"/>
        <v>1.8396324582060863E-2</v>
      </c>
      <c r="D42" s="32">
        <f>MAX($B$2:B42)</f>
        <v>44948.645019531301</v>
      </c>
      <c r="E42" s="34">
        <f t="shared" si="0"/>
        <v>-8.3355896879931501E-2</v>
      </c>
      <c r="F42" s="35">
        <f t="shared" si="1"/>
        <v>91.664410312006851</v>
      </c>
      <c r="G42" s="36" t="str">
        <f t="shared" si="2"/>
        <v>2022-03</v>
      </c>
    </row>
    <row r="43" spans="1:7" x14ac:dyDescent="0.25">
      <c r="A43" s="37">
        <v>44623</v>
      </c>
      <c r="B43" s="38">
        <v>40996.783447265603</v>
      </c>
      <c r="C43" s="39">
        <f t="shared" si="3"/>
        <v>-4.9785786904448237E-3</v>
      </c>
      <c r="D43" s="38">
        <f>MAX($B$2:B43)</f>
        <v>44948.645019531301</v>
      </c>
      <c r="E43" s="40">
        <f t="shared" si="0"/>
        <v>-8.7919481678446987E-2</v>
      </c>
      <c r="F43" s="41">
        <f t="shared" si="1"/>
        <v>91.208051832155306</v>
      </c>
      <c r="G43" s="42" t="str">
        <f t="shared" si="2"/>
        <v>2022-03</v>
      </c>
    </row>
    <row r="44" spans="1:7" x14ac:dyDescent="0.25">
      <c r="A44" s="31">
        <v>44624</v>
      </c>
      <c r="B44" s="32">
        <v>40663.699340820298</v>
      </c>
      <c r="C44" s="33">
        <f t="shared" si="3"/>
        <v>-8.124639994592564E-3</v>
      </c>
      <c r="D44" s="32">
        <f>MAX($B$2:B44)</f>
        <v>44948.645019531301</v>
      </c>
      <c r="E44" s="34">
        <f t="shared" si="0"/>
        <v>-9.5329807535890931E-2</v>
      </c>
      <c r="F44" s="35">
        <f t="shared" si="1"/>
        <v>90.467019246410914</v>
      </c>
      <c r="G44" s="36" t="str">
        <f t="shared" si="2"/>
        <v>2022-03</v>
      </c>
    </row>
    <row r="45" spans="1:7" x14ac:dyDescent="0.25">
      <c r="A45" s="37">
        <v>44627</v>
      </c>
      <c r="B45" s="38">
        <v>39464.962768554702</v>
      </c>
      <c r="C45" s="39">
        <f t="shared" si="3"/>
        <v>-2.9479279841670536E-2</v>
      </c>
      <c r="D45" s="38">
        <f>MAX($B$2:B45)</f>
        <v>44948.645019531301</v>
      </c>
      <c r="E45" s="40">
        <f t="shared" si="0"/>
        <v>-0.12199883330395844</v>
      </c>
      <c r="F45" s="41">
        <f t="shared" si="1"/>
        <v>87.800116669604151</v>
      </c>
      <c r="G45" s="42" t="str">
        <f t="shared" si="2"/>
        <v>2022-03</v>
      </c>
    </row>
    <row r="46" spans="1:7" x14ac:dyDescent="0.25">
      <c r="A46" s="31">
        <v>44628</v>
      </c>
      <c r="B46" s="32">
        <v>39165.765380859397</v>
      </c>
      <c r="C46" s="33">
        <f t="shared" si="3"/>
        <v>-7.5813422009282094E-3</v>
      </c>
      <c r="D46" s="32">
        <f>MAX($B$2:B46)</f>
        <v>44948.645019531301</v>
      </c>
      <c r="E46" s="34">
        <f t="shared" si="0"/>
        <v>-0.12865526060149535</v>
      </c>
      <c r="F46" s="35">
        <f t="shared" si="1"/>
        <v>87.134473939850466</v>
      </c>
      <c r="G46" s="36" t="str">
        <f t="shared" si="2"/>
        <v>2022-03</v>
      </c>
    </row>
    <row r="47" spans="1:7" x14ac:dyDescent="0.25">
      <c r="A47" s="37">
        <v>44629</v>
      </c>
      <c r="B47" s="38">
        <v>40215.829467773401</v>
      </c>
      <c r="C47" s="39">
        <f t="shared" si="3"/>
        <v>2.68107638572328E-2</v>
      </c>
      <c r="D47" s="38">
        <f>MAX($B$2:B47)</f>
        <v>44948.645019531301</v>
      </c>
      <c r="E47" s="40">
        <f t="shared" si="0"/>
        <v>-0.10529384255523999</v>
      </c>
      <c r="F47" s="41">
        <f t="shared" si="1"/>
        <v>89.470615744476007</v>
      </c>
      <c r="G47" s="42" t="str">
        <f t="shared" si="2"/>
        <v>2022-03</v>
      </c>
    </row>
    <row r="48" spans="1:7" x14ac:dyDescent="0.25">
      <c r="A48" s="31">
        <v>44630</v>
      </c>
      <c r="B48" s="32">
        <v>40034.225463867202</v>
      </c>
      <c r="C48" s="33">
        <f t="shared" si="3"/>
        <v>-4.5157343839377084E-3</v>
      </c>
      <c r="D48" s="32">
        <f>MAX($B$2:B48)</f>
        <v>44948.645019531301</v>
      </c>
      <c r="E48" s="34">
        <f t="shared" si="0"/>
        <v>-0.109334097913934</v>
      </c>
      <c r="F48" s="35">
        <f t="shared" si="1"/>
        <v>89.066590208606598</v>
      </c>
      <c r="G48" s="36" t="str">
        <f t="shared" si="2"/>
        <v>2022-03</v>
      </c>
    </row>
    <row r="49" spans="1:7" x14ac:dyDescent="0.25">
      <c r="A49" s="37">
        <v>44631</v>
      </c>
      <c r="B49" s="38">
        <v>39525.192260742202</v>
      </c>
      <c r="C49" s="39">
        <f t="shared" si="3"/>
        <v>-1.2714950700980276E-2</v>
      </c>
      <c r="D49" s="38">
        <f>MAX($B$2:B49)</f>
        <v>44948.645019531301</v>
      </c>
      <c r="E49" s="40">
        <f t="shared" si="0"/>
        <v>-0.12065887095000249</v>
      </c>
      <c r="F49" s="41">
        <f t="shared" si="1"/>
        <v>87.934112904999751</v>
      </c>
      <c r="G49" s="42" t="str">
        <f t="shared" si="2"/>
        <v>2022-03</v>
      </c>
    </row>
    <row r="50" spans="1:7" x14ac:dyDescent="0.25">
      <c r="A50" s="31">
        <v>44634</v>
      </c>
      <c r="B50" s="32">
        <v>39236.325073242202</v>
      </c>
      <c r="C50" s="33">
        <f t="shared" si="3"/>
        <v>-7.3084321916609962E-3</v>
      </c>
      <c r="D50" s="32">
        <f>MAX($B$2:B50)</f>
        <v>44948.645019531301</v>
      </c>
      <c r="E50" s="34">
        <f t="shared" si="0"/>
        <v>-0.12708547596500308</v>
      </c>
      <c r="F50" s="35">
        <f t="shared" si="1"/>
        <v>87.29145240349969</v>
      </c>
      <c r="G50" s="36" t="str">
        <f t="shared" si="2"/>
        <v>2022-03</v>
      </c>
    </row>
    <row r="51" spans="1:7" x14ac:dyDescent="0.25">
      <c r="A51" s="37">
        <v>44635</v>
      </c>
      <c r="B51" s="38">
        <v>40099.1455078125</v>
      </c>
      <c r="C51" s="39">
        <f t="shared" si="3"/>
        <v>2.1990347795306509E-2</v>
      </c>
      <c r="D51" s="38">
        <f>MAX($B$2:B51)</f>
        <v>44948.645019531301</v>
      </c>
      <c r="E51" s="40">
        <f t="shared" si="0"/>
        <v>-0.10788978198589905</v>
      </c>
      <c r="F51" s="41">
        <f t="shared" si="1"/>
        <v>89.211021801410098</v>
      </c>
      <c r="G51" s="42" t="str">
        <f t="shared" si="2"/>
        <v>2022-03</v>
      </c>
    </row>
    <row r="52" spans="1:7" x14ac:dyDescent="0.25">
      <c r="A52" s="31">
        <v>44636</v>
      </c>
      <c r="B52" s="32">
        <v>40988.317871093801</v>
      </c>
      <c r="C52" s="33">
        <f t="shared" si="3"/>
        <v>2.2174346909912712E-2</v>
      </c>
      <c r="D52" s="32">
        <f>MAX($B$2:B52)</f>
        <v>44948.645019531301</v>
      </c>
      <c r="E52" s="34">
        <f t="shared" si="0"/>
        <v>-8.8107820529776615E-2</v>
      </c>
      <c r="F52" s="35">
        <f t="shared" si="1"/>
        <v>91.189217947022343</v>
      </c>
      <c r="G52" s="36" t="str">
        <f t="shared" si="2"/>
        <v>2022-03</v>
      </c>
    </row>
    <row r="53" spans="1:7" x14ac:dyDescent="0.25">
      <c r="A53" s="37">
        <v>44637</v>
      </c>
      <c r="B53" s="38">
        <v>41501.116943359397</v>
      </c>
      <c r="C53" s="39">
        <f t="shared" si="3"/>
        <v>1.2510859164270194E-2</v>
      </c>
      <c r="D53" s="38">
        <f>MAX($B$2:B53)</f>
        <v>44948.645019531301</v>
      </c>
      <c r="E53" s="40">
        <f t="shared" si="0"/>
        <v>-7.6699265899425217E-2</v>
      </c>
      <c r="F53" s="41">
        <f t="shared" si="1"/>
        <v>92.33007341005748</v>
      </c>
      <c r="G53" s="42" t="str">
        <f t="shared" si="2"/>
        <v>2022-03</v>
      </c>
    </row>
    <row r="54" spans="1:7" x14ac:dyDescent="0.25">
      <c r="A54" s="31">
        <v>44638</v>
      </c>
      <c r="B54" s="32">
        <v>41955.670166015603</v>
      </c>
      <c r="C54" s="33">
        <f t="shared" si="3"/>
        <v>1.0952794915774833E-2</v>
      </c>
      <c r="D54" s="32">
        <f>MAX($B$2:B54)</f>
        <v>44948.645019531301</v>
      </c>
      <c r="E54" s="34">
        <f t="shared" si="0"/>
        <v>-6.6586542313237129E-2</v>
      </c>
      <c r="F54" s="35">
        <f t="shared" si="1"/>
        <v>93.341345768676291</v>
      </c>
      <c r="G54" s="36" t="str">
        <f t="shared" si="2"/>
        <v>2022-03</v>
      </c>
    </row>
    <row r="55" spans="1:7" x14ac:dyDescent="0.25">
      <c r="A55" s="37">
        <v>44641</v>
      </c>
      <c r="B55" s="38">
        <v>41943.399047851599</v>
      </c>
      <c r="C55" s="39">
        <f t="shared" si="3"/>
        <v>-2.9247818269728665E-4</v>
      </c>
      <c r="D55" s="38">
        <f>MAX($B$2:B55)</f>
        <v>44948.645019531301</v>
      </c>
      <c r="E55" s="40">
        <f t="shared" si="0"/>
        <v>-6.685954538504657E-2</v>
      </c>
      <c r="F55" s="41">
        <f t="shared" si="1"/>
        <v>93.31404546149534</v>
      </c>
      <c r="G55" s="42" t="str">
        <f t="shared" si="2"/>
        <v>2022-03</v>
      </c>
    </row>
    <row r="56" spans="1:7" x14ac:dyDescent="0.25">
      <c r="A56" s="31">
        <v>44642</v>
      </c>
      <c r="B56" s="32">
        <v>42434.197998046897</v>
      </c>
      <c r="C56" s="33">
        <f t="shared" si="3"/>
        <v>1.1701458664219455E-2</v>
      </c>
      <c r="D56" s="32">
        <f>MAX($B$2:B56)</f>
        <v>44948.645019531301</v>
      </c>
      <c r="E56" s="34">
        <f t="shared" si="0"/>
        <v>-5.5940440927458757E-2</v>
      </c>
      <c r="F56" s="35">
        <f t="shared" si="1"/>
        <v>94.405955907254125</v>
      </c>
      <c r="G56" s="36" t="str">
        <f t="shared" si="2"/>
        <v>2022-03</v>
      </c>
    </row>
    <row r="57" spans="1:7" x14ac:dyDescent="0.25">
      <c r="A57" s="37">
        <v>44643</v>
      </c>
      <c r="B57" s="38">
        <v>41887.7197265625</v>
      </c>
      <c r="C57" s="39">
        <f t="shared" si="3"/>
        <v>-1.2878251440254562E-2</v>
      </c>
      <c r="D57" s="38">
        <f>MAX($B$2:B57)</f>
        <v>44948.645019531301</v>
      </c>
      <c r="E57" s="40">
        <f t="shared" si="0"/>
        <v>-6.8098277303770827E-2</v>
      </c>
      <c r="F57" s="41">
        <f t="shared" si="1"/>
        <v>93.19017226962292</v>
      </c>
      <c r="G57" s="42" t="str">
        <f t="shared" si="2"/>
        <v>2022-03</v>
      </c>
    </row>
    <row r="58" spans="1:7" x14ac:dyDescent="0.25">
      <c r="A58" s="31">
        <v>44644</v>
      </c>
      <c r="B58" s="32">
        <v>42519.143676757798</v>
      </c>
      <c r="C58" s="33">
        <f t="shared" si="3"/>
        <v>1.5074202041007512E-2</v>
      </c>
      <c r="D58" s="32">
        <f>MAX($B$2:B58)</f>
        <v>44948.645019531301</v>
      </c>
      <c r="E58" s="34">
        <f t="shared" si="0"/>
        <v>-5.4050602453484919E-2</v>
      </c>
      <c r="F58" s="35">
        <f t="shared" si="1"/>
        <v>94.594939754651506</v>
      </c>
      <c r="G58" s="36" t="str">
        <f t="shared" si="2"/>
        <v>2022-03</v>
      </c>
    </row>
    <row r="59" spans="1:7" x14ac:dyDescent="0.25">
      <c r="A59" s="37">
        <v>44645</v>
      </c>
      <c r="B59" s="38">
        <v>42726.794433593801</v>
      </c>
      <c r="C59" s="39">
        <f t="shared" si="3"/>
        <v>4.8837003495325604E-3</v>
      </c>
      <c r="D59" s="38">
        <f>MAX($B$2:B59)</f>
        <v>44948.645019531301</v>
      </c>
      <c r="E59" s="40">
        <f t="shared" si="0"/>
        <v>-4.943086905004701E-2</v>
      </c>
      <c r="F59" s="41">
        <f t="shared" si="1"/>
        <v>95.056913094995295</v>
      </c>
      <c r="G59" s="42" t="str">
        <f t="shared" si="2"/>
        <v>2022-03</v>
      </c>
    </row>
    <row r="60" spans="1:7" x14ac:dyDescent="0.25">
      <c r="A60" s="31">
        <v>44648</v>
      </c>
      <c r="B60" s="32">
        <v>43030.706787109397</v>
      </c>
      <c r="C60" s="33">
        <f t="shared" si="3"/>
        <v>7.1129219391343756E-3</v>
      </c>
      <c r="D60" s="32">
        <f>MAX($B$2:B60)</f>
        <v>44948.645019531301</v>
      </c>
      <c r="E60" s="34">
        <f t="shared" si="0"/>
        <v>-4.266954502384912E-2</v>
      </c>
      <c r="F60" s="35">
        <f t="shared" si="1"/>
        <v>95.733045497615095</v>
      </c>
      <c r="G60" s="36" t="str">
        <f t="shared" si="2"/>
        <v>2022-03</v>
      </c>
    </row>
    <row r="61" spans="1:7" x14ac:dyDescent="0.25">
      <c r="A61" s="37">
        <v>44649</v>
      </c>
      <c r="B61" s="38">
        <v>43563.034057617202</v>
      </c>
      <c r="C61" s="39">
        <f t="shared" si="3"/>
        <v>1.2370869787044159E-2</v>
      </c>
      <c r="D61" s="38">
        <f>MAX($B$2:B61)</f>
        <v>44948.645019531301</v>
      </c>
      <c r="E61" s="40">
        <f t="shared" si="0"/>
        <v>-3.0826534622167556E-2</v>
      </c>
      <c r="F61" s="41">
        <f t="shared" si="1"/>
        <v>96.917346537783246</v>
      </c>
      <c r="G61" s="42" t="str">
        <f t="shared" si="2"/>
        <v>2022-03</v>
      </c>
    </row>
    <row r="62" spans="1:7" x14ac:dyDescent="0.25">
      <c r="A62" s="31">
        <v>44650</v>
      </c>
      <c r="B62" s="32">
        <v>43294.046020507798</v>
      </c>
      <c r="C62" s="33">
        <f t="shared" si="3"/>
        <v>-6.1746855545836699E-3</v>
      </c>
      <c r="D62" s="32">
        <f>MAX($B$2:B62)</f>
        <v>44948.645019531301</v>
      </c>
      <c r="E62" s="34">
        <f t="shared" si="0"/>
        <v>-3.6810876018721794E-2</v>
      </c>
      <c r="F62" s="35">
        <f t="shared" si="1"/>
        <v>96.318912398127821</v>
      </c>
      <c r="G62" s="36" t="str">
        <f t="shared" si="2"/>
        <v>2022-03</v>
      </c>
    </row>
    <row r="63" spans="1:7" x14ac:dyDescent="0.25">
      <c r="A63" s="37">
        <v>44651</v>
      </c>
      <c r="B63" s="38">
        <v>42627.688598632798</v>
      </c>
      <c r="C63" s="39">
        <f t="shared" si="3"/>
        <v>-1.5391433306079949E-2</v>
      </c>
      <c r="D63" s="38">
        <f>MAX($B$2:B63)</f>
        <v>44948.645019531301</v>
      </c>
      <c r="E63" s="40">
        <f t="shared" si="0"/>
        <v>-5.1635737181621177E-2</v>
      </c>
      <c r="F63" s="41">
        <f t="shared" si="1"/>
        <v>94.836426281837888</v>
      </c>
      <c r="G63" s="42" t="str">
        <f t="shared" si="2"/>
        <v>2022-03</v>
      </c>
    </row>
    <row r="64" spans="1:7" x14ac:dyDescent="0.25">
      <c r="A64" s="31">
        <v>44652</v>
      </c>
      <c r="B64" s="32">
        <v>42748.501586914099</v>
      </c>
      <c r="C64" s="33">
        <f t="shared" si="3"/>
        <v>2.834143540336731E-3</v>
      </c>
      <c r="D64" s="32">
        <f>MAX($B$2:B64)</f>
        <v>44948.645019531301</v>
      </c>
      <c r="E64" s="34">
        <f t="shared" si="0"/>
        <v>-4.8947936732268271E-2</v>
      </c>
      <c r="F64" s="35">
        <f t="shared" si="1"/>
        <v>95.105206326773171</v>
      </c>
      <c r="G64" s="36" t="str">
        <f t="shared" si="2"/>
        <v>2022-04</v>
      </c>
    </row>
    <row r="65" spans="1:7" x14ac:dyDescent="0.25">
      <c r="A65" s="37">
        <v>44655</v>
      </c>
      <c r="B65" s="38">
        <v>43114.706420898401</v>
      </c>
      <c r="C65" s="39">
        <f t="shared" si="3"/>
        <v>8.5664952077852963E-3</v>
      </c>
      <c r="D65" s="38">
        <f>MAX($B$2:B65)</f>
        <v>44948.645019531301</v>
      </c>
      <c r="E65" s="40">
        <f t="shared" si="0"/>
        <v>-4.0800753789930866E-2</v>
      </c>
      <c r="F65" s="41">
        <f t="shared" si="1"/>
        <v>95.919924621006913</v>
      </c>
      <c r="G65" s="42" t="str">
        <f t="shared" si="2"/>
        <v>2022-04</v>
      </c>
    </row>
    <row r="66" spans="1:7" x14ac:dyDescent="0.25">
      <c r="A66" s="31">
        <v>44656</v>
      </c>
      <c r="B66" s="32">
        <v>42570.114135742202</v>
      </c>
      <c r="C66" s="33">
        <f t="shared" si="3"/>
        <v>-1.2631241874633936E-2</v>
      </c>
      <c r="D66" s="32">
        <f>MAX($B$2:B66)</f>
        <v>44948.645019531301</v>
      </c>
      <c r="E66" s="34">
        <f t="shared" ref="E66:E129" si="4">B66/D66-1</f>
        <v>-5.2916631474776765E-2</v>
      </c>
      <c r="F66" s="35">
        <f t="shared" ref="F66:F129" si="5">B66/$B$2*100</f>
        <v>94.708336852522322</v>
      </c>
      <c r="G66" s="36" t="str">
        <f t="shared" ref="G66:G129" si="6">TEXT(A66,"YYYY-MM")</f>
        <v>2022-04</v>
      </c>
    </row>
    <row r="67" spans="1:7" x14ac:dyDescent="0.25">
      <c r="A67" s="37">
        <v>44657</v>
      </c>
      <c r="B67" s="38">
        <v>42144.439697265603</v>
      </c>
      <c r="C67" s="39">
        <f t="shared" ref="C67:C130" si="7">B67/B66-1</f>
        <v>-9.9993727317541081E-3</v>
      </c>
      <c r="D67" s="38">
        <f>MAX($B$2:B67)</f>
        <v>44948.645019531301</v>
      </c>
      <c r="E67" s="40">
        <f t="shared" si="4"/>
        <v>-6.2386871084705642E-2</v>
      </c>
      <c r="F67" s="41">
        <f t="shared" si="5"/>
        <v>93.761312891529442</v>
      </c>
      <c r="G67" s="42" t="str">
        <f t="shared" si="6"/>
        <v>2022-04</v>
      </c>
    </row>
    <row r="68" spans="1:7" x14ac:dyDescent="0.25">
      <c r="A68" s="31">
        <v>44658</v>
      </c>
      <c r="B68" s="32">
        <v>42356.799316406301</v>
      </c>
      <c r="C68" s="33">
        <f t="shared" si="7"/>
        <v>5.0388525904279113E-3</v>
      </c>
      <c r="D68" s="32">
        <f>MAX($B$2:B68)</f>
        <v>44948.645019531301</v>
      </c>
      <c r="E68" s="34">
        <f t="shared" si="4"/>
        <v>-5.7662376741251631E-2</v>
      </c>
      <c r="F68" s="35">
        <f t="shared" si="5"/>
        <v>94.233762325874835</v>
      </c>
      <c r="G68" s="36" t="str">
        <f t="shared" si="6"/>
        <v>2022-04</v>
      </c>
    </row>
    <row r="69" spans="1:7" x14ac:dyDescent="0.25">
      <c r="A69" s="37">
        <v>44659</v>
      </c>
      <c r="B69" s="38">
        <v>42243.551635742202</v>
      </c>
      <c r="C69" s="39">
        <f t="shared" si="7"/>
        <v>-2.6736600142549527E-3</v>
      </c>
      <c r="D69" s="38">
        <f>MAX($B$2:B69)</f>
        <v>44948.645019531301</v>
      </c>
      <c r="E69" s="40">
        <f t="shared" si="4"/>
        <v>-6.0181867164486702E-2</v>
      </c>
      <c r="F69" s="41">
        <f t="shared" si="5"/>
        <v>93.981813283551332</v>
      </c>
      <c r="G69" s="42" t="str">
        <f t="shared" si="6"/>
        <v>2022-04</v>
      </c>
    </row>
    <row r="70" spans="1:7" x14ac:dyDescent="0.25">
      <c r="A70" s="31">
        <v>44662</v>
      </c>
      <c r="B70" s="32">
        <v>41521.5087890625</v>
      </c>
      <c r="C70" s="33">
        <f t="shared" si="7"/>
        <v>-1.7092380226590209E-2</v>
      </c>
      <c r="D70" s="32">
        <f>MAX($B$2:B70)</f>
        <v>44948.645019531301</v>
      </c>
      <c r="E70" s="34">
        <f t="shared" si="4"/>
        <v>-7.6245596034755336E-2</v>
      </c>
      <c r="F70" s="35">
        <f t="shared" si="5"/>
        <v>92.375440396524468</v>
      </c>
      <c r="G70" s="36" t="str">
        <f t="shared" si="6"/>
        <v>2022-04</v>
      </c>
    </row>
    <row r="71" spans="1:7" x14ac:dyDescent="0.25">
      <c r="A71" s="37">
        <v>44663</v>
      </c>
      <c r="B71" s="38">
        <v>41367.654418945298</v>
      </c>
      <c r="C71" s="39">
        <f t="shared" si="7"/>
        <v>-3.7054137627515749E-3</v>
      </c>
      <c r="D71" s="38">
        <f>MAX($B$2:B71)</f>
        <v>44948.645019531301</v>
      </c>
      <c r="E71" s="40">
        <f t="shared" si="4"/>
        <v>-7.9668488316610553E-2</v>
      </c>
      <c r="F71" s="41">
        <f t="shared" si="5"/>
        <v>92.033151168338946</v>
      </c>
      <c r="G71" s="42" t="str">
        <f t="shared" si="6"/>
        <v>2022-04</v>
      </c>
    </row>
    <row r="72" spans="1:7" x14ac:dyDescent="0.25">
      <c r="A72" s="31">
        <v>44664</v>
      </c>
      <c r="B72" s="32">
        <v>41841.470336914099</v>
      </c>
      <c r="C72" s="33">
        <f t="shared" si="7"/>
        <v>1.1453777706859958E-2</v>
      </c>
      <c r="D72" s="32">
        <f>MAX($B$2:B72)</f>
        <v>44948.645019531301</v>
      </c>
      <c r="E72" s="34">
        <f t="shared" si="4"/>
        <v>-6.9127215765170669E-2</v>
      </c>
      <c r="F72" s="35">
        <f t="shared" si="5"/>
        <v>93.087278423482928</v>
      </c>
      <c r="G72" s="36" t="str">
        <f t="shared" si="6"/>
        <v>2022-04</v>
      </c>
    </row>
    <row r="73" spans="1:7" x14ac:dyDescent="0.25">
      <c r="A73" s="37">
        <v>44665</v>
      </c>
      <c r="B73" s="38">
        <v>41320.462036132798</v>
      </c>
      <c r="C73" s="39">
        <f t="shared" si="7"/>
        <v>-1.2451959660739975E-2</v>
      </c>
      <c r="D73" s="38">
        <f>MAX($B$2:B73)</f>
        <v>44948.645019531301</v>
      </c>
      <c r="E73" s="40">
        <f t="shared" si="4"/>
        <v>-8.0718406123743369E-2</v>
      </c>
      <c r="F73" s="41">
        <f t="shared" si="5"/>
        <v>91.928159387625669</v>
      </c>
      <c r="G73" s="42" t="str">
        <f t="shared" si="6"/>
        <v>2022-04</v>
      </c>
    </row>
    <row r="74" spans="1:7" x14ac:dyDescent="0.25">
      <c r="A74" s="31">
        <v>44669</v>
      </c>
      <c r="B74" s="32">
        <v>41337.457275390603</v>
      </c>
      <c r="C74" s="33">
        <f t="shared" si="7"/>
        <v>4.113032241253034E-4</v>
      </c>
      <c r="D74" s="32">
        <f>MAX($B$2:B74)</f>
        <v>44948.645019531301</v>
      </c>
      <c r="E74" s="34">
        <f t="shared" si="4"/>
        <v>-8.0340302640303118E-2</v>
      </c>
      <c r="F74" s="35">
        <f t="shared" si="5"/>
        <v>91.965969735969693</v>
      </c>
      <c r="G74" s="36" t="str">
        <f t="shared" si="6"/>
        <v>2022-04</v>
      </c>
    </row>
    <row r="75" spans="1:7" x14ac:dyDescent="0.25">
      <c r="A75" s="37">
        <v>44670</v>
      </c>
      <c r="B75" s="38">
        <v>42004.748535156301</v>
      </c>
      <c r="C75" s="39">
        <f t="shared" si="7"/>
        <v>1.6142532795865971E-2</v>
      </c>
      <c r="D75" s="38">
        <f>MAX($B$2:B75)</f>
        <v>44948.645019531301</v>
      </c>
      <c r="E75" s="40">
        <f t="shared" si="4"/>
        <v>-6.5494665814638142E-2</v>
      </c>
      <c r="F75" s="41">
        <f t="shared" si="5"/>
        <v>93.450533418536182</v>
      </c>
      <c r="G75" s="42" t="str">
        <f t="shared" si="6"/>
        <v>2022-04</v>
      </c>
    </row>
    <row r="76" spans="1:7" x14ac:dyDescent="0.25">
      <c r="A76" s="31">
        <v>44671</v>
      </c>
      <c r="B76" s="32">
        <v>41973.602294921897</v>
      </c>
      <c r="C76" s="33">
        <f t="shared" si="7"/>
        <v>-7.4149331493644777E-4</v>
      </c>
      <c r="D76" s="32">
        <f>MAX($B$2:B76)</f>
        <v>44948.645019531301</v>
      </c>
      <c r="E76" s="34">
        <f t="shared" si="4"/>
        <v>-6.618759527270901E-2</v>
      </c>
      <c r="F76" s="35">
        <f t="shared" si="5"/>
        <v>93.381240472729104</v>
      </c>
      <c r="G76" s="36" t="str">
        <f t="shared" si="6"/>
        <v>2022-04</v>
      </c>
    </row>
    <row r="77" spans="1:7" x14ac:dyDescent="0.25">
      <c r="A77" s="37">
        <v>44672</v>
      </c>
      <c r="B77" s="38">
        <v>41345.947265625</v>
      </c>
      <c r="C77" s="39">
        <f t="shared" si="7"/>
        <v>-1.4953565931433821E-2</v>
      </c>
      <c r="D77" s="38">
        <f>MAX($B$2:B77)</f>
        <v>44948.645019531301</v>
      </c>
      <c r="E77" s="40">
        <f t="shared" si="4"/>
        <v>-8.0151420634389292E-2</v>
      </c>
      <c r="F77" s="41">
        <f t="shared" si="5"/>
        <v>91.98485793656107</v>
      </c>
      <c r="G77" s="42" t="str">
        <f t="shared" si="6"/>
        <v>2022-04</v>
      </c>
    </row>
    <row r="78" spans="1:7" x14ac:dyDescent="0.25">
      <c r="A78" s="31">
        <v>44673</v>
      </c>
      <c r="B78" s="32">
        <v>40211.4501953125</v>
      </c>
      <c r="C78" s="33">
        <f t="shared" si="7"/>
        <v>-2.7439136005857567E-2</v>
      </c>
      <c r="D78" s="32">
        <f>MAX($B$2:B78)</f>
        <v>44948.645019531301</v>
      </c>
      <c r="E78" s="34">
        <f t="shared" si="4"/>
        <v>-0.10539127090839717</v>
      </c>
      <c r="F78" s="35">
        <f t="shared" si="5"/>
        <v>89.460872909160287</v>
      </c>
      <c r="G78" s="36" t="str">
        <f t="shared" si="6"/>
        <v>2022-04</v>
      </c>
    </row>
    <row r="79" spans="1:7" x14ac:dyDescent="0.25">
      <c r="A79" s="37">
        <v>44676</v>
      </c>
      <c r="B79" s="38">
        <v>40444.583129882798</v>
      </c>
      <c r="C79" s="39">
        <f t="shared" si="7"/>
        <v>5.7976753744999332E-3</v>
      </c>
      <c r="D79" s="38">
        <f>MAX($B$2:B79)</f>
        <v>44948.645019531301</v>
      </c>
      <c r="E79" s="40">
        <f t="shared" si="4"/>
        <v>-0.10020461990993001</v>
      </c>
      <c r="F79" s="41">
        <f t="shared" si="5"/>
        <v>89.979538009007001</v>
      </c>
      <c r="G79" s="42" t="str">
        <f t="shared" si="6"/>
        <v>2022-04</v>
      </c>
    </row>
    <row r="80" spans="1:7" x14ac:dyDescent="0.25">
      <c r="A80" s="31">
        <v>44677</v>
      </c>
      <c r="B80" s="32">
        <v>39273.269653320298</v>
      </c>
      <c r="C80" s="33">
        <f t="shared" si="7"/>
        <v>-2.8960948189303171E-2</v>
      </c>
      <c r="D80" s="32">
        <f>MAX($B$2:B80)</f>
        <v>44948.645019531301</v>
      </c>
      <c r="E80" s="34">
        <f t="shared" si="4"/>
        <v>-0.12626354729369282</v>
      </c>
      <c r="F80" s="35">
        <f t="shared" si="5"/>
        <v>87.373645270630718</v>
      </c>
      <c r="G80" s="36" t="str">
        <f t="shared" si="6"/>
        <v>2022-04</v>
      </c>
    </row>
    <row r="81" spans="1:7" x14ac:dyDescent="0.25">
      <c r="A81" s="37">
        <v>44678</v>
      </c>
      <c r="B81" s="38">
        <v>39383.697509765603</v>
      </c>
      <c r="C81" s="39">
        <f t="shared" si="7"/>
        <v>2.8117815863077933E-3</v>
      </c>
      <c r="D81" s="38">
        <f>MAX($B$2:B81)</f>
        <v>44948.645019531301</v>
      </c>
      <c r="E81" s="40">
        <f t="shared" si="4"/>
        <v>-0.12380679122468741</v>
      </c>
      <c r="F81" s="41">
        <f t="shared" si="5"/>
        <v>87.619320877531266</v>
      </c>
      <c r="G81" s="42" t="str">
        <f t="shared" si="6"/>
        <v>2022-04</v>
      </c>
    </row>
    <row r="82" spans="1:7" x14ac:dyDescent="0.25">
      <c r="A82" s="31">
        <v>44679</v>
      </c>
      <c r="B82" s="32">
        <v>40378.509521484397</v>
      </c>
      <c r="C82" s="33">
        <f t="shared" si="7"/>
        <v>2.5259487417912396E-2</v>
      </c>
      <c r="D82" s="32">
        <f>MAX($B$2:B82)</f>
        <v>44948.645019531301</v>
      </c>
      <c r="E82" s="34">
        <f t="shared" si="4"/>
        <v>-0.10167459989196703</v>
      </c>
      <c r="F82" s="35">
        <f t="shared" si="5"/>
        <v>89.832540010803299</v>
      </c>
      <c r="G82" s="36" t="str">
        <f t="shared" si="6"/>
        <v>2022-04</v>
      </c>
    </row>
    <row r="83" spans="1:7" x14ac:dyDescent="0.25">
      <c r="A83" s="37">
        <v>44680</v>
      </c>
      <c r="B83" s="38">
        <v>38886.294555664099</v>
      </c>
      <c r="C83" s="39">
        <f t="shared" si="7"/>
        <v>-3.6955672299551545E-2</v>
      </c>
      <c r="D83" s="38">
        <f>MAX($B$2:B83)</f>
        <v>44948.645019531301</v>
      </c>
      <c r="E83" s="40">
        <f t="shared" si="4"/>
        <v>-0.1348728189967231</v>
      </c>
      <c r="F83" s="41">
        <f t="shared" si="5"/>
        <v>86.512718100327689</v>
      </c>
      <c r="G83" s="42" t="str">
        <f t="shared" si="6"/>
        <v>2022-04</v>
      </c>
    </row>
    <row r="84" spans="1:7" x14ac:dyDescent="0.25">
      <c r="A84" s="31">
        <v>44683</v>
      </c>
      <c r="B84" s="32">
        <v>39120.373535156301</v>
      </c>
      <c r="C84" s="33">
        <f t="shared" si="7"/>
        <v>6.0195753328240453E-3</v>
      </c>
      <c r="D84" s="32">
        <f>MAX($B$2:B84)</f>
        <v>44948.645019531301</v>
      </c>
      <c r="E84" s="34">
        <f t="shared" si="4"/>
        <v>-0.12966512075820025</v>
      </c>
      <c r="F84" s="35">
        <f t="shared" si="5"/>
        <v>87.03348792417998</v>
      </c>
      <c r="G84" s="36" t="str">
        <f t="shared" si="6"/>
        <v>2022-05</v>
      </c>
    </row>
    <row r="85" spans="1:7" x14ac:dyDescent="0.25">
      <c r="A85" s="37">
        <v>44684</v>
      </c>
      <c r="B85" s="38">
        <v>39299.697875976599</v>
      </c>
      <c r="C85" s="39">
        <f t="shared" si="7"/>
        <v>4.5839117732131562E-3</v>
      </c>
      <c r="D85" s="38">
        <f>MAX($B$2:B85)</f>
        <v>44948.645019531301</v>
      </c>
      <c r="E85" s="40">
        <f t="shared" si="4"/>
        <v>-0.12567558245860566</v>
      </c>
      <c r="F85" s="41">
        <f t="shared" si="5"/>
        <v>87.432441754139433</v>
      </c>
      <c r="G85" s="42" t="str">
        <f t="shared" si="6"/>
        <v>2022-05</v>
      </c>
    </row>
    <row r="86" spans="1:7" x14ac:dyDescent="0.25">
      <c r="A86" s="31">
        <v>44685</v>
      </c>
      <c r="B86" s="32">
        <v>40496.487426757798</v>
      </c>
      <c r="C86" s="33">
        <f t="shared" si="7"/>
        <v>3.0452894435933686E-2</v>
      </c>
      <c r="D86" s="32">
        <f>MAX($B$2:B86)</f>
        <v>44948.645019531301</v>
      </c>
      <c r="E86" s="34">
        <f t="shared" si="4"/>
        <v>-9.9049873268458488E-2</v>
      </c>
      <c r="F86" s="35">
        <f t="shared" si="5"/>
        <v>90.095012673154145</v>
      </c>
      <c r="G86" s="36" t="str">
        <f t="shared" si="6"/>
        <v>2022-05</v>
      </c>
    </row>
    <row r="87" spans="1:7" x14ac:dyDescent="0.25">
      <c r="A87" s="37">
        <v>44686</v>
      </c>
      <c r="B87" s="38">
        <v>39057.125854492202</v>
      </c>
      <c r="C87" s="39">
        <f t="shared" si="7"/>
        <v>-3.5542874548535441E-2</v>
      </c>
      <c r="D87" s="38">
        <f>MAX($B$2:B87)</f>
        <v>44948.645019531301</v>
      </c>
      <c r="E87" s="40">
        <f t="shared" si="4"/>
        <v>-0.13107223059736484</v>
      </c>
      <c r="F87" s="41">
        <f t="shared" si="5"/>
        <v>86.892776940263516</v>
      </c>
      <c r="G87" s="42" t="str">
        <f t="shared" si="6"/>
        <v>2022-05</v>
      </c>
    </row>
    <row r="88" spans="1:7" x14ac:dyDescent="0.25">
      <c r="A88" s="31">
        <v>44687</v>
      </c>
      <c r="B88" s="32">
        <v>38824.002075195298</v>
      </c>
      <c r="C88" s="33">
        <f t="shared" si="7"/>
        <v>-5.9687899249271092E-3</v>
      </c>
      <c r="D88" s="32">
        <f>MAX($B$2:B88)</f>
        <v>44948.645019531301</v>
      </c>
      <c r="E88" s="34">
        <f t="shared" si="4"/>
        <v>-0.13625867791286461</v>
      </c>
      <c r="F88" s="35">
        <f t="shared" si="5"/>
        <v>86.374132208713533</v>
      </c>
      <c r="G88" s="36" t="str">
        <f t="shared" si="6"/>
        <v>2022-05</v>
      </c>
    </row>
    <row r="89" spans="1:7" x14ac:dyDescent="0.25">
      <c r="A89" s="37">
        <v>44690</v>
      </c>
      <c r="B89" s="38">
        <v>37580.95703125</v>
      </c>
      <c r="C89" s="39">
        <f t="shared" si="7"/>
        <v>-3.2017437087957568E-2</v>
      </c>
      <c r="D89" s="38">
        <f>MAX($B$2:B89)</f>
        <v>44948.645019531301</v>
      </c>
      <c r="E89" s="40">
        <f t="shared" si="4"/>
        <v>-0.16391346135305873</v>
      </c>
      <c r="F89" s="41">
        <f t="shared" si="5"/>
        <v>83.608653864694134</v>
      </c>
      <c r="G89" s="42" t="str">
        <f t="shared" si="6"/>
        <v>2022-05</v>
      </c>
    </row>
    <row r="90" spans="1:7" x14ac:dyDescent="0.25">
      <c r="A90" s="31">
        <v>44691</v>
      </c>
      <c r="B90" s="32">
        <v>37667.800903320298</v>
      </c>
      <c r="C90" s="33">
        <f t="shared" si="7"/>
        <v>2.3108478051285797E-3</v>
      </c>
      <c r="D90" s="32">
        <f>MAX($B$2:B90)</f>
        <v>44948.645019531301</v>
      </c>
      <c r="E90" s="34">
        <f t="shared" si="4"/>
        <v>-0.16198139261032884</v>
      </c>
      <c r="F90" s="35">
        <f t="shared" si="5"/>
        <v>83.801860738967122</v>
      </c>
      <c r="G90" s="36" t="str">
        <f t="shared" si="6"/>
        <v>2022-05</v>
      </c>
    </row>
    <row r="91" spans="1:7" x14ac:dyDescent="0.25">
      <c r="A91" s="37">
        <v>44692</v>
      </c>
      <c r="B91" s="38">
        <v>37069.400024414099</v>
      </c>
      <c r="C91" s="39">
        <f t="shared" si="7"/>
        <v>-1.5886270622542553E-2</v>
      </c>
      <c r="D91" s="38">
        <f>MAX($B$2:B91)</f>
        <v>44948.645019531301</v>
      </c>
      <c r="E91" s="40">
        <f t="shared" si="4"/>
        <v>-0.17529438299404743</v>
      </c>
      <c r="F91" s="41">
        <f t="shared" si="5"/>
        <v>82.470561700595255</v>
      </c>
      <c r="G91" s="42" t="str">
        <f t="shared" si="6"/>
        <v>2022-05</v>
      </c>
    </row>
    <row r="92" spans="1:7" x14ac:dyDescent="0.25">
      <c r="A92" s="31">
        <v>44693</v>
      </c>
      <c r="B92" s="32">
        <v>37030.700683593801</v>
      </c>
      <c r="C92" s="33">
        <f t="shared" si="7"/>
        <v>-1.0439699804909441E-3</v>
      </c>
      <c r="D92" s="32">
        <f>MAX($B$2:B92)</f>
        <v>44948.645019531301</v>
      </c>
      <c r="E92" s="34">
        <f t="shared" si="4"/>
        <v>-0.17615535090094392</v>
      </c>
      <c r="F92" s="35">
        <f t="shared" si="5"/>
        <v>82.384464909905603</v>
      </c>
      <c r="G92" s="36" t="str">
        <f t="shared" si="6"/>
        <v>2022-05</v>
      </c>
    </row>
    <row r="93" spans="1:7" x14ac:dyDescent="0.25">
      <c r="A93" s="37">
        <v>44694</v>
      </c>
      <c r="B93" s="38">
        <v>37916.030883789099</v>
      </c>
      <c r="C93" s="39">
        <f t="shared" si="7"/>
        <v>2.3908005623764383E-2</v>
      </c>
      <c r="D93" s="38">
        <f>MAX($B$2:B93)</f>
        <v>44948.645019531301</v>
      </c>
      <c r="E93" s="40">
        <f t="shared" si="4"/>
        <v>-0.15645886839717538</v>
      </c>
      <c r="F93" s="41">
        <f t="shared" si="5"/>
        <v>84.354113160282466</v>
      </c>
      <c r="G93" s="42" t="str">
        <f t="shared" si="6"/>
        <v>2022-05</v>
      </c>
    </row>
    <row r="94" spans="1:7" x14ac:dyDescent="0.25">
      <c r="A94" s="31">
        <v>44697</v>
      </c>
      <c r="B94" s="32">
        <v>37762.176513671897</v>
      </c>
      <c r="C94" s="33">
        <f t="shared" si="7"/>
        <v>-4.057765713630701E-3</v>
      </c>
      <c r="D94" s="32">
        <f>MAX($B$2:B94)</f>
        <v>44948.645019531301</v>
      </c>
      <c r="E94" s="34">
        <f t="shared" si="4"/>
        <v>-0.15988176067903059</v>
      </c>
      <c r="F94" s="35">
        <f t="shared" si="5"/>
        <v>84.011823932096945</v>
      </c>
      <c r="G94" s="36" t="str">
        <f t="shared" si="6"/>
        <v>2022-05</v>
      </c>
    </row>
    <row r="95" spans="1:7" x14ac:dyDescent="0.25">
      <c r="A95" s="37">
        <v>44698</v>
      </c>
      <c r="B95" s="38">
        <v>38538.96484375</v>
      </c>
      <c r="C95" s="39">
        <f t="shared" si="7"/>
        <v>2.0570539142437116E-2</v>
      </c>
      <c r="D95" s="38">
        <f>MAX($B$2:B95)</f>
        <v>44948.645019531301</v>
      </c>
      <c r="E95" s="40">
        <f t="shared" si="4"/>
        <v>-0.1426000755528033</v>
      </c>
      <c r="F95" s="41">
        <f t="shared" si="5"/>
        <v>85.739992444719675</v>
      </c>
      <c r="G95" s="42" t="str">
        <f t="shared" si="6"/>
        <v>2022-05</v>
      </c>
    </row>
    <row r="96" spans="1:7" x14ac:dyDescent="0.25">
      <c r="A96" s="31">
        <v>44699</v>
      </c>
      <c r="B96" s="32">
        <v>36985.394287109397</v>
      </c>
      <c r="C96" s="33">
        <f t="shared" si="7"/>
        <v>-4.0311683589305147E-2</v>
      </c>
      <c r="D96" s="32">
        <f>MAX($B$2:B96)</f>
        <v>44948.645019531301</v>
      </c>
      <c r="E96" s="34">
        <f t="shared" si="4"/>
        <v>-0.17716331001661278</v>
      </c>
      <c r="F96" s="35">
        <f t="shared" si="5"/>
        <v>82.283668998338726</v>
      </c>
      <c r="G96" s="36" t="str">
        <f t="shared" si="6"/>
        <v>2022-05</v>
      </c>
    </row>
    <row r="97" spans="1:7" x14ac:dyDescent="0.25">
      <c r="A97" s="37">
        <v>44700</v>
      </c>
      <c r="B97" s="38">
        <v>36758.877563476599</v>
      </c>
      <c r="C97" s="39">
        <f t="shared" si="7"/>
        <v>-6.124491248475028E-3</v>
      </c>
      <c r="D97" s="38">
        <f>MAX($B$2:B97)</f>
        <v>44948.645019531301</v>
      </c>
      <c r="E97" s="40">
        <f t="shared" si="4"/>
        <v>-0.18220276612334019</v>
      </c>
      <c r="F97" s="41">
        <f t="shared" si="5"/>
        <v>81.779723387665982</v>
      </c>
      <c r="G97" s="42" t="str">
        <f t="shared" si="6"/>
        <v>2022-05</v>
      </c>
    </row>
    <row r="98" spans="1:7" x14ac:dyDescent="0.25">
      <c r="A98" s="31">
        <v>44701</v>
      </c>
      <c r="B98" s="32">
        <v>36774.9267578125</v>
      </c>
      <c r="C98" s="33">
        <f t="shared" si="7"/>
        <v>4.3660730141148463E-4</v>
      </c>
      <c r="D98" s="32">
        <f>MAX($B$2:B98)</f>
        <v>44948.645019531301</v>
      </c>
      <c r="E98" s="34">
        <f t="shared" si="4"/>
        <v>-0.18184570987995563</v>
      </c>
      <c r="F98" s="35">
        <f t="shared" si="5"/>
        <v>81.815429012004444</v>
      </c>
      <c r="G98" s="36" t="str">
        <f t="shared" si="6"/>
        <v>2022-05</v>
      </c>
    </row>
    <row r="99" spans="1:7" x14ac:dyDescent="0.25">
      <c r="A99" s="37">
        <v>44704</v>
      </c>
      <c r="B99" s="38">
        <v>37462.976074218801</v>
      </c>
      <c r="C99" s="39">
        <f t="shared" si="7"/>
        <v>1.8709739952374793E-2</v>
      </c>
      <c r="D99" s="38">
        <f>MAX($B$2:B99)</f>
        <v>44948.645019531301</v>
      </c>
      <c r="E99" s="40">
        <f t="shared" si="4"/>
        <v>-0.16653825587088977</v>
      </c>
      <c r="F99" s="41">
        <f t="shared" si="5"/>
        <v>83.346174412911026</v>
      </c>
      <c r="G99" s="42" t="str">
        <f t="shared" si="6"/>
        <v>2022-05</v>
      </c>
    </row>
    <row r="100" spans="1:7" x14ac:dyDescent="0.25">
      <c r="A100" s="31">
        <v>44705</v>
      </c>
      <c r="B100" s="32">
        <v>37177.001953125</v>
      </c>
      <c r="C100" s="33">
        <f t="shared" si="7"/>
        <v>-7.633513165832051E-3</v>
      </c>
      <c r="D100" s="32">
        <f>MAX($B$2:B100)</f>
        <v>44948.645019531301</v>
      </c>
      <c r="E100" s="34">
        <f t="shared" si="4"/>
        <v>-0.17290049706791677</v>
      </c>
      <c r="F100" s="35">
        <f t="shared" si="5"/>
        <v>82.709950293208323</v>
      </c>
      <c r="G100" s="36" t="str">
        <f t="shared" si="6"/>
        <v>2022-05</v>
      </c>
    </row>
    <row r="101" spans="1:7" x14ac:dyDescent="0.25">
      <c r="A101" s="37">
        <v>44706</v>
      </c>
      <c r="B101" s="38">
        <v>37505.456542968801</v>
      </c>
      <c r="C101" s="39">
        <f t="shared" si="7"/>
        <v>8.8348864240836988E-3</v>
      </c>
      <c r="D101" s="38">
        <f>MAX($B$2:B101)</f>
        <v>44948.645019531301</v>
      </c>
      <c r="E101" s="40">
        <f t="shared" si="4"/>
        <v>-0.16559316689809556</v>
      </c>
      <c r="F101" s="41">
        <f t="shared" si="5"/>
        <v>83.440683310190451</v>
      </c>
      <c r="G101" s="42" t="str">
        <f t="shared" si="6"/>
        <v>2022-05</v>
      </c>
    </row>
    <row r="102" spans="1:7" x14ac:dyDescent="0.25">
      <c r="A102" s="31">
        <v>44707</v>
      </c>
      <c r="B102" s="32">
        <v>38254.861450195298</v>
      </c>
      <c r="C102" s="33">
        <f t="shared" si="7"/>
        <v>1.9981223435260098E-2</v>
      </c>
      <c r="D102" s="32">
        <f>MAX($B$2:B102)</f>
        <v>44948.645019531301</v>
      </c>
      <c r="E102" s="34">
        <f t="shared" si="4"/>
        <v>-0.14892069752997872</v>
      </c>
      <c r="F102" s="35">
        <f t="shared" si="5"/>
        <v>85.10793024700213</v>
      </c>
      <c r="G102" s="36" t="str">
        <f t="shared" si="6"/>
        <v>2022-05</v>
      </c>
    </row>
    <row r="103" spans="1:7" x14ac:dyDescent="0.25">
      <c r="A103" s="37">
        <v>44708</v>
      </c>
      <c r="B103" s="38">
        <v>39193.991088867202</v>
      </c>
      <c r="C103" s="39">
        <f t="shared" si="7"/>
        <v>2.4549288719672324E-2</v>
      </c>
      <c r="D103" s="38">
        <f>MAX($B$2:B103)</f>
        <v>44948.645019531301</v>
      </c>
      <c r="E103" s="40">
        <f t="shared" si="4"/>
        <v>-0.12802730601030488</v>
      </c>
      <c r="F103" s="41">
        <f t="shared" si="5"/>
        <v>87.19726939896951</v>
      </c>
      <c r="G103" s="42" t="str">
        <f t="shared" si="6"/>
        <v>2022-05</v>
      </c>
    </row>
    <row r="104" spans="1:7" x14ac:dyDescent="0.25">
      <c r="A104" s="31">
        <v>44712</v>
      </c>
      <c r="B104" s="32">
        <v>38974.075317382798</v>
      </c>
      <c r="C104" s="33">
        <f t="shared" si="7"/>
        <v>-5.6109563066892854E-3</v>
      </c>
      <c r="D104" s="32">
        <f>MAX($B$2:B104)</f>
        <v>44948.645019531301</v>
      </c>
      <c r="E104" s="34">
        <f t="shared" si="4"/>
        <v>-0.13291990669690723</v>
      </c>
      <c r="F104" s="35">
        <f t="shared" si="5"/>
        <v>86.708009330309281</v>
      </c>
      <c r="G104" s="36" t="str">
        <f t="shared" si="6"/>
        <v>2022-05</v>
      </c>
    </row>
    <row r="105" spans="1:7" x14ac:dyDescent="0.25">
      <c r="A105" s="37">
        <v>44713</v>
      </c>
      <c r="B105" s="38">
        <v>38658.831787109397</v>
      </c>
      <c r="C105" s="39">
        <f t="shared" si="7"/>
        <v>-8.0885441849802842E-3</v>
      </c>
      <c r="D105" s="38">
        <f>MAX($B$2:B105)</f>
        <v>44948.645019531301</v>
      </c>
      <c r="E105" s="40">
        <f t="shared" si="4"/>
        <v>-0.13993332234350608</v>
      </c>
      <c r="F105" s="41">
        <f t="shared" si="5"/>
        <v>86.006667765649397</v>
      </c>
      <c r="G105" s="42" t="str">
        <f t="shared" si="6"/>
        <v>2022-06</v>
      </c>
    </row>
    <row r="106" spans="1:7" x14ac:dyDescent="0.25">
      <c r="A106" s="31">
        <v>44714</v>
      </c>
      <c r="B106" s="32">
        <v>39395.028686523401</v>
      </c>
      <c r="C106" s="33">
        <f t="shared" si="7"/>
        <v>1.9043433683360478E-2</v>
      </c>
      <c r="D106" s="32">
        <f>MAX($B$2:B106)</f>
        <v>44948.645019531301</v>
      </c>
      <c r="E106" s="34">
        <f t="shared" si="4"/>
        <v>-0.12355469960428656</v>
      </c>
      <c r="F106" s="35">
        <f t="shared" si="5"/>
        <v>87.64453003957135</v>
      </c>
      <c r="G106" s="36" t="str">
        <f t="shared" si="6"/>
        <v>2022-06</v>
      </c>
    </row>
    <row r="107" spans="1:7" x14ac:dyDescent="0.25">
      <c r="A107" s="37">
        <v>44715</v>
      </c>
      <c r="B107" s="38">
        <v>38748.498535156301</v>
      </c>
      <c r="C107" s="39">
        <f t="shared" si="7"/>
        <v>-1.641146542909544E-2</v>
      </c>
      <c r="D107" s="38">
        <f>MAX($B$2:B107)</f>
        <v>44948.645019531301</v>
      </c>
      <c r="E107" s="40">
        <f t="shared" si="4"/>
        <v>-0.13793845135222393</v>
      </c>
      <c r="F107" s="41">
        <f t="shared" si="5"/>
        <v>86.206154864777602</v>
      </c>
      <c r="G107" s="42" t="str">
        <f t="shared" si="6"/>
        <v>2022-06</v>
      </c>
    </row>
    <row r="108" spans="1:7" x14ac:dyDescent="0.25">
      <c r="A108" s="31">
        <v>44718</v>
      </c>
      <c r="B108" s="32">
        <v>38866.4794921875</v>
      </c>
      <c r="C108" s="33">
        <f t="shared" si="7"/>
        <v>3.0447878367250159E-3</v>
      </c>
      <c r="D108" s="32">
        <f>MAX($B$2:B108)</f>
        <v>44948.645019531301</v>
      </c>
      <c r="E108" s="34">
        <f t="shared" si="4"/>
        <v>-0.13531365683439289</v>
      </c>
      <c r="F108" s="35">
        <f t="shared" si="5"/>
        <v>86.46863431656071</v>
      </c>
      <c r="G108" s="36" t="str">
        <f t="shared" si="6"/>
        <v>2022-06</v>
      </c>
    </row>
    <row r="109" spans="1:7" x14ac:dyDescent="0.25">
      <c r="A109" s="37">
        <v>44719</v>
      </c>
      <c r="B109" s="38">
        <v>39239.297485351599</v>
      </c>
      <c r="C109" s="39">
        <f t="shared" si="7"/>
        <v>9.5922758643225414E-3</v>
      </c>
      <c r="D109" s="38">
        <f>MAX($B$2:B109)</f>
        <v>44948.645019531301</v>
      </c>
      <c r="E109" s="40">
        <f t="shared" si="4"/>
        <v>-0.12701934689463612</v>
      </c>
      <c r="F109" s="41">
        <f t="shared" si="5"/>
        <v>87.298065310536387</v>
      </c>
      <c r="G109" s="42" t="str">
        <f t="shared" si="6"/>
        <v>2022-06</v>
      </c>
    </row>
    <row r="110" spans="1:7" x14ac:dyDescent="0.25">
      <c r="A110" s="31">
        <v>44720</v>
      </c>
      <c r="B110" s="32">
        <v>38812.680053710901</v>
      </c>
      <c r="C110" s="33">
        <f t="shared" si="7"/>
        <v>-1.0872198509669029E-2</v>
      </c>
      <c r="D110" s="32">
        <f>MAX($B$2:B110)</f>
        <v>44948.645019531301</v>
      </c>
      <c r="E110" s="34">
        <f t="shared" si="4"/>
        <v>-0.13651056585029808</v>
      </c>
      <c r="F110" s="35">
        <f t="shared" si="5"/>
        <v>86.348943414970194</v>
      </c>
      <c r="G110" s="36" t="str">
        <f t="shared" si="6"/>
        <v>2022-06</v>
      </c>
    </row>
    <row r="111" spans="1:7" x14ac:dyDescent="0.25">
      <c r="A111" s="37">
        <v>44721</v>
      </c>
      <c r="B111" s="38">
        <v>37889.599609375</v>
      </c>
      <c r="C111" s="39">
        <f t="shared" si="7"/>
        <v>-2.3782960698887523E-2</v>
      </c>
      <c r="D111" s="38">
        <f>MAX($B$2:B111)</f>
        <v>44948.645019531301</v>
      </c>
      <c r="E111" s="40">
        <f t="shared" si="4"/>
        <v>-0.15704690112658504</v>
      </c>
      <c r="F111" s="41">
        <f t="shared" si="5"/>
        <v>84.295309887341503</v>
      </c>
      <c r="G111" s="42" t="str">
        <f t="shared" si="6"/>
        <v>2022-06</v>
      </c>
    </row>
    <row r="112" spans="1:7" x14ac:dyDescent="0.25">
      <c r="A112" s="31">
        <v>44722</v>
      </c>
      <c r="B112" s="32">
        <v>36790.969848632798</v>
      </c>
      <c r="C112" s="33">
        <f t="shared" si="7"/>
        <v>-2.8995549492963457E-2</v>
      </c>
      <c r="D112" s="32">
        <f>MAX($B$2:B112)</f>
        <v>44948.645019531301</v>
      </c>
      <c r="E112" s="34">
        <f t="shared" si="4"/>
        <v>-0.18148878942521607</v>
      </c>
      <c r="F112" s="35">
        <f t="shared" si="5"/>
        <v>81.851121057478395</v>
      </c>
      <c r="G112" s="36" t="str">
        <f t="shared" si="6"/>
        <v>2022-06</v>
      </c>
    </row>
    <row r="113" spans="1:7" x14ac:dyDescent="0.25">
      <c r="A113" s="37">
        <v>44725</v>
      </c>
      <c r="B113" s="38">
        <v>35394.082641601599</v>
      </c>
      <c r="C113" s="39">
        <f t="shared" si="7"/>
        <v>-3.7968208307047613E-2</v>
      </c>
      <c r="D113" s="38">
        <f>MAX($B$2:B113)</f>
        <v>44948.645019531301</v>
      </c>
      <c r="E113" s="40">
        <f t="shared" si="4"/>
        <v>-0.21256619356997319</v>
      </c>
      <c r="F113" s="41">
        <f t="shared" si="5"/>
        <v>78.743380643002681</v>
      </c>
      <c r="G113" s="42" t="str">
        <f t="shared" si="6"/>
        <v>2022-06</v>
      </c>
    </row>
    <row r="114" spans="1:7" x14ac:dyDescent="0.25">
      <c r="A114" s="31">
        <v>44726</v>
      </c>
      <c r="B114" s="32">
        <v>35287.4267578125</v>
      </c>
      <c r="C114" s="33">
        <f t="shared" si="7"/>
        <v>-3.0133817810477082E-3</v>
      </c>
      <c r="D114" s="32">
        <f>MAX($B$2:B114)</f>
        <v>44948.645019531301</v>
      </c>
      <c r="E114" s="34">
        <f t="shared" si="4"/>
        <v>-0.21493903225605049</v>
      </c>
      <c r="F114" s="35">
        <f t="shared" si="5"/>
        <v>78.506096774394948</v>
      </c>
      <c r="G114" s="36" t="str">
        <f t="shared" si="6"/>
        <v>2022-06</v>
      </c>
    </row>
    <row r="115" spans="1:7" x14ac:dyDescent="0.25">
      <c r="A115" s="37">
        <v>44727</v>
      </c>
      <c r="B115" s="38">
        <v>35790.499877929702</v>
      </c>
      <c r="C115" s="39">
        <f t="shared" si="7"/>
        <v>1.4256441070921166E-2</v>
      </c>
      <c r="D115" s="38">
        <f>MAX($B$2:B115)</f>
        <v>44948.645019531301</v>
      </c>
      <c r="E115" s="40">
        <f t="shared" si="4"/>
        <v>-0.20374685683232852</v>
      </c>
      <c r="F115" s="41">
        <f t="shared" si="5"/>
        <v>79.625314316767145</v>
      </c>
      <c r="G115" s="42" t="str">
        <f t="shared" si="6"/>
        <v>2022-06</v>
      </c>
    </row>
    <row r="116" spans="1:7" x14ac:dyDescent="0.25">
      <c r="A116" s="31">
        <v>44728</v>
      </c>
      <c r="B116" s="32">
        <v>34605.972290039099</v>
      </c>
      <c r="C116" s="33">
        <f t="shared" si="7"/>
        <v>-3.3096145399775345E-2</v>
      </c>
      <c r="D116" s="32">
        <f>MAX($B$2:B116)</f>
        <v>44948.645019531301</v>
      </c>
      <c r="E116" s="34">
        <f t="shared" si="4"/>
        <v>-0.23009976663363385</v>
      </c>
      <c r="F116" s="35">
        <f t="shared" si="5"/>
        <v>76.990023336636611</v>
      </c>
      <c r="G116" s="36" t="str">
        <f t="shared" si="6"/>
        <v>2022-06</v>
      </c>
    </row>
    <row r="117" spans="1:7" x14ac:dyDescent="0.25">
      <c r="A117" s="37">
        <v>44729</v>
      </c>
      <c r="B117" s="38">
        <v>34680.572509765603</v>
      </c>
      <c r="C117" s="39">
        <f t="shared" si="7"/>
        <v>2.1557036196315771E-3</v>
      </c>
      <c r="D117" s="38">
        <f>MAX($B$2:B117)</f>
        <v>44948.645019531301</v>
      </c>
      <c r="E117" s="40">
        <f t="shared" si="4"/>
        <v>-0.22844008991381093</v>
      </c>
      <c r="F117" s="41">
        <f t="shared" si="5"/>
        <v>77.155991008618912</v>
      </c>
      <c r="G117" s="42" t="str">
        <f t="shared" si="6"/>
        <v>2022-06</v>
      </c>
    </row>
    <row r="118" spans="1:7" x14ac:dyDescent="0.25">
      <c r="A118" s="31">
        <v>44733</v>
      </c>
      <c r="B118" s="32">
        <v>35553.604125976599</v>
      </c>
      <c r="C118" s="33">
        <f t="shared" si="7"/>
        <v>2.5173506462880857E-2</v>
      </c>
      <c r="D118" s="32">
        <f>MAX($B$2:B118)</f>
        <v>44948.645019531301</v>
      </c>
      <c r="E118" s="34">
        <f t="shared" si="4"/>
        <v>-0.2090172215307563</v>
      </c>
      <c r="F118" s="35">
        <f t="shared" si="5"/>
        <v>79.098277846924375</v>
      </c>
      <c r="G118" s="36" t="str">
        <f t="shared" si="6"/>
        <v>2022-06</v>
      </c>
    </row>
    <row r="119" spans="1:7" x14ac:dyDescent="0.25">
      <c r="A119" s="37">
        <v>44734</v>
      </c>
      <c r="B119" s="38">
        <v>35489.151000976599</v>
      </c>
      <c r="C119" s="39">
        <f t="shared" si="7"/>
        <v>-1.8128436366570133E-3</v>
      </c>
      <c r="D119" s="38">
        <f>MAX($B$2:B119)</f>
        <v>44948.645019531301</v>
      </c>
      <c r="E119" s="40">
        <f t="shared" si="4"/>
        <v>-0.21045114962740963</v>
      </c>
      <c r="F119" s="41">
        <f t="shared" si="5"/>
        <v>78.954885037259032</v>
      </c>
      <c r="G119" s="42" t="str">
        <f t="shared" si="6"/>
        <v>2022-06</v>
      </c>
    </row>
    <row r="120" spans="1:7" x14ac:dyDescent="0.25">
      <c r="A120" s="31">
        <v>44735</v>
      </c>
      <c r="B120" s="32">
        <v>35837.033081054702</v>
      </c>
      <c r="C120" s="33">
        <f t="shared" si="7"/>
        <v>9.8024909096452451E-3</v>
      </c>
      <c r="D120" s="32">
        <f>MAX($B$2:B120)</f>
        <v>44948.645019531301</v>
      </c>
      <c r="E120" s="34">
        <f t="shared" si="4"/>
        <v>-0.20271160419891143</v>
      </c>
      <c r="F120" s="35">
        <f t="shared" si="5"/>
        <v>79.728839580108854</v>
      </c>
      <c r="G120" s="36" t="str">
        <f t="shared" si="6"/>
        <v>2022-06</v>
      </c>
    </row>
    <row r="121" spans="1:7" x14ac:dyDescent="0.25">
      <c r="A121" s="37">
        <v>44736</v>
      </c>
      <c r="B121" s="38">
        <v>36976.434326171897</v>
      </c>
      <c r="C121" s="39">
        <f t="shared" si="7"/>
        <v>3.179396136226309E-2</v>
      </c>
      <c r="D121" s="38">
        <f>MAX($B$2:B121)</f>
        <v>44948.645019531301</v>
      </c>
      <c r="E121" s="40">
        <f t="shared" si="4"/>
        <v>-0.17736264774823096</v>
      </c>
      <c r="F121" s="41">
        <f t="shared" si="5"/>
        <v>82.263735225176902</v>
      </c>
      <c r="G121" s="42" t="str">
        <f t="shared" si="6"/>
        <v>2022-06</v>
      </c>
    </row>
    <row r="122" spans="1:7" x14ac:dyDescent="0.25">
      <c r="A122" s="31">
        <v>44739</v>
      </c>
      <c r="B122" s="32">
        <v>36835.192871093801</v>
      </c>
      <c r="C122" s="33">
        <f t="shared" si="7"/>
        <v>-3.8197694735029319E-3</v>
      </c>
      <c r="D122" s="32">
        <f>MAX($B$2:B122)</f>
        <v>44948.645019531301</v>
      </c>
      <c r="E122" s="34">
        <f t="shared" si="4"/>
        <v>-0.18050493279412549</v>
      </c>
      <c r="F122" s="35">
        <f t="shared" si="5"/>
        <v>81.949506720587451</v>
      </c>
      <c r="G122" s="36" t="str">
        <f t="shared" si="6"/>
        <v>2022-06</v>
      </c>
    </row>
    <row r="123" spans="1:7" x14ac:dyDescent="0.25">
      <c r="A123" s="37">
        <v>44740</v>
      </c>
      <c r="B123" s="38">
        <v>36082.546997070298</v>
      </c>
      <c r="C123" s="39">
        <f t="shared" si="7"/>
        <v>-2.0432793080720879E-2</v>
      </c>
      <c r="D123" s="38">
        <f>MAX($B$2:B123)</f>
        <v>44948.645019531301</v>
      </c>
      <c r="E123" s="40">
        <f t="shared" si="4"/>
        <v>-0.19724950593301449</v>
      </c>
      <c r="F123" s="41">
        <f t="shared" si="5"/>
        <v>80.275049406698557</v>
      </c>
      <c r="G123" s="42" t="str">
        <f t="shared" si="6"/>
        <v>2022-06</v>
      </c>
    </row>
    <row r="124" spans="1:7" x14ac:dyDescent="0.25">
      <c r="A124" s="31">
        <v>44741</v>
      </c>
      <c r="B124" s="32">
        <v>36053.164672851599</v>
      </c>
      <c r="C124" s="33">
        <f t="shared" si="7"/>
        <v>-8.1430848606900419E-4</v>
      </c>
      <c r="D124" s="32">
        <f>MAX($B$2:B124)</f>
        <v>44948.645019531301</v>
      </c>
      <c r="E124" s="34">
        <f t="shared" si="4"/>
        <v>-0.19790319247252941</v>
      </c>
      <c r="F124" s="35">
        <f t="shared" si="5"/>
        <v>80.209680752747062</v>
      </c>
      <c r="G124" s="36" t="str">
        <f t="shared" si="6"/>
        <v>2022-06</v>
      </c>
    </row>
    <row r="125" spans="1:7" x14ac:dyDescent="0.25">
      <c r="A125" s="37">
        <v>44742</v>
      </c>
      <c r="B125" s="38">
        <v>35760.25390625</v>
      </c>
      <c r="C125" s="39">
        <f t="shared" si="7"/>
        <v>-8.1244120803121156E-3</v>
      </c>
      <c r="D125" s="38">
        <f>MAX($B$2:B125)</f>
        <v>44948.645019531301</v>
      </c>
      <c r="E125" s="40">
        <f t="shared" si="4"/>
        <v>-0.20441975746518537</v>
      </c>
      <c r="F125" s="41">
        <f t="shared" si="5"/>
        <v>79.558024253481463</v>
      </c>
      <c r="G125" s="42" t="str">
        <f t="shared" si="6"/>
        <v>2022-06</v>
      </c>
    </row>
    <row r="126" spans="1:7" x14ac:dyDescent="0.25">
      <c r="A126" s="31">
        <v>44743</v>
      </c>
      <c r="B126" s="32">
        <v>36138.473510742202</v>
      </c>
      <c r="C126" s="33">
        <f t="shared" si="7"/>
        <v>1.0576535767440332E-2</v>
      </c>
      <c r="D126" s="32">
        <f>MAX($B$2:B126)</f>
        <v>44948.645019531301</v>
      </c>
      <c r="E126" s="34">
        <f t="shared" si="4"/>
        <v>-0.19600527457414707</v>
      </c>
      <c r="F126" s="35">
        <f t="shared" si="5"/>
        <v>80.399472542585286</v>
      </c>
      <c r="G126" s="36" t="str">
        <f t="shared" si="6"/>
        <v>2022-07</v>
      </c>
    </row>
    <row r="127" spans="1:7" x14ac:dyDescent="0.25">
      <c r="A127" s="37">
        <v>44747</v>
      </c>
      <c r="B127" s="38">
        <v>36206.716918945298</v>
      </c>
      <c r="C127" s="39">
        <f t="shared" si="7"/>
        <v>1.8883865745689121E-3</v>
      </c>
      <c r="D127" s="38">
        <f>MAX($B$2:B127)</f>
        <v>44948.645019531301</v>
      </c>
      <c r="E127" s="40">
        <f t="shared" si="4"/>
        <v>-0.19448702172862875</v>
      </c>
      <c r="F127" s="41">
        <f t="shared" si="5"/>
        <v>80.55129782713712</v>
      </c>
      <c r="G127" s="42" t="str">
        <f t="shared" si="6"/>
        <v>2022-07</v>
      </c>
    </row>
    <row r="128" spans="1:7" x14ac:dyDescent="0.25">
      <c r="A128" s="31">
        <v>44748</v>
      </c>
      <c r="B128" s="32">
        <v>36329.00390625</v>
      </c>
      <c r="C128" s="33">
        <f t="shared" si="7"/>
        <v>3.377466882138469E-3</v>
      </c>
      <c r="D128" s="32">
        <f>MAX($B$2:B128)</f>
        <v>44948.645019531301</v>
      </c>
      <c r="E128" s="34">
        <f t="shared" si="4"/>
        <v>-0.19176642832138435</v>
      </c>
      <c r="F128" s="35">
        <f t="shared" si="5"/>
        <v>80.823357167861559</v>
      </c>
      <c r="G128" s="36" t="str">
        <f t="shared" si="6"/>
        <v>2022-07</v>
      </c>
    </row>
    <row r="129" spans="1:7" x14ac:dyDescent="0.25">
      <c r="A129" s="37">
        <v>44749</v>
      </c>
      <c r="B129" s="38">
        <v>36873.114013671897</v>
      </c>
      <c r="C129" s="39">
        <f t="shared" si="7"/>
        <v>1.4977292216049154E-2</v>
      </c>
      <c r="D129" s="38">
        <f>MAX($B$2:B129)</f>
        <v>44948.645019531301</v>
      </c>
      <c r="E129" s="40">
        <f t="shared" si="4"/>
        <v>-0.17966127793953268</v>
      </c>
      <c r="F129" s="41">
        <f t="shared" si="5"/>
        <v>82.033872206046738</v>
      </c>
      <c r="G129" s="42" t="str">
        <f t="shared" si="6"/>
        <v>2022-07</v>
      </c>
    </row>
    <row r="130" spans="1:7" x14ac:dyDescent="0.25">
      <c r="A130" s="31">
        <v>44750</v>
      </c>
      <c r="B130" s="32">
        <v>36842.785644531301</v>
      </c>
      <c r="C130" s="33">
        <f t="shared" si="7"/>
        <v>-8.2250631528846263E-4</v>
      </c>
      <c r="D130" s="32">
        <f>MAX($B$2:B130)</f>
        <v>44948.645019531301</v>
      </c>
      <c r="E130" s="34">
        <f t="shared" ref="E130:E193" si="8">B130/D130-1</f>
        <v>-0.18033601171910307</v>
      </c>
      <c r="F130" s="35">
        <f t="shared" ref="F130:F193" si="9">B130/$B$2*100</f>
        <v>81.966398828089694</v>
      </c>
      <c r="G130" s="36" t="str">
        <f t="shared" ref="G130:G193" si="10">TEXT(A130,"YYYY-MM")</f>
        <v>2022-07</v>
      </c>
    </row>
    <row r="131" spans="1:7" x14ac:dyDescent="0.25">
      <c r="A131" s="37">
        <v>44753</v>
      </c>
      <c r="B131" s="38">
        <v>36421.905517578103</v>
      </c>
      <c r="C131" s="39">
        <f t="shared" ref="C131:C194" si="11">B131/B130-1</f>
        <v>-1.1423678193444919E-2</v>
      </c>
      <c r="D131" s="38">
        <f>MAX($B$2:B131)</f>
        <v>44948.645019531301</v>
      </c>
      <c r="E131" s="40">
        <f t="shared" si="8"/>
        <v>-0.18969958934797959</v>
      </c>
      <c r="F131" s="41">
        <f t="shared" si="9"/>
        <v>81.030041065202042</v>
      </c>
      <c r="G131" s="42" t="str">
        <f t="shared" si="10"/>
        <v>2022-07</v>
      </c>
    </row>
    <row r="132" spans="1:7" x14ac:dyDescent="0.25">
      <c r="A132" s="31">
        <v>44754</v>
      </c>
      <c r="B132" s="32">
        <v>36099.603271484397</v>
      </c>
      <c r="C132" s="33">
        <f t="shared" si="11"/>
        <v>-8.8491319032760751E-3</v>
      </c>
      <c r="D132" s="32">
        <f>MAX($B$2:B132)</f>
        <v>44948.645019531301</v>
      </c>
      <c r="E132" s="34">
        <f t="shared" si="8"/>
        <v>-0.19687004456311807</v>
      </c>
      <c r="F132" s="35">
        <f t="shared" si="9"/>
        <v>80.312995543688189</v>
      </c>
      <c r="G132" s="36" t="str">
        <f t="shared" si="10"/>
        <v>2022-07</v>
      </c>
    </row>
    <row r="133" spans="1:7" x14ac:dyDescent="0.25">
      <c r="A133" s="37">
        <v>44755</v>
      </c>
      <c r="B133" s="38">
        <v>35910.028076171897</v>
      </c>
      <c r="C133" s="39">
        <f t="shared" si="11"/>
        <v>-5.2514481637599975E-3</v>
      </c>
      <c r="D133" s="38">
        <f>MAX($B$2:B133)</f>
        <v>44948.645019531301</v>
      </c>
      <c r="E133" s="40">
        <f t="shared" si="8"/>
        <v>-0.20108763989285772</v>
      </c>
      <c r="F133" s="41">
        <f t="shared" si="9"/>
        <v>79.891236010714223</v>
      </c>
      <c r="G133" s="42" t="str">
        <f t="shared" si="10"/>
        <v>2022-07</v>
      </c>
    </row>
    <row r="134" spans="1:7" x14ac:dyDescent="0.25">
      <c r="A134" s="31">
        <v>44756</v>
      </c>
      <c r="B134" s="32">
        <v>35822.817993164099</v>
      </c>
      <c r="C134" s="33">
        <f t="shared" si="11"/>
        <v>-2.4285718413477042E-3</v>
      </c>
      <c r="D134" s="32">
        <f>MAX($B$2:B134)</f>
        <v>44948.645019531301</v>
      </c>
      <c r="E134" s="34">
        <f t="shared" si="8"/>
        <v>-0.2030278559543186</v>
      </c>
      <c r="F134" s="35">
        <f t="shared" si="9"/>
        <v>79.697214404568143</v>
      </c>
      <c r="G134" s="36" t="str">
        <f t="shared" si="10"/>
        <v>2022-07</v>
      </c>
    </row>
    <row r="135" spans="1:7" x14ac:dyDescent="0.25">
      <c r="A135" s="37">
        <v>44757</v>
      </c>
      <c r="B135" s="38">
        <v>36507.214355468801</v>
      </c>
      <c r="C135" s="39">
        <f t="shared" si="11"/>
        <v>1.9105039766422083E-2</v>
      </c>
      <c r="D135" s="38">
        <f>MAX($B$2:B135)</f>
        <v>44948.645019531301</v>
      </c>
      <c r="E135" s="40">
        <f t="shared" si="8"/>
        <v>-0.18780167144959514</v>
      </c>
      <c r="F135" s="41">
        <f t="shared" si="9"/>
        <v>81.21983285504048</v>
      </c>
      <c r="G135" s="42" t="str">
        <f t="shared" si="10"/>
        <v>2022-07</v>
      </c>
    </row>
    <row r="136" spans="1:7" x14ac:dyDescent="0.25">
      <c r="A136" s="31">
        <v>44760</v>
      </c>
      <c r="B136" s="32">
        <v>36205.776977539099</v>
      </c>
      <c r="C136" s="33">
        <f t="shared" si="11"/>
        <v>-8.2569262884486516E-3</v>
      </c>
      <c r="D136" s="32">
        <f>MAX($B$2:B136)</f>
        <v>44948.645019531301</v>
      </c>
      <c r="E136" s="34">
        <f t="shared" si="8"/>
        <v>-0.19450793318003712</v>
      </c>
      <c r="F136" s="35">
        <f t="shared" si="9"/>
        <v>80.549206681996282</v>
      </c>
      <c r="G136" s="36" t="str">
        <f t="shared" si="10"/>
        <v>2022-07</v>
      </c>
    </row>
    <row r="137" spans="1:7" x14ac:dyDescent="0.25">
      <c r="A137" s="37">
        <v>44761</v>
      </c>
      <c r="B137" s="38">
        <v>37184.030151367202</v>
      </c>
      <c r="C137" s="39">
        <f t="shared" si="11"/>
        <v>2.7019256469346775E-2</v>
      </c>
      <c r="D137" s="38">
        <f>MAX($B$2:B137)</f>
        <v>44948.645019531301</v>
      </c>
      <c r="E137" s="40">
        <f t="shared" si="8"/>
        <v>-0.17274413644260422</v>
      </c>
      <c r="F137" s="41">
        <f t="shared" si="9"/>
        <v>82.72558635573958</v>
      </c>
      <c r="G137" s="42" t="str">
        <f t="shared" si="10"/>
        <v>2022-07</v>
      </c>
    </row>
    <row r="138" spans="1:7" x14ac:dyDescent="0.25">
      <c r="A138" s="31">
        <v>44762</v>
      </c>
      <c r="B138" s="32">
        <v>37421.005249023401</v>
      </c>
      <c r="C138" s="33">
        <f t="shared" si="11"/>
        <v>6.3730342486150171E-3</v>
      </c>
      <c r="D138" s="32">
        <f>MAX($B$2:B138)</f>
        <v>44948.645019531301</v>
      </c>
      <c r="E138" s="34">
        <f t="shared" si="8"/>
        <v>-0.16747200649178529</v>
      </c>
      <c r="F138" s="35">
        <f t="shared" si="9"/>
        <v>83.252799350821476</v>
      </c>
      <c r="G138" s="36" t="str">
        <f t="shared" si="10"/>
        <v>2022-07</v>
      </c>
    </row>
    <row r="139" spans="1:7" x14ac:dyDescent="0.25">
      <c r="A139" s="37">
        <v>44763</v>
      </c>
      <c r="B139" s="38">
        <v>37802.0751953125</v>
      </c>
      <c r="C139" s="39">
        <f t="shared" si="11"/>
        <v>1.01833166627463E-2</v>
      </c>
      <c r="D139" s="38">
        <f>MAX($B$2:B139)</f>
        <v>44948.645019531301</v>
      </c>
      <c r="E139" s="40">
        <f t="shared" si="8"/>
        <v>-0.15899411030329036</v>
      </c>
      <c r="F139" s="41">
        <f t="shared" si="9"/>
        <v>84.100588969670966</v>
      </c>
      <c r="G139" s="42" t="str">
        <f t="shared" si="10"/>
        <v>2022-07</v>
      </c>
    </row>
    <row r="140" spans="1:7" x14ac:dyDescent="0.25">
      <c r="A140" s="31">
        <v>44764</v>
      </c>
      <c r="B140" s="32">
        <v>37451.339721679702</v>
      </c>
      <c r="C140" s="33">
        <f t="shared" si="11"/>
        <v>-9.2782068661746431E-3</v>
      </c>
      <c r="D140" s="32">
        <f>MAX($B$2:B140)</f>
        <v>44948.645019531301</v>
      </c>
      <c r="E140" s="34">
        <f t="shared" si="8"/>
        <v>-0.16679713692356768</v>
      </c>
      <c r="F140" s="35">
        <f t="shared" si="9"/>
        <v>83.320286307643229</v>
      </c>
      <c r="G140" s="36" t="str">
        <f t="shared" si="10"/>
        <v>2022-07</v>
      </c>
    </row>
    <row r="141" spans="1:7" x14ac:dyDescent="0.25">
      <c r="A141" s="37">
        <v>44767</v>
      </c>
      <c r="B141" s="38">
        <v>37496.847534179702</v>
      </c>
      <c r="C141" s="39">
        <f t="shared" si="11"/>
        <v>1.215118413338212E-3</v>
      </c>
      <c r="D141" s="38">
        <f>MAX($B$2:B141)</f>
        <v>44948.645019531301</v>
      </c>
      <c r="E141" s="40">
        <f t="shared" si="8"/>
        <v>-0.16578469678259733</v>
      </c>
      <c r="F141" s="41">
        <f t="shared" si="9"/>
        <v>83.421530321740264</v>
      </c>
      <c r="G141" s="42" t="str">
        <f t="shared" si="10"/>
        <v>2022-07</v>
      </c>
    </row>
    <row r="142" spans="1:7" x14ac:dyDescent="0.25">
      <c r="A142" s="31">
        <v>44768</v>
      </c>
      <c r="B142" s="32">
        <v>37053.22265625</v>
      </c>
      <c r="C142" s="33">
        <f t="shared" si="11"/>
        <v>-1.183099132601273E-2</v>
      </c>
      <c r="D142" s="32">
        <f>MAX($B$2:B142)</f>
        <v>44948.645019531301</v>
      </c>
      <c r="E142" s="34">
        <f t="shared" si="8"/>
        <v>-0.17565429079898942</v>
      </c>
      <c r="F142" s="35">
        <f t="shared" si="9"/>
        <v>82.434570920101052</v>
      </c>
      <c r="G142" s="36" t="str">
        <f t="shared" si="10"/>
        <v>2022-07</v>
      </c>
    </row>
    <row r="143" spans="1:7" x14ac:dyDescent="0.25">
      <c r="A143" s="37">
        <v>44769</v>
      </c>
      <c r="B143" s="38">
        <v>38015.353393554702</v>
      </c>
      <c r="C143" s="39">
        <f t="shared" si="11"/>
        <v>2.5966182381235159E-2</v>
      </c>
      <c r="D143" s="38">
        <f>MAX($B$2:B143)</f>
        <v>44948.645019531301</v>
      </c>
      <c r="E143" s="40">
        <f t="shared" si="8"/>
        <v>-0.15424917976868735</v>
      </c>
      <c r="F143" s="41">
        <f t="shared" si="9"/>
        <v>84.575082023131259</v>
      </c>
      <c r="G143" s="42" t="str">
        <f t="shared" si="10"/>
        <v>2022-07</v>
      </c>
    </row>
    <row r="144" spans="1:7" x14ac:dyDescent="0.25">
      <c r="A144" s="31">
        <v>44770</v>
      </c>
      <c r="B144" s="32">
        <v>38492.1630859375</v>
      </c>
      <c r="C144" s="33">
        <f t="shared" si="11"/>
        <v>1.2542555831235314E-2</v>
      </c>
      <c r="D144" s="32">
        <f>MAX($B$2:B144)</f>
        <v>44948.645019531301</v>
      </c>
      <c r="E144" s="34">
        <f t="shared" si="8"/>
        <v>-0.14364130288662313</v>
      </c>
      <c r="F144" s="35">
        <f t="shared" si="9"/>
        <v>85.635869711337691</v>
      </c>
      <c r="G144" s="36" t="str">
        <f t="shared" si="10"/>
        <v>2022-07</v>
      </c>
    </row>
    <row r="145" spans="1:7" x14ac:dyDescent="0.25">
      <c r="A145" s="37">
        <v>44771</v>
      </c>
      <c r="B145" s="38">
        <v>39053.329467773401</v>
      </c>
      <c r="C145" s="39">
        <f t="shared" si="11"/>
        <v>1.457871776608255E-2</v>
      </c>
      <c r="D145" s="38">
        <f>MAX($B$2:B145)</f>
        <v>44948.645019531301</v>
      </c>
      <c r="E145" s="40">
        <f t="shared" si="8"/>
        <v>-0.13115669113487716</v>
      </c>
      <c r="F145" s="41">
        <f t="shared" si="9"/>
        <v>86.884330886512288</v>
      </c>
      <c r="G145" s="42" t="str">
        <f t="shared" si="10"/>
        <v>2022-07</v>
      </c>
    </row>
    <row r="146" spans="1:7" x14ac:dyDescent="0.25">
      <c r="A146" s="31">
        <v>44774</v>
      </c>
      <c r="B146" s="32">
        <v>38937.683105468801</v>
      </c>
      <c r="C146" s="33">
        <f t="shared" si="11"/>
        <v>-2.9612420728437616E-3</v>
      </c>
      <c r="D146" s="32">
        <f>MAX($B$2:B146)</f>
        <v>44948.645019531301</v>
      </c>
      <c r="E146" s="34">
        <f t="shared" si="8"/>
        <v>-0.13372954649579738</v>
      </c>
      <c r="F146" s="35">
        <f t="shared" si="9"/>
        <v>86.627045350420261</v>
      </c>
      <c r="G146" s="36" t="str">
        <f t="shared" si="10"/>
        <v>2022-08</v>
      </c>
    </row>
    <row r="147" spans="1:7" x14ac:dyDescent="0.25">
      <c r="A147" s="37">
        <v>44775</v>
      </c>
      <c r="B147" s="38">
        <v>38680.792236328103</v>
      </c>
      <c r="C147" s="39">
        <f t="shared" si="11"/>
        <v>-6.5974872835876663E-3</v>
      </c>
      <c r="D147" s="38">
        <f>MAX($B$2:B147)</f>
        <v>44948.645019531301</v>
      </c>
      <c r="E147" s="40">
        <f t="shared" si="8"/>
        <v>-0.13944475479693907</v>
      </c>
      <c r="F147" s="41">
        <f t="shared" si="9"/>
        <v>86.055524520306093</v>
      </c>
      <c r="G147" s="42" t="str">
        <f t="shared" si="10"/>
        <v>2022-08</v>
      </c>
    </row>
    <row r="148" spans="1:7" x14ac:dyDescent="0.25">
      <c r="A148" s="31">
        <v>44776</v>
      </c>
      <c r="B148" s="32">
        <v>39286.514282226599</v>
      </c>
      <c r="C148" s="33">
        <f t="shared" si="11"/>
        <v>1.5659504650207712E-2</v>
      </c>
      <c r="D148" s="32">
        <f>MAX($B$2:B148)</f>
        <v>44948.645019531301</v>
      </c>
      <c r="E148" s="34">
        <f t="shared" si="8"/>
        <v>-0.1259688859329211</v>
      </c>
      <c r="F148" s="35">
        <f t="shared" si="9"/>
        <v>87.403111406707893</v>
      </c>
      <c r="G148" s="36" t="str">
        <f t="shared" si="10"/>
        <v>2022-08</v>
      </c>
    </row>
    <row r="149" spans="1:7" x14ac:dyDescent="0.25">
      <c r="A149" s="37">
        <v>44777</v>
      </c>
      <c r="B149" s="38">
        <v>39259.982299804702</v>
      </c>
      <c r="C149" s="39">
        <f t="shared" si="11"/>
        <v>-6.7534580012107437E-4</v>
      </c>
      <c r="D149" s="38">
        <f>MAX($B$2:B149)</f>
        <v>44948.645019531301</v>
      </c>
      <c r="E149" s="40">
        <f t="shared" si="8"/>
        <v>-0.12655915917498139</v>
      </c>
      <c r="F149" s="41">
        <f t="shared" si="9"/>
        <v>87.344084082501865</v>
      </c>
      <c r="G149" s="42" t="str">
        <f t="shared" si="10"/>
        <v>2022-08</v>
      </c>
    </row>
    <row r="150" spans="1:7" x14ac:dyDescent="0.25">
      <c r="A150" s="31">
        <v>44778</v>
      </c>
      <c r="B150" s="32">
        <v>39193.618774414099</v>
      </c>
      <c r="C150" s="33">
        <f t="shared" si="11"/>
        <v>-1.6903605529882126E-3</v>
      </c>
      <c r="D150" s="32">
        <f>MAX($B$2:B150)</f>
        <v>44948.645019531301</v>
      </c>
      <c r="E150" s="34">
        <f t="shared" si="8"/>
        <v>-0.12803558911768087</v>
      </c>
      <c r="F150" s="35">
        <f t="shared" si="9"/>
        <v>87.196441088231907</v>
      </c>
      <c r="G150" s="36" t="str">
        <f t="shared" si="10"/>
        <v>2022-08</v>
      </c>
    </row>
    <row r="151" spans="1:7" x14ac:dyDescent="0.25">
      <c r="A151" s="37">
        <v>44781</v>
      </c>
      <c r="B151" s="38">
        <v>39148.114013671897</v>
      </c>
      <c r="C151" s="39">
        <f t="shared" si="11"/>
        <v>-1.1610247322175749E-3</v>
      </c>
      <c r="D151" s="38">
        <f>MAX($B$2:B151)</f>
        <v>44948.645019531301</v>
      </c>
      <c r="E151" s="40">
        <f t="shared" si="8"/>
        <v>-0.12904796136432872</v>
      </c>
      <c r="F151" s="41">
        <f t="shared" si="9"/>
        <v>87.095203863567122</v>
      </c>
      <c r="G151" s="42" t="str">
        <f t="shared" si="10"/>
        <v>2022-08</v>
      </c>
    </row>
    <row r="152" spans="1:7" x14ac:dyDescent="0.25">
      <c r="A152" s="31">
        <v>44782</v>
      </c>
      <c r="B152" s="32">
        <v>38992.660522460901</v>
      </c>
      <c r="C152" s="33">
        <f t="shared" si="11"/>
        <v>-3.970906265285401E-3</v>
      </c>
      <c r="D152" s="32">
        <f>MAX($B$2:B152)</f>
        <v>44948.645019531301</v>
      </c>
      <c r="E152" s="34">
        <f t="shared" si="8"/>
        <v>-0.13250643027131026</v>
      </c>
      <c r="F152" s="35">
        <f t="shared" si="9"/>
        <v>86.749356972868981</v>
      </c>
      <c r="G152" s="36" t="str">
        <f t="shared" si="10"/>
        <v>2022-08</v>
      </c>
    </row>
    <row r="153" spans="1:7" x14ac:dyDescent="0.25">
      <c r="A153" s="37">
        <v>44783</v>
      </c>
      <c r="B153" s="38">
        <v>39811.657714843801</v>
      </c>
      <c r="C153" s="39">
        <f t="shared" si="11"/>
        <v>2.1003880766513383E-2</v>
      </c>
      <c r="D153" s="38">
        <f>MAX($B$2:B153)</f>
        <v>44948.645019531301</v>
      </c>
      <c r="E153" s="40">
        <f t="shared" si="8"/>
        <v>-0.11428569876701178</v>
      </c>
      <c r="F153" s="41">
        <f t="shared" si="9"/>
        <v>88.571430123298825</v>
      </c>
      <c r="G153" s="42" t="str">
        <f t="shared" si="10"/>
        <v>2022-08</v>
      </c>
    </row>
    <row r="154" spans="1:7" x14ac:dyDescent="0.25">
      <c r="A154" s="31">
        <v>44784</v>
      </c>
      <c r="B154" s="32">
        <v>39811.657714843801</v>
      </c>
      <c r="C154" s="33">
        <f t="shared" si="11"/>
        <v>0</v>
      </c>
      <c r="D154" s="32">
        <f>MAX($B$2:B154)</f>
        <v>44948.645019531301</v>
      </c>
      <c r="E154" s="34">
        <f t="shared" si="8"/>
        <v>-0.11428569876701178</v>
      </c>
      <c r="F154" s="35">
        <f t="shared" si="9"/>
        <v>88.571430123298825</v>
      </c>
      <c r="G154" s="36" t="str">
        <f t="shared" si="10"/>
        <v>2022-08</v>
      </c>
    </row>
    <row r="155" spans="1:7" x14ac:dyDescent="0.25">
      <c r="A155" s="37">
        <v>44785</v>
      </c>
      <c r="B155" s="38">
        <v>40485.632324218801</v>
      </c>
      <c r="C155" s="39">
        <f t="shared" si="11"/>
        <v>1.6929076759436334E-2</v>
      </c>
      <c r="D155" s="38">
        <f>MAX($B$2:B155)</f>
        <v>44948.645019531301</v>
      </c>
      <c r="E155" s="40">
        <f t="shared" si="8"/>
        <v>-9.9291373374507996E-2</v>
      </c>
      <c r="F155" s="41">
        <f t="shared" si="9"/>
        <v>90.070862662549203</v>
      </c>
      <c r="G155" s="42" t="str">
        <f t="shared" si="10"/>
        <v>2022-08</v>
      </c>
    </row>
    <row r="156" spans="1:7" x14ac:dyDescent="0.25">
      <c r="A156" s="31">
        <v>44788</v>
      </c>
      <c r="B156" s="32">
        <v>40652.459716796897</v>
      </c>
      <c r="C156" s="33">
        <f t="shared" si="11"/>
        <v>4.1206567120428694E-3</v>
      </c>
      <c r="D156" s="32">
        <f>MAX($B$2:B156)</f>
        <v>44948.645019531301</v>
      </c>
      <c r="E156" s="34">
        <f t="shared" si="8"/>
        <v>-9.5579862326608644E-2</v>
      </c>
      <c r="F156" s="35">
        <f t="shared" si="9"/>
        <v>90.442013767339134</v>
      </c>
      <c r="G156" s="36" t="str">
        <f t="shared" si="10"/>
        <v>2022-08</v>
      </c>
    </row>
    <row r="157" spans="1:7" x14ac:dyDescent="0.25">
      <c r="A157" s="37">
        <v>44789</v>
      </c>
      <c r="B157" s="38">
        <v>40732.095336914099</v>
      </c>
      <c r="C157" s="39">
        <f t="shared" si="11"/>
        <v>1.9589373108535035E-3</v>
      </c>
      <c r="D157" s="38">
        <f>MAX($B$2:B157)</f>
        <v>44948.645019531301</v>
      </c>
      <c r="E157" s="40">
        <f t="shared" si="8"/>
        <v>-9.3808159974232974E-2</v>
      </c>
      <c r="F157" s="41">
        <f t="shared" si="9"/>
        <v>90.619184002576702</v>
      </c>
      <c r="G157" s="42" t="str">
        <f t="shared" si="10"/>
        <v>2022-08</v>
      </c>
    </row>
    <row r="158" spans="1:7" x14ac:dyDescent="0.25">
      <c r="A158" s="31">
        <v>44790</v>
      </c>
      <c r="B158" s="32">
        <v>40442.980957031301</v>
      </c>
      <c r="C158" s="33">
        <f t="shared" si="11"/>
        <v>-7.0979500929524431E-3</v>
      </c>
      <c r="D158" s="32">
        <f>MAX($B$2:B158)</f>
        <v>44948.645019531301</v>
      </c>
      <c r="E158" s="34">
        <f t="shared" si="8"/>
        <v>-0.10024026442937661</v>
      </c>
      <c r="F158" s="35">
        <f t="shared" si="9"/>
        <v>89.975973557062332</v>
      </c>
      <c r="G158" s="36" t="str">
        <f t="shared" si="10"/>
        <v>2022-08</v>
      </c>
    </row>
    <row r="159" spans="1:7" x14ac:dyDescent="0.25">
      <c r="A159" s="37">
        <v>44791</v>
      </c>
      <c r="B159" s="38">
        <v>40560.513305664099</v>
      </c>
      <c r="C159" s="39">
        <f t="shared" si="11"/>
        <v>2.9061247675503665E-3</v>
      </c>
      <c r="D159" s="38">
        <f>MAX($B$2:B159)</f>
        <v>44948.645019531301</v>
      </c>
      <c r="E159" s="40">
        <f t="shared" si="8"/>
        <v>-9.7625450376990219E-2</v>
      </c>
      <c r="F159" s="41">
        <f t="shared" si="9"/>
        <v>90.237454962300973</v>
      </c>
      <c r="G159" s="42" t="str">
        <f t="shared" si="10"/>
        <v>2022-08</v>
      </c>
    </row>
    <row r="160" spans="1:7" x14ac:dyDescent="0.25">
      <c r="A160" s="31">
        <v>44792</v>
      </c>
      <c r="B160" s="32">
        <v>40015.469360351599</v>
      </c>
      <c r="C160" s="33">
        <f t="shared" si="11"/>
        <v>-1.3437797031932264E-2</v>
      </c>
      <c r="D160" s="32">
        <f>MAX($B$2:B160)</f>
        <v>44948.645019531301</v>
      </c>
      <c r="E160" s="34">
        <f t="shared" si="8"/>
        <v>-0.10975137642160548</v>
      </c>
      <c r="F160" s="35">
        <f t="shared" si="9"/>
        <v>89.024862357839453</v>
      </c>
      <c r="G160" s="36" t="str">
        <f t="shared" si="10"/>
        <v>2022-08</v>
      </c>
    </row>
    <row r="161" spans="1:7" x14ac:dyDescent="0.25">
      <c r="A161" s="37">
        <v>44795</v>
      </c>
      <c r="B161" s="38">
        <v>39182.244873046897</v>
      </c>
      <c r="C161" s="39">
        <f t="shared" si="11"/>
        <v>-2.0822559390751061E-2</v>
      </c>
      <c r="D161" s="38">
        <f>MAX($B$2:B161)</f>
        <v>44948.645019531301</v>
      </c>
      <c r="E161" s="40">
        <f t="shared" si="8"/>
        <v>-0.12828863125860102</v>
      </c>
      <c r="F161" s="41">
        <f t="shared" si="9"/>
        <v>87.171136874139904</v>
      </c>
      <c r="G161" s="42" t="str">
        <f t="shared" si="10"/>
        <v>2022-08</v>
      </c>
    </row>
    <row r="162" spans="1:7" x14ac:dyDescent="0.25">
      <c r="A162" s="31">
        <v>44796</v>
      </c>
      <c r="B162" s="32">
        <v>39087.454223632798</v>
      </c>
      <c r="C162" s="33">
        <f t="shared" si="11"/>
        <v>-2.4192245676893931E-3</v>
      </c>
      <c r="D162" s="32">
        <f>MAX($B$2:B162)</f>
        <v>44948.645019531301</v>
      </c>
      <c r="E162" s="34">
        <f t="shared" si="8"/>
        <v>-0.13039749681779444</v>
      </c>
      <c r="F162" s="35">
        <f t="shared" si="9"/>
        <v>86.96025031822056</v>
      </c>
      <c r="G162" s="36" t="str">
        <f t="shared" si="10"/>
        <v>2022-08</v>
      </c>
    </row>
    <row r="163" spans="1:7" x14ac:dyDescent="0.25">
      <c r="A163" s="37">
        <v>44797</v>
      </c>
      <c r="B163" s="38">
        <v>39212.579345703103</v>
      </c>
      <c r="C163" s="39">
        <f t="shared" si="11"/>
        <v>3.2011581351505392E-3</v>
      </c>
      <c r="D163" s="38">
        <f>MAX($B$2:B163)</f>
        <v>44948.645019531301</v>
      </c>
      <c r="E163" s="40">
        <f t="shared" si="8"/>
        <v>-0.12761376169038541</v>
      </c>
      <c r="F163" s="41">
        <f t="shared" si="9"/>
        <v>87.238623830961458</v>
      </c>
      <c r="G163" s="42" t="str">
        <f t="shared" si="10"/>
        <v>2022-08</v>
      </c>
    </row>
    <row r="164" spans="1:7" x14ac:dyDescent="0.25">
      <c r="A164" s="31">
        <v>44798</v>
      </c>
      <c r="B164" s="32">
        <v>39766.159057617202</v>
      </c>
      <c r="C164" s="33">
        <f t="shared" si="11"/>
        <v>1.411740112869575E-2</v>
      </c>
      <c r="D164" s="32">
        <f>MAX($B$2:B164)</f>
        <v>44948.645019531301</v>
      </c>
      <c r="E164" s="34">
        <f t="shared" si="8"/>
        <v>-0.11529793522501464</v>
      </c>
      <c r="F164" s="35">
        <f t="shared" si="9"/>
        <v>88.470206477498536</v>
      </c>
      <c r="G164" s="36" t="str">
        <f t="shared" si="10"/>
        <v>2022-08</v>
      </c>
    </row>
    <row r="165" spans="1:7" x14ac:dyDescent="0.25">
      <c r="A165" s="37">
        <v>44799</v>
      </c>
      <c r="B165" s="38">
        <v>38420.114135742202</v>
      </c>
      <c r="C165" s="39">
        <f t="shared" si="11"/>
        <v>-3.3849005128323228E-2</v>
      </c>
      <c r="D165" s="38">
        <f>MAX($B$2:B165)</f>
        <v>44948.645019531301</v>
      </c>
      <c r="E165" s="40">
        <f t="shared" si="8"/>
        <v>-0.14524421995262127</v>
      </c>
      <c r="F165" s="41">
        <f t="shared" si="9"/>
        <v>85.475578004737869</v>
      </c>
      <c r="G165" s="42" t="str">
        <f t="shared" si="10"/>
        <v>2022-08</v>
      </c>
    </row>
    <row r="166" spans="1:7" x14ac:dyDescent="0.25">
      <c r="A166" s="31">
        <v>44802</v>
      </c>
      <c r="B166" s="32">
        <v>38166.082763671897</v>
      </c>
      <c r="C166" s="33">
        <f t="shared" si="11"/>
        <v>-6.6119369446114851E-3</v>
      </c>
      <c r="D166" s="32">
        <f>MAX($B$2:B166)</f>
        <v>44948.645019531301</v>
      </c>
      <c r="E166" s="34">
        <f t="shared" si="8"/>
        <v>-0.15089581127333673</v>
      </c>
      <c r="F166" s="35">
        <f t="shared" si="9"/>
        <v>84.910418872666327</v>
      </c>
      <c r="G166" s="36" t="str">
        <f t="shared" si="10"/>
        <v>2022-08</v>
      </c>
    </row>
    <row r="167" spans="1:7" x14ac:dyDescent="0.25">
      <c r="A167" s="37">
        <v>44803</v>
      </c>
      <c r="B167" s="38">
        <v>37747.097778320298</v>
      </c>
      <c r="C167" s="39">
        <f t="shared" si="11"/>
        <v>-1.0977940490932592E-2</v>
      </c>
      <c r="D167" s="38">
        <f>MAX($B$2:B167)</f>
        <v>44948.645019531301</v>
      </c>
      <c r="E167" s="40">
        <f t="shared" si="8"/>
        <v>-0.1602172265277797</v>
      </c>
      <c r="F167" s="41">
        <f t="shared" si="9"/>
        <v>83.978277347222033</v>
      </c>
      <c r="G167" s="42" t="str">
        <f t="shared" si="10"/>
        <v>2022-08</v>
      </c>
    </row>
    <row r="168" spans="1:7" x14ac:dyDescent="0.25">
      <c r="A168" s="31">
        <v>44804</v>
      </c>
      <c r="B168" s="32">
        <v>37459.872436523401</v>
      </c>
      <c r="C168" s="33">
        <f t="shared" si="11"/>
        <v>-7.6092033216355048E-3</v>
      </c>
      <c r="D168" s="32">
        <f>MAX($B$2:B168)</f>
        <v>44948.645019531301</v>
      </c>
      <c r="E168" s="34">
        <f t="shared" si="8"/>
        <v>-0.16660730439713678</v>
      </c>
      <c r="F168" s="35">
        <f t="shared" si="9"/>
        <v>83.339269560286326</v>
      </c>
      <c r="G168" s="36" t="str">
        <f t="shared" si="10"/>
        <v>2022-08</v>
      </c>
    </row>
    <row r="169" spans="1:7" x14ac:dyDescent="0.25">
      <c r="A169" s="37">
        <v>44805</v>
      </c>
      <c r="B169" s="38">
        <v>37577.4169921875</v>
      </c>
      <c r="C169" s="39">
        <f t="shared" si="11"/>
        <v>3.1378792296552493E-3</v>
      </c>
      <c r="D169" s="38">
        <f>MAX($B$2:B169)</f>
        <v>44948.645019531301</v>
      </c>
      <c r="E169" s="40">
        <f t="shared" si="8"/>
        <v>-0.16399221876745829</v>
      </c>
      <c r="F169" s="41">
        <f t="shared" si="9"/>
        <v>83.600778123254173</v>
      </c>
      <c r="G169" s="42" t="str">
        <f t="shared" si="10"/>
        <v>2022-09</v>
      </c>
    </row>
    <row r="170" spans="1:7" x14ac:dyDescent="0.25">
      <c r="A170" s="31">
        <v>44806</v>
      </c>
      <c r="B170" s="32">
        <v>37181.185913085901</v>
      </c>
      <c r="C170" s="33">
        <f t="shared" si="11"/>
        <v>-1.0544393702844879E-2</v>
      </c>
      <c r="D170" s="32">
        <f>MAX($B$2:B170)</f>
        <v>44948.645019531301</v>
      </c>
      <c r="E170" s="34">
        <f t="shared" si="8"/>
        <v>-0.17280741395141608</v>
      </c>
      <c r="F170" s="35">
        <f t="shared" si="9"/>
        <v>82.719258604858396</v>
      </c>
      <c r="G170" s="36" t="str">
        <f t="shared" si="10"/>
        <v>2022-09</v>
      </c>
    </row>
    <row r="171" spans="1:7" x14ac:dyDescent="0.25">
      <c r="A171" s="37">
        <v>44810</v>
      </c>
      <c r="B171" s="38">
        <v>37040.8935546875</v>
      </c>
      <c r="C171" s="39">
        <f t="shared" si="11"/>
        <v>-3.7732082759905916E-3</v>
      </c>
      <c r="D171" s="38">
        <f>MAX($B$2:B171)</f>
        <v>44948.645019531301</v>
      </c>
      <c r="E171" s="40">
        <f t="shared" si="8"/>
        <v>-0.17592858386293264</v>
      </c>
      <c r="F171" s="41">
        <f t="shared" si="9"/>
        <v>82.407141613706742</v>
      </c>
      <c r="G171" s="42" t="str">
        <f t="shared" si="10"/>
        <v>2022-09</v>
      </c>
    </row>
    <row r="172" spans="1:7" x14ac:dyDescent="0.25">
      <c r="A172" s="31">
        <v>44811</v>
      </c>
      <c r="B172" s="32">
        <v>37706.332397460901</v>
      </c>
      <c r="C172" s="33">
        <f t="shared" si="11"/>
        <v>1.7964978133989673E-2</v>
      </c>
      <c r="D172" s="32">
        <f>MAX($B$2:B172)</f>
        <v>44948.645019531301</v>
      </c>
      <c r="E172" s="34">
        <f t="shared" si="8"/>
        <v>-0.16112415889118425</v>
      </c>
      <c r="F172" s="35">
        <f t="shared" si="9"/>
        <v>83.887584110881576</v>
      </c>
      <c r="G172" s="36" t="str">
        <f t="shared" si="10"/>
        <v>2022-09</v>
      </c>
    </row>
    <row r="173" spans="1:7" x14ac:dyDescent="0.25">
      <c r="A173" s="37">
        <v>44812</v>
      </c>
      <c r="B173" s="38">
        <v>37952.789306640603</v>
      </c>
      <c r="C173" s="39">
        <f t="shared" si="11"/>
        <v>6.5362206692978209E-3</v>
      </c>
      <c r="D173" s="38">
        <f>MAX($B$2:B173)</f>
        <v>44948.645019531301</v>
      </c>
      <c r="E173" s="40">
        <f t="shared" si="8"/>
        <v>-0.15564108127955412</v>
      </c>
      <c r="F173" s="41">
        <f t="shared" si="9"/>
        <v>84.435891872044593</v>
      </c>
      <c r="G173" s="42" t="str">
        <f t="shared" si="10"/>
        <v>2022-09</v>
      </c>
    </row>
    <row r="174" spans="1:7" x14ac:dyDescent="0.25">
      <c r="A174" s="31">
        <v>44813</v>
      </c>
      <c r="B174" s="32">
        <v>38542.391967773401</v>
      </c>
      <c r="C174" s="33">
        <f t="shared" si="11"/>
        <v>1.5535160179376728E-2</v>
      </c>
      <c r="D174" s="32">
        <f>MAX($B$2:B174)</f>
        <v>44948.645019531301</v>
      </c>
      <c r="E174" s="34">
        <f t="shared" si="8"/>
        <v>-0.14252383022834669</v>
      </c>
      <c r="F174" s="35">
        <f t="shared" si="9"/>
        <v>85.747616977165336</v>
      </c>
      <c r="G174" s="36" t="str">
        <f t="shared" si="10"/>
        <v>2022-09</v>
      </c>
    </row>
    <row r="175" spans="1:7" x14ac:dyDescent="0.25">
      <c r="A175" s="37">
        <v>44816</v>
      </c>
      <c r="B175" s="38">
        <v>38956.637573242202</v>
      </c>
      <c r="C175" s="39">
        <f t="shared" si="11"/>
        <v>1.0747791829193387E-2</v>
      </c>
      <c r="D175" s="38">
        <f>MAX($B$2:B175)</f>
        <v>44948.645019531301</v>
      </c>
      <c r="E175" s="40">
        <f t="shared" si="8"/>
        <v>-0.13330785485714691</v>
      </c>
      <c r="F175" s="41">
        <f t="shared" si="9"/>
        <v>86.669214514285315</v>
      </c>
      <c r="G175" s="42" t="str">
        <f t="shared" si="10"/>
        <v>2022-09</v>
      </c>
    </row>
    <row r="176" spans="1:7" x14ac:dyDescent="0.25">
      <c r="A176" s="31">
        <v>44817</v>
      </c>
      <c r="B176" s="32">
        <v>37262.704467773401</v>
      </c>
      <c r="C176" s="33">
        <f t="shared" si="11"/>
        <v>-4.3482528549442789E-2</v>
      </c>
      <c r="D176" s="32">
        <f>MAX($B$2:B176)</f>
        <v>44948.645019531301</v>
      </c>
      <c r="E176" s="34">
        <f t="shared" si="8"/>
        <v>-0.17099382080189884</v>
      </c>
      <c r="F176" s="35">
        <f t="shared" si="9"/>
        <v>82.900617919810117</v>
      </c>
      <c r="G176" s="36" t="str">
        <f t="shared" si="10"/>
        <v>2022-09</v>
      </c>
    </row>
    <row r="177" spans="1:7" x14ac:dyDescent="0.25">
      <c r="A177" s="37">
        <v>44818</v>
      </c>
      <c r="B177" s="38">
        <v>37404.898071289099</v>
      </c>
      <c r="C177" s="39">
        <f t="shared" si="11"/>
        <v>3.8159764715595124E-3</v>
      </c>
      <c r="D177" s="38">
        <f>MAX($B$2:B177)</f>
        <v>44948.645019531301</v>
      </c>
      <c r="E177" s="40">
        <f t="shared" si="8"/>
        <v>-0.16783035272730151</v>
      </c>
      <c r="F177" s="41">
        <f t="shared" si="9"/>
        <v>83.216964727269854</v>
      </c>
      <c r="G177" s="42" t="str">
        <f t="shared" si="10"/>
        <v>2022-09</v>
      </c>
    </row>
    <row r="178" spans="1:7" x14ac:dyDescent="0.25">
      <c r="A178" s="31">
        <v>44819</v>
      </c>
      <c r="B178" s="32">
        <v>36980.227661132798</v>
      </c>
      <c r="C178" s="33">
        <f t="shared" si="11"/>
        <v>-1.1353336917184764E-2</v>
      </c>
      <c r="D178" s="32">
        <f>MAX($B$2:B178)</f>
        <v>44948.645019531301</v>
      </c>
      <c r="E178" s="34">
        <f t="shared" si="8"/>
        <v>-0.17727825510504325</v>
      </c>
      <c r="F178" s="35">
        <f t="shared" si="9"/>
        <v>82.272174489495669</v>
      </c>
      <c r="G178" s="36" t="str">
        <f t="shared" si="10"/>
        <v>2022-09</v>
      </c>
    </row>
    <row r="179" spans="1:7" x14ac:dyDescent="0.25">
      <c r="A179" s="37">
        <v>44820</v>
      </c>
      <c r="B179" s="38">
        <v>36698.107910156301</v>
      </c>
      <c r="C179" s="39">
        <f t="shared" si="11"/>
        <v>-7.6289349422532515E-3</v>
      </c>
      <c r="D179" s="38">
        <f>MAX($B$2:B179)</f>
        <v>44948.645019531301</v>
      </c>
      <c r="E179" s="40">
        <f t="shared" si="8"/>
        <v>-0.18355474577242403</v>
      </c>
      <c r="F179" s="41">
        <f t="shared" si="9"/>
        <v>81.644525422757596</v>
      </c>
      <c r="G179" s="42" t="str">
        <f t="shared" si="10"/>
        <v>2022-09</v>
      </c>
    </row>
    <row r="180" spans="1:7" x14ac:dyDescent="0.25">
      <c r="A180" s="31">
        <v>44823</v>
      </c>
      <c r="B180" s="32">
        <v>36982.699584960901</v>
      </c>
      <c r="C180" s="33">
        <f t="shared" si="11"/>
        <v>7.7549413583211102E-3</v>
      </c>
      <c r="D180" s="32">
        <f>MAX($B$2:B180)</f>
        <v>44948.645019531301</v>
      </c>
      <c r="E180" s="34">
        <f t="shared" si="8"/>
        <v>-0.17722326070360961</v>
      </c>
      <c r="F180" s="35">
        <f t="shared" si="9"/>
        <v>82.277673929639036</v>
      </c>
      <c r="G180" s="36" t="str">
        <f t="shared" si="10"/>
        <v>2022-09</v>
      </c>
    </row>
    <row r="181" spans="1:7" x14ac:dyDescent="0.25">
      <c r="A181" s="37">
        <v>44824</v>
      </c>
      <c r="B181" s="38">
        <v>36558.193969726599</v>
      </c>
      <c r="C181" s="39">
        <f t="shared" si="11"/>
        <v>-1.1478491835326343E-2</v>
      </c>
      <c r="D181" s="38">
        <f>MAX($B$2:B181)</f>
        <v>44948.645019531301</v>
      </c>
      <c r="E181" s="40">
        <f t="shared" si="8"/>
        <v>-0.18666749678791972</v>
      </c>
      <c r="F181" s="41">
        <f t="shared" si="9"/>
        <v>81.333250321208027</v>
      </c>
      <c r="G181" s="42" t="str">
        <f t="shared" si="10"/>
        <v>2022-09</v>
      </c>
    </row>
    <row r="182" spans="1:7" x14ac:dyDescent="0.25">
      <c r="A182" s="31">
        <v>44825</v>
      </c>
      <c r="B182" s="32">
        <v>35920.480346679702</v>
      </c>
      <c r="C182" s="33">
        <f t="shared" si="11"/>
        <v>-1.7443794504044097E-2</v>
      </c>
      <c r="D182" s="32">
        <f>MAX($B$2:B182)</f>
        <v>44948.645019531301</v>
      </c>
      <c r="E182" s="34">
        <f t="shared" si="8"/>
        <v>-0.20085510183741107</v>
      </c>
      <c r="F182" s="35">
        <f t="shared" si="9"/>
        <v>79.914489816258893</v>
      </c>
      <c r="G182" s="36" t="str">
        <f t="shared" si="10"/>
        <v>2022-09</v>
      </c>
    </row>
    <row r="183" spans="1:7" x14ac:dyDescent="0.25">
      <c r="A183" s="37">
        <v>44826</v>
      </c>
      <c r="B183" s="38">
        <v>35618.753051757798</v>
      </c>
      <c r="C183" s="39">
        <f t="shared" si="11"/>
        <v>-8.399868042126446E-3</v>
      </c>
      <c r="D183" s="38">
        <f>MAX($B$2:B183)</f>
        <v>44948.645019531301</v>
      </c>
      <c r="E183" s="40">
        <f t="shared" si="8"/>
        <v>-0.20756781352851539</v>
      </c>
      <c r="F183" s="41">
        <f t="shared" si="9"/>
        <v>79.243218647148467</v>
      </c>
      <c r="G183" s="42" t="str">
        <f t="shared" si="10"/>
        <v>2022-09</v>
      </c>
    </row>
    <row r="184" spans="1:7" x14ac:dyDescent="0.25">
      <c r="A184" s="31">
        <v>44827</v>
      </c>
      <c r="B184" s="32">
        <v>35021.966552734397</v>
      </c>
      <c r="C184" s="33">
        <f t="shared" si="11"/>
        <v>-1.6754839737264438E-2</v>
      </c>
      <c r="D184" s="32">
        <f>MAX($B$2:B184)</f>
        <v>44948.645019531301</v>
      </c>
      <c r="E184" s="34">
        <f t="shared" si="8"/>
        <v>-0.22084488781549516</v>
      </c>
      <c r="F184" s="35">
        <f t="shared" si="9"/>
        <v>77.91551121845049</v>
      </c>
      <c r="G184" s="36" t="str">
        <f t="shared" si="10"/>
        <v>2022-09</v>
      </c>
    </row>
    <row r="185" spans="1:7" x14ac:dyDescent="0.25">
      <c r="A185" s="37">
        <v>44830</v>
      </c>
      <c r="B185" s="38">
        <v>34675.503540039099</v>
      </c>
      <c r="C185" s="39">
        <f t="shared" si="11"/>
        <v>-9.892734383536439E-3</v>
      </c>
      <c r="D185" s="38">
        <f>MAX($B$2:B185)</f>
        <v>44948.645019531301</v>
      </c>
      <c r="E185" s="40">
        <f t="shared" si="8"/>
        <v>-0.22855286238391093</v>
      </c>
      <c r="F185" s="41">
        <f t="shared" si="9"/>
        <v>77.144713761608912</v>
      </c>
      <c r="G185" s="42" t="str">
        <f t="shared" si="10"/>
        <v>2022-09</v>
      </c>
    </row>
    <row r="186" spans="1:7" x14ac:dyDescent="0.25">
      <c r="A186" s="31">
        <v>44831</v>
      </c>
      <c r="B186" s="32">
        <v>34586.9873046875</v>
      </c>
      <c r="C186" s="33">
        <f t="shared" si="11"/>
        <v>-2.5527022339961736E-3</v>
      </c>
      <c r="D186" s="32">
        <f>MAX($B$2:B186)</f>
        <v>44948.645019531301</v>
      </c>
      <c r="E186" s="34">
        <f t="shared" si="8"/>
        <v>-0.23052213721551351</v>
      </c>
      <c r="F186" s="35">
        <f t="shared" si="9"/>
        <v>76.947786278448646</v>
      </c>
      <c r="G186" s="36" t="str">
        <f t="shared" si="10"/>
        <v>2022-09</v>
      </c>
    </row>
    <row r="187" spans="1:7" x14ac:dyDescent="0.25">
      <c r="A187" s="37">
        <v>44832</v>
      </c>
      <c r="B187" s="38">
        <v>35267.535400390603</v>
      </c>
      <c r="C187" s="39">
        <f t="shared" si="11"/>
        <v>1.9676420201272249E-2</v>
      </c>
      <c r="D187" s="38">
        <f>MAX($B$2:B187)</f>
        <v>44948.645019531301</v>
      </c>
      <c r="E187" s="40">
        <f t="shared" si="8"/>
        <v>-0.21538156745178894</v>
      </c>
      <c r="F187" s="41">
        <f t="shared" si="9"/>
        <v>78.461843254821105</v>
      </c>
      <c r="G187" s="42" t="str">
        <f t="shared" si="10"/>
        <v>2022-09</v>
      </c>
    </row>
    <row r="188" spans="1:7" x14ac:dyDescent="0.25">
      <c r="A188" s="31">
        <v>44833</v>
      </c>
      <c r="B188" s="32">
        <v>34530.828857421897</v>
      </c>
      <c r="C188" s="33">
        <f t="shared" si="11"/>
        <v>-2.0889084950363346E-2</v>
      </c>
      <c r="D188" s="32">
        <f>MAX($B$2:B188)</f>
        <v>44948.645019531301</v>
      </c>
      <c r="E188" s="34">
        <f t="shared" si="8"/>
        <v>-0.2317715285429095</v>
      </c>
      <c r="F188" s="35">
        <f t="shared" si="9"/>
        <v>76.822847145709048</v>
      </c>
      <c r="G188" s="36" t="str">
        <f t="shared" si="10"/>
        <v>2022-09</v>
      </c>
    </row>
    <row r="189" spans="1:7" x14ac:dyDescent="0.25">
      <c r="A189" s="37">
        <v>44834</v>
      </c>
      <c r="B189" s="38">
        <v>33996.865844726599</v>
      </c>
      <c r="C189" s="39">
        <f t="shared" si="11"/>
        <v>-1.5463370859125192E-2</v>
      </c>
      <c r="D189" s="38">
        <f>MAX($B$2:B189)</f>
        <v>44948.645019531301</v>
      </c>
      <c r="E189" s="40">
        <f t="shared" si="8"/>
        <v>-0.24365093030158935</v>
      </c>
      <c r="F189" s="41">
        <f t="shared" si="9"/>
        <v>75.634906969841069</v>
      </c>
      <c r="G189" s="42" t="str">
        <f t="shared" si="10"/>
        <v>2022-09</v>
      </c>
    </row>
    <row r="190" spans="1:7" x14ac:dyDescent="0.25">
      <c r="A190" s="31">
        <v>44837</v>
      </c>
      <c r="B190" s="32">
        <v>34894.415283203103</v>
      </c>
      <c r="C190" s="33">
        <f t="shared" si="11"/>
        <v>2.6400946563011729E-2</v>
      </c>
      <c r="D190" s="32">
        <f>MAX($B$2:B190)</f>
        <v>44948.645019531301</v>
      </c>
      <c r="E190" s="34">
        <f t="shared" si="8"/>
        <v>-0.22368259892949804</v>
      </c>
      <c r="F190" s="35">
        <f t="shared" si="9"/>
        <v>77.631740107050192</v>
      </c>
      <c r="G190" s="36" t="str">
        <f t="shared" si="10"/>
        <v>2022-10</v>
      </c>
    </row>
    <row r="191" spans="1:7" x14ac:dyDescent="0.25">
      <c r="A191" s="37">
        <v>44838</v>
      </c>
      <c r="B191" s="38">
        <v>35975.686645507798</v>
      </c>
      <c r="C191" s="39">
        <f t="shared" si="11"/>
        <v>3.0986946006376526E-2</v>
      </c>
      <c r="D191" s="38">
        <f>MAX($B$2:B191)</f>
        <v>44948.645019531301</v>
      </c>
      <c r="E191" s="40">
        <f t="shared" si="8"/>
        <v>-0.19962689353871577</v>
      </c>
      <c r="F191" s="41">
        <f t="shared" si="9"/>
        <v>80.037310646128418</v>
      </c>
      <c r="G191" s="42" t="str">
        <f t="shared" si="10"/>
        <v>2022-10</v>
      </c>
    </row>
    <row r="192" spans="1:7" x14ac:dyDescent="0.25">
      <c r="A192" s="31">
        <v>44839</v>
      </c>
      <c r="B192" s="32">
        <v>35891.928100585901</v>
      </c>
      <c r="C192" s="33">
        <f t="shared" si="11"/>
        <v>-2.328198645580426E-3</v>
      </c>
      <c r="D192" s="32">
        <f>MAX($B$2:B192)</f>
        <v>44948.645019531301</v>
      </c>
      <c r="E192" s="34">
        <f t="shared" si="8"/>
        <v>-0.20149032112113796</v>
      </c>
      <c r="F192" s="35">
        <f t="shared" si="9"/>
        <v>79.850967887886199</v>
      </c>
      <c r="G192" s="36" t="str">
        <f t="shared" si="10"/>
        <v>2022-10</v>
      </c>
    </row>
    <row r="193" spans="1:7" x14ac:dyDescent="0.25">
      <c r="A193" s="37">
        <v>44840</v>
      </c>
      <c r="B193" s="38">
        <v>35521.667480468801</v>
      </c>
      <c r="C193" s="39">
        <f t="shared" si="11"/>
        <v>-1.0315985785981141E-2</v>
      </c>
      <c r="D193" s="38">
        <f>MAX($B$2:B193)</f>
        <v>44948.645019531301</v>
      </c>
      <c r="E193" s="40">
        <f t="shared" si="8"/>
        <v>-0.20972773561842062</v>
      </c>
      <c r="F193" s="41">
        <f t="shared" si="9"/>
        <v>79.027226438157939</v>
      </c>
      <c r="G193" s="42" t="str">
        <f t="shared" si="10"/>
        <v>2022-10</v>
      </c>
    </row>
    <row r="194" spans="1:7" x14ac:dyDescent="0.25">
      <c r="A194" s="31">
        <v>44841</v>
      </c>
      <c r="B194" s="32">
        <v>34530.828857421897</v>
      </c>
      <c r="C194" s="33">
        <f t="shared" si="11"/>
        <v>-2.7893922029186946E-2</v>
      </c>
      <c r="D194" s="32">
        <f>MAX($B$2:B194)</f>
        <v>44948.645019531301</v>
      </c>
      <c r="E194" s="34">
        <f t="shared" ref="E194:E257" si="12">B194/D194-1</f>
        <v>-0.2317715285429095</v>
      </c>
      <c r="F194" s="35">
        <f t="shared" ref="F194:F257" si="13">B194/$B$2*100</f>
        <v>76.822847145709048</v>
      </c>
      <c r="G194" s="36" t="str">
        <f t="shared" ref="G194:G257" si="14">TEXT(A194,"YYYY-MM")</f>
        <v>2022-10</v>
      </c>
    </row>
    <row r="195" spans="1:7" x14ac:dyDescent="0.25">
      <c r="A195" s="37">
        <v>44844</v>
      </c>
      <c r="B195" s="38">
        <v>34267.181396484397</v>
      </c>
      <c r="C195" s="39">
        <f t="shared" ref="C195:C258" si="15">B195/B194-1</f>
        <v>-7.6351327107178069E-3</v>
      </c>
      <c r="D195" s="38">
        <f>MAX($B$2:B195)</f>
        <v>44948.645019531301</v>
      </c>
      <c r="E195" s="40">
        <f t="shared" si="12"/>
        <v>-0.23763705487463627</v>
      </c>
      <c r="F195" s="41">
        <f t="shared" si="13"/>
        <v>76.236294512536375</v>
      </c>
      <c r="G195" s="42" t="str">
        <f t="shared" si="14"/>
        <v>2022-10</v>
      </c>
    </row>
    <row r="196" spans="1:7" x14ac:dyDescent="0.25">
      <c r="A196" s="31">
        <v>44845</v>
      </c>
      <c r="B196" s="32">
        <v>34050.161743164099</v>
      </c>
      <c r="C196" s="33">
        <f t="shared" si="15"/>
        <v>-6.3331632330450027E-3</v>
      </c>
      <c r="D196" s="32">
        <f>MAX($B$2:B196)</f>
        <v>44948.645019531301</v>
      </c>
      <c r="E196" s="34">
        <f t="shared" si="12"/>
        <v>-0.24246522384894009</v>
      </c>
      <c r="F196" s="35">
        <f t="shared" si="13"/>
        <v>75.753477615105993</v>
      </c>
      <c r="G196" s="36" t="str">
        <f t="shared" si="14"/>
        <v>2022-10</v>
      </c>
    </row>
    <row r="197" spans="1:7" x14ac:dyDescent="0.25">
      <c r="A197" s="37">
        <v>44846</v>
      </c>
      <c r="B197" s="38">
        <v>33937.844848632798</v>
      </c>
      <c r="C197" s="39">
        <f t="shared" si="15"/>
        <v>-3.2985715421410822E-3</v>
      </c>
      <c r="D197" s="38">
        <f>MAX($B$2:B197)</f>
        <v>44948.645019531301</v>
      </c>
      <c r="E197" s="40">
        <f t="shared" si="12"/>
        <v>-0.24496400650373418</v>
      </c>
      <c r="F197" s="41">
        <f t="shared" si="13"/>
        <v>75.503599349626583</v>
      </c>
      <c r="G197" s="42" t="str">
        <f t="shared" si="14"/>
        <v>2022-10</v>
      </c>
    </row>
    <row r="198" spans="1:7" x14ac:dyDescent="0.25">
      <c r="A198" s="31">
        <v>44847</v>
      </c>
      <c r="B198" s="32">
        <v>34833.508300781301</v>
      </c>
      <c r="C198" s="33">
        <f t="shared" si="15"/>
        <v>2.6391288431639515E-2</v>
      </c>
      <c r="D198" s="32">
        <f>MAX($B$2:B198)</f>
        <v>44948.645019531301</v>
      </c>
      <c r="E198" s="34">
        <f t="shared" si="12"/>
        <v>-0.2250376338231046</v>
      </c>
      <c r="F198" s="35">
        <f t="shared" si="13"/>
        <v>77.496236617689533</v>
      </c>
      <c r="G198" s="36" t="str">
        <f t="shared" si="14"/>
        <v>2022-10</v>
      </c>
    </row>
    <row r="199" spans="1:7" x14ac:dyDescent="0.25">
      <c r="A199" s="37">
        <v>44848</v>
      </c>
      <c r="B199" s="38">
        <v>34039.694213867202</v>
      </c>
      <c r="C199" s="39">
        <f t="shared" si="15"/>
        <v>-2.2788806687504826E-2</v>
      </c>
      <c r="D199" s="38">
        <f>MAX($B$2:B199)</f>
        <v>44948.645019531301</v>
      </c>
      <c r="E199" s="40">
        <f t="shared" si="12"/>
        <v>-0.24269810137600123</v>
      </c>
      <c r="F199" s="41">
        <f t="shared" si="13"/>
        <v>75.730189862399882</v>
      </c>
      <c r="G199" s="42" t="str">
        <f t="shared" si="14"/>
        <v>2022-10</v>
      </c>
    </row>
    <row r="200" spans="1:7" x14ac:dyDescent="0.25">
      <c r="A200" s="31">
        <v>44851</v>
      </c>
      <c r="B200" s="32">
        <v>34914.410400390603</v>
      </c>
      <c r="C200" s="33">
        <f t="shared" si="15"/>
        <v>2.5696946072067073E-2</v>
      </c>
      <c r="D200" s="32">
        <f>MAX($B$2:B200)</f>
        <v>44948.645019531301</v>
      </c>
      <c r="E200" s="34">
        <f t="shared" si="12"/>
        <v>-0.22323775532678625</v>
      </c>
      <c r="F200" s="35">
        <f t="shared" si="13"/>
        <v>77.676224467321376</v>
      </c>
      <c r="G200" s="36" t="str">
        <f t="shared" si="14"/>
        <v>2022-10</v>
      </c>
    </row>
    <row r="201" spans="1:7" x14ac:dyDescent="0.25">
      <c r="A201" s="37">
        <v>44852</v>
      </c>
      <c r="B201" s="38">
        <v>35324.642944335901</v>
      </c>
      <c r="C201" s="39">
        <f t="shared" si="15"/>
        <v>1.1749662653352644E-2</v>
      </c>
      <c r="D201" s="38">
        <f>MAX($B$2:B201)</f>
        <v>44948.645019531301</v>
      </c>
      <c r="E201" s="40">
        <f t="shared" si="12"/>
        <v>-0.21411106099001498</v>
      </c>
      <c r="F201" s="41">
        <f t="shared" si="13"/>
        <v>78.588893900998499</v>
      </c>
      <c r="G201" s="42" t="str">
        <f t="shared" si="14"/>
        <v>2022-10</v>
      </c>
    </row>
    <row r="202" spans="1:7" x14ac:dyDescent="0.25">
      <c r="A202" s="31">
        <v>44853</v>
      </c>
      <c r="B202" s="32">
        <v>35074.313354492202</v>
      </c>
      <c r="C202" s="33">
        <f t="shared" si="15"/>
        <v>-7.0865426789498143E-3</v>
      </c>
      <c r="D202" s="32">
        <f>MAX($B$2:B202)</f>
        <v>44948.645019531301</v>
      </c>
      <c r="E202" s="34">
        <f t="shared" si="12"/>
        <v>-0.21968029649722387</v>
      </c>
      <c r="F202" s="35">
        <f t="shared" si="13"/>
        <v>78.031970350277618</v>
      </c>
      <c r="G202" s="36" t="str">
        <f t="shared" si="14"/>
        <v>2022-10</v>
      </c>
    </row>
    <row r="203" spans="1:7" x14ac:dyDescent="0.25">
      <c r="A203" s="37">
        <v>44854</v>
      </c>
      <c r="B203" s="38">
        <v>34780.209350585901</v>
      </c>
      <c r="C203" s="39">
        <f t="shared" si="15"/>
        <v>-8.385167827344886E-3</v>
      </c>
      <c r="D203" s="38">
        <f>MAX($B$2:B203)</f>
        <v>44948.645019531301</v>
      </c>
      <c r="E203" s="40">
        <f t="shared" si="12"/>
        <v>-0.22622340817007858</v>
      </c>
      <c r="F203" s="41">
        <f t="shared" si="13"/>
        <v>77.377659182992147</v>
      </c>
      <c r="G203" s="42" t="str">
        <f t="shared" si="14"/>
        <v>2022-10</v>
      </c>
    </row>
    <row r="204" spans="1:7" x14ac:dyDescent="0.25">
      <c r="A204" s="31">
        <v>44855</v>
      </c>
      <c r="B204" s="32">
        <v>35625.4150390625</v>
      </c>
      <c r="C204" s="33">
        <f t="shared" si="15"/>
        <v>2.4301339878575634E-2</v>
      </c>
      <c r="D204" s="32">
        <f>MAX($B$2:B204)</f>
        <v>44948.645019531301</v>
      </c>
      <c r="E204" s="34">
        <f t="shared" si="12"/>
        <v>-0.20741960022193384</v>
      </c>
      <c r="F204" s="35">
        <f t="shared" si="13"/>
        <v>79.258039977806618</v>
      </c>
      <c r="G204" s="36" t="str">
        <f t="shared" si="14"/>
        <v>2022-10</v>
      </c>
    </row>
    <row r="205" spans="1:7" x14ac:dyDescent="0.25">
      <c r="A205" s="37">
        <v>44858</v>
      </c>
      <c r="B205" s="38">
        <v>36061.343383789099</v>
      </c>
      <c r="C205" s="39">
        <f t="shared" si="15"/>
        <v>1.2236442557893357E-2</v>
      </c>
      <c r="D205" s="38">
        <f>MAX($B$2:B205)</f>
        <v>44948.645019531301</v>
      </c>
      <c r="E205" s="40">
        <f t="shared" si="12"/>
        <v>-0.19772123568753741</v>
      </c>
      <c r="F205" s="41">
        <f t="shared" si="13"/>
        <v>80.227876431246258</v>
      </c>
      <c r="G205" s="42" t="str">
        <f t="shared" si="14"/>
        <v>2022-10</v>
      </c>
    </row>
    <row r="206" spans="1:7" x14ac:dyDescent="0.25">
      <c r="A206" s="31">
        <v>44859</v>
      </c>
      <c r="B206" s="32">
        <v>36637.194824218801</v>
      </c>
      <c r="C206" s="33">
        <f t="shared" si="15"/>
        <v>1.596866301682387E-2</v>
      </c>
      <c r="D206" s="32">
        <f>MAX($B$2:B206)</f>
        <v>44948.645019531301</v>
      </c>
      <c r="E206" s="34">
        <f t="shared" si="12"/>
        <v>-0.1849099164546778</v>
      </c>
      <c r="F206" s="35">
        <f t="shared" si="13"/>
        <v>81.509008354532213</v>
      </c>
      <c r="G206" s="36" t="str">
        <f t="shared" si="14"/>
        <v>2022-10</v>
      </c>
    </row>
    <row r="207" spans="1:7" x14ac:dyDescent="0.25">
      <c r="A207" s="37">
        <v>44860</v>
      </c>
      <c r="B207" s="38">
        <v>36361.163330078103</v>
      </c>
      <c r="C207" s="39">
        <f t="shared" si="15"/>
        <v>-7.5341874689114352E-3</v>
      </c>
      <c r="D207" s="38">
        <f>MAX($B$2:B207)</f>
        <v>44948.645019531301</v>
      </c>
      <c r="E207" s="40">
        <f t="shared" si="12"/>
        <v>-0.19105095794815896</v>
      </c>
      <c r="F207" s="41">
        <f t="shared" si="13"/>
        <v>80.894904205184105</v>
      </c>
      <c r="G207" s="42" t="str">
        <f t="shared" si="14"/>
        <v>2022-10</v>
      </c>
    </row>
    <row r="208" spans="1:7" x14ac:dyDescent="0.25">
      <c r="A208" s="31">
        <v>44861</v>
      </c>
      <c r="B208" s="32">
        <v>36166.998291015603</v>
      </c>
      <c r="C208" s="33">
        <f t="shared" si="15"/>
        <v>-5.3399017325137521E-3</v>
      </c>
      <c r="D208" s="32">
        <f>MAX($B$2:B208)</f>
        <v>44948.645019531301</v>
      </c>
      <c r="E208" s="34">
        <f t="shared" si="12"/>
        <v>-0.19537066633932687</v>
      </c>
      <c r="F208" s="35">
        <f t="shared" si="13"/>
        <v>80.462933366067318</v>
      </c>
      <c r="G208" s="36" t="str">
        <f t="shared" si="14"/>
        <v>2022-10</v>
      </c>
    </row>
    <row r="209" spans="1:7" x14ac:dyDescent="0.25">
      <c r="A209" s="37">
        <v>44862</v>
      </c>
      <c r="B209" s="38">
        <v>37027.435302734397</v>
      </c>
      <c r="C209" s="39">
        <f t="shared" si="15"/>
        <v>2.37906669720096E-2</v>
      </c>
      <c r="D209" s="38">
        <f>MAX($B$2:B209)</f>
        <v>44948.645019531301</v>
      </c>
      <c r="E209" s="40">
        <f t="shared" si="12"/>
        <v>-0.17622799782629583</v>
      </c>
      <c r="F209" s="41">
        <f t="shared" si="13"/>
        <v>82.377200217370415</v>
      </c>
      <c r="G209" s="42" t="str">
        <f t="shared" si="14"/>
        <v>2022-10</v>
      </c>
    </row>
    <row r="210" spans="1:7" x14ac:dyDescent="0.25">
      <c r="A210" s="31">
        <v>44865</v>
      </c>
      <c r="B210" s="32">
        <v>36759.973144531301</v>
      </c>
      <c r="C210" s="33">
        <f t="shared" si="15"/>
        <v>-7.2233509022793241E-3</v>
      </c>
      <c r="D210" s="32">
        <f>MAX($B$2:B210)</f>
        <v>44948.645019531301</v>
      </c>
      <c r="E210" s="34">
        <f t="shared" si="12"/>
        <v>-0.18217839206146969</v>
      </c>
      <c r="F210" s="35">
        <f t="shared" si="13"/>
        <v>81.782160793853038</v>
      </c>
      <c r="G210" s="36" t="str">
        <f t="shared" si="14"/>
        <v>2022-10</v>
      </c>
    </row>
    <row r="211" spans="1:7" x14ac:dyDescent="0.25">
      <c r="A211" s="37">
        <v>44866</v>
      </c>
      <c r="B211" s="38">
        <v>36599.124145507798</v>
      </c>
      <c r="C211" s="39">
        <f t="shared" si="15"/>
        <v>-4.3756560536941658E-3</v>
      </c>
      <c r="D211" s="38">
        <f>MAX($B$2:B211)</f>
        <v>44948.645019531301</v>
      </c>
      <c r="E211" s="40">
        <f t="shared" si="12"/>
        <v>-0.18575689813108776</v>
      </c>
      <c r="F211" s="41">
        <f t="shared" si="13"/>
        <v>81.424310186891219</v>
      </c>
      <c r="G211" s="42" t="str">
        <f t="shared" si="14"/>
        <v>2022-11</v>
      </c>
    </row>
    <row r="212" spans="1:7" x14ac:dyDescent="0.25">
      <c r="A212" s="31">
        <v>44867</v>
      </c>
      <c r="B212" s="32">
        <v>35680.618286132798</v>
      </c>
      <c r="C212" s="33">
        <f t="shared" si="15"/>
        <v>-2.5096389075412784E-2</v>
      </c>
      <c r="D212" s="32">
        <f>MAX($B$2:B212)</f>
        <v>44948.645019531301</v>
      </c>
      <c r="E212" s="34">
        <f t="shared" si="12"/>
        <v>-0.20619145981756104</v>
      </c>
      <c r="F212" s="35">
        <f t="shared" si="13"/>
        <v>79.380854018243895</v>
      </c>
      <c r="G212" s="36" t="str">
        <f t="shared" si="14"/>
        <v>2022-11</v>
      </c>
    </row>
    <row r="213" spans="1:7" x14ac:dyDescent="0.25">
      <c r="A213" s="37">
        <v>44868</v>
      </c>
      <c r="B213" s="38">
        <v>35313.220214843801</v>
      </c>
      <c r="C213" s="39">
        <f t="shared" si="15"/>
        <v>-1.0296852715463878E-2</v>
      </c>
      <c r="D213" s="38">
        <f>MAX($B$2:B213)</f>
        <v>44948.645019531301</v>
      </c>
      <c r="E213" s="40">
        <f t="shared" si="12"/>
        <v>-0.21436518944009697</v>
      </c>
      <c r="F213" s="41">
        <f t="shared" si="13"/>
        <v>78.563481055990309</v>
      </c>
      <c r="G213" s="42" t="str">
        <f t="shared" si="14"/>
        <v>2022-11</v>
      </c>
    </row>
    <row r="214" spans="1:7" x14ac:dyDescent="0.25">
      <c r="A214" s="31">
        <v>44869</v>
      </c>
      <c r="B214" s="32">
        <v>35821.493530273401</v>
      </c>
      <c r="C214" s="33">
        <f t="shared" si="15"/>
        <v>1.4393287056158943E-2</v>
      </c>
      <c r="D214" s="32">
        <f>MAX($B$2:B214)</f>
        <v>44948.645019531301</v>
      </c>
      <c r="E214" s="34">
        <f t="shared" si="12"/>
        <v>-0.20305732209039729</v>
      </c>
      <c r="F214" s="35">
        <f t="shared" si="13"/>
        <v>79.694267790960268</v>
      </c>
      <c r="G214" s="36" t="str">
        <f t="shared" si="14"/>
        <v>2022-11</v>
      </c>
    </row>
    <row r="215" spans="1:7" x14ac:dyDescent="0.25">
      <c r="A215" s="37">
        <v>44872</v>
      </c>
      <c r="B215" s="38">
        <v>36164.141845703103</v>
      </c>
      <c r="C215" s="39">
        <f t="shared" si="15"/>
        <v>9.5654391166053454E-3</v>
      </c>
      <c r="D215" s="38">
        <f>MAX($B$2:B215)</f>
        <v>44948.645019531301</v>
      </c>
      <c r="E215" s="40">
        <f t="shared" si="12"/>
        <v>-0.1954342154254286</v>
      </c>
      <c r="F215" s="41">
        <f t="shared" si="13"/>
        <v>80.456578457457141</v>
      </c>
      <c r="G215" s="42" t="str">
        <f t="shared" si="14"/>
        <v>2022-11</v>
      </c>
    </row>
    <row r="216" spans="1:7" x14ac:dyDescent="0.25">
      <c r="A216" s="31">
        <v>44873</v>
      </c>
      <c r="B216" s="32">
        <v>36359.255981445298</v>
      </c>
      <c r="C216" s="33">
        <f t="shared" si="15"/>
        <v>5.3952375415033949E-3</v>
      </c>
      <c r="D216" s="32">
        <f>MAX($B$2:B216)</f>
        <v>44948.645019531301</v>
      </c>
      <c r="E216" s="34">
        <f t="shared" si="12"/>
        <v>-0.19109339189988261</v>
      </c>
      <c r="F216" s="35">
        <f t="shared" si="13"/>
        <v>80.890660810011738</v>
      </c>
      <c r="G216" s="36" t="str">
        <f t="shared" si="14"/>
        <v>2022-11</v>
      </c>
    </row>
    <row r="217" spans="1:7" x14ac:dyDescent="0.25">
      <c r="A217" s="37">
        <v>44874</v>
      </c>
      <c r="B217" s="38">
        <v>35610.186767578103</v>
      </c>
      <c r="C217" s="39">
        <f t="shared" si="15"/>
        <v>-2.0601885094938543E-2</v>
      </c>
      <c r="D217" s="38">
        <f>MAX($B$2:B217)</f>
        <v>44948.645019531301</v>
      </c>
      <c r="E217" s="40">
        <f t="shared" si="12"/>
        <v>-0.20775839289249776</v>
      </c>
      <c r="F217" s="41">
        <f t="shared" si="13"/>
        <v>79.224160710750226</v>
      </c>
      <c r="G217" s="42" t="str">
        <f t="shared" si="14"/>
        <v>2022-11</v>
      </c>
    </row>
    <row r="218" spans="1:7" x14ac:dyDescent="0.25">
      <c r="A218" s="31">
        <v>44875</v>
      </c>
      <c r="B218" s="32">
        <v>37567.108154296897</v>
      </c>
      <c r="C218" s="33">
        <f t="shared" si="15"/>
        <v>5.4953977059746917E-2</v>
      </c>
      <c r="D218" s="32">
        <f>MAX($B$2:B218)</f>
        <v>44948.645019531301</v>
      </c>
      <c r="E218" s="34">
        <f t="shared" si="12"/>
        <v>-0.16422156578973501</v>
      </c>
      <c r="F218" s="35">
        <f t="shared" si="13"/>
        <v>83.5778434210265</v>
      </c>
      <c r="G218" s="36" t="str">
        <f t="shared" si="14"/>
        <v>2022-11</v>
      </c>
    </row>
    <row r="219" spans="1:7" x14ac:dyDescent="0.25">
      <c r="A219" s="37">
        <v>44876</v>
      </c>
      <c r="B219" s="38">
        <v>37930.709838867202</v>
      </c>
      <c r="C219" s="39">
        <f t="shared" si="15"/>
        <v>9.6787243531470946E-3</v>
      </c>
      <c r="D219" s="38">
        <f>MAX($B$2:B219)</f>
        <v>44948.645019531301</v>
      </c>
      <c r="E219" s="40">
        <f t="shared" si="12"/>
        <v>-0.15613229670470896</v>
      </c>
      <c r="F219" s="41">
        <f t="shared" si="13"/>
        <v>84.386770329529099</v>
      </c>
      <c r="G219" s="42" t="str">
        <f t="shared" si="14"/>
        <v>2022-11</v>
      </c>
    </row>
    <row r="220" spans="1:7" x14ac:dyDescent="0.25">
      <c r="A220" s="31">
        <v>44879</v>
      </c>
      <c r="B220" s="32">
        <v>37608.047485351599</v>
      </c>
      <c r="C220" s="33">
        <f t="shared" si="15"/>
        <v>-8.506625762773723E-3</v>
      </c>
      <c r="D220" s="32">
        <f>MAX($B$2:B220)</f>
        <v>44948.645019531301</v>
      </c>
      <c r="E220" s="34">
        <f t="shared" si="12"/>
        <v>-0.16331076344993334</v>
      </c>
      <c r="F220" s="35">
        <f t="shared" si="13"/>
        <v>83.668923655006665</v>
      </c>
      <c r="G220" s="36" t="str">
        <f t="shared" si="14"/>
        <v>2022-11</v>
      </c>
    </row>
    <row r="221" spans="1:7" x14ac:dyDescent="0.25">
      <c r="A221" s="37">
        <v>44880</v>
      </c>
      <c r="B221" s="38">
        <v>37928.799438476599</v>
      </c>
      <c r="C221" s="39">
        <f t="shared" si="15"/>
        <v>8.5288116393156255E-3</v>
      </c>
      <c r="D221" s="38">
        <f>MAX($B$2:B221)</f>
        <v>44948.645019531301</v>
      </c>
      <c r="E221" s="40">
        <f t="shared" si="12"/>
        <v>-0.15617479855075511</v>
      </c>
      <c r="F221" s="41">
        <f t="shared" si="13"/>
        <v>84.382520144924484</v>
      </c>
      <c r="G221" s="42" t="str">
        <f t="shared" si="14"/>
        <v>2022-11</v>
      </c>
    </row>
    <row r="222" spans="1:7" x14ac:dyDescent="0.25">
      <c r="A222" s="31">
        <v>44881</v>
      </c>
      <c r="B222" s="32">
        <v>37639.456176757798</v>
      </c>
      <c r="C222" s="33">
        <f t="shared" si="15"/>
        <v>-7.6285900424594155E-3</v>
      </c>
      <c r="D222" s="32">
        <f>MAX($B$2:B222)</f>
        <v>44948.645019531301</v>
      </c>
      <c r="E222" s="34">
        <f t="shared" si="12"/>
        <v>-0.16261199508010704</v>
      </c>
      <c r="F222" s="35">
        <f t="shared" si="13"/>
        <v>83.738800491989295</v>
      </c>
      <c r="G222" s="36" t="str">
        <f t="shared" si="14"/>
        <v>2022-11</v>
      </c>
    </row>
    <row r="223" spans="1:7" x14ac:dyDescent="0.25">
      <c r="A223" s="37">
        <v>44882</v>
      </c>
      <c r="B223" s="38">
        <v>37524.279785156301</v>
      </c>
      <c r="C223" s="39">
        <f t="shared" si="15"/>
        <v>-3.0599908527003672E-3</v>
      </c>
      <c r="D223" s="38">
        <f>MAX($B$2:B223)</f>
        <v>44948.645019531301</v>
      </c>
      <c r="E223" s="40">
        <f t="shared" si="12"/>
        <v>-0.16517439471532303</v>
      </c>
      <c r="F223" s="41">
        <f t="shared" si="13"/>
        <v>83.482560528467701</v>
      </c>
      <c r="G223" s="42" t="str">
        <f t="shared" si="14"/>
        <v>2022-11</v>
      </c>
    </row>
    <row r="224" spans="1:7" x14ac:dyDescent="0.25">
      <c r="A224" s="31">
        <v>44883</v>
      </c>
      <c r="B224" s="32">
        <v>37694.662475585901</v>
      </c>
      <c r="C224" s="33">
        <f t="shared" si="15"/>
        <v>4.5405985512612101E-3</v>
      </c>
      <c r="D224" s="32">
        <f>MAX($B$2:B224)</f>
        <v>44948.645019531301</v>
      </c>
      <c r="E224" s="34">
        <f t="shared" si="12"/>
        <v>-0.16138378678141163</v>
      </c>
      <c r="F224" s="35">
        <f t="shared" si="13"/>
        <v>83.861621321858834</v>
      </c>
      <c r="G224" s="36" t="str">
        <f t="shared" si="14"/>
        <v>2022-11</v>
      </c>
    </row>
    <row r="225" spans="1:7" x14ac:dyDescent="0.25">
      <c r="A225" s="37">
        <v>44886</v>
      </c>
      <c r="B225" s="38">
        <v>37557.595825195298</v>
      </c>
      <c r="C225" s="39">
        <f t="shared" si="15"/>
        <v>-3.6362349836499552E-3</v>
      </c>
      <c r="D225" s="38">
        <f>MAX($B$2:B225)</f>
        <v>44948.645019531301</v>
      </c>
      <c r="E225" s="40">
        <f t="shared" si="12"/>
        <v>-0.16443319239377319</v>
      </c>
      <c r="F225" s="41">
        <f t="shared" si="13"/>
        <v>83.556680760622683</v>
      </c>
      <c r="G225" s="42" t="str">
        <f t="shared" si="14"/>
        <v>2022-11</v>
      </c>
    </row>
    <row r="226" spans="1:7" x14ac:dyDescent="0.25">
      <c r="A226" s="31">
        <v>44887</v>
      </c>
      <c r="B226" s="32">
        <v>38063.009643554702</v>
      </c>
      <c r="C226" s="33">
        <f t="shared" si="15"/>
        <v>1.345703331788739E-2</v>
      </c>
      <c r="D226" s="32">
        <f>MAX($B$2:B226)</f>
        <v>44948.645019531301</v>
      </c>
      <c r="E226" s="34">
        <f t="shared" si="12"/>
        <v>-0.15318894202449529</v>
      </c>
      <c r="F226" s="35">
        <f t="shared" si="13"/>
        <v>84.681105797550472</v>
      </c>
      <c r="G226" s="36" t="str">
        <f t="shared" si="14"/>
        <v>2022-11</v>
      </c>
    </row>
    <row r="227" spans="1:7" x14ac:dyDescent="0.25">
      <c r="A227" s="37">
        <v>44888</v>
      </c>
      <c r="B227" s="38">
        <v>38302.859497070298</v>
      </c>
      <c r="C227" s="39">
        <f t="shared" si="15"/>
        <v>6.3013896105876821E-3</v>
      </c>
      <c r="D227" s="38">
        <f>MAX($B$2:B227)</f>
        <v>44948.645019531301</v>
      </c>
      <c r="E227" s="40">
        <f t="shared" si="12"/>
        <v>-0.14785285562163764</v>
      </c>
      <c r="F227" s="41">
        <f t="shared" si="13"/>
        <v>85.214714437836236</v>
      </c>
      <c r="G227" s="42" t="str">
        <f t="shared" si="14"/>
        <v>2022-11</v>
      </c>
    </row>
    <row r="228" spans="1:7" x14ac:dyDescent="0.25">
      <c r="A228" s="31">
        <v>44890</v>
      </c>
      <c r="B228" s="32">
        <v>38294.296264648401</v>
      </c>
      <c r="C228" s="33">
        <f t="shared" si="15"/>
        <v>-2.2356640037679565E-4</v>
      </c>
      <c r="D228" s="32">
        <f>MAX($B$2:B228)</f>
        <v>44948.645019531301</v>
      </c>
      <c r="E228" s="34">
        <f t="shared" si="12"/>
        <v>-0.14804336709129762</v>
      </c>
      <c r="F228" s="35">
        <f t="shared" si="13"/>
        <v>85.195663290870243</v>
      </c>
      <c r="G228" s="36" t="str">
        <f t="shared" si="14"/>
        <v>2022-11</v>
      </c>
    </row>
    <row r="229" spans="1:7" x14ac:dyDescent="0.25">
      <c r="A229" s="37">
        <v>44893</v>
      </c>
      <c r="B229" s="38">
        <v>37683.242797851599</v>
      </c>
      <c r="C229" s="39">
        <f t="shared" si="15"/>
        <v>-1.5956774935198426E-2</v>
      </c>
      <c r="D229" s="38">
        <f>MAX($B$2:B229)</f>
        <v>44948.645019531301</v>
      </c>
      <c r="E229" s="40">
        <f t="shared" si="12"/>
        <v>-0.16163784733717124</v>
      </c>
      <c r="F229" s="41">
        <f t="shared" si="13"/>
        <v>83.836215266282878</v>
      </c>
      <c r="G229" s="42" t="str">
        <f t="shared" si="14"/>
        <v>2022-11</v>
      </c>
    </row>
    <row r="230" spans="1:7" x14ac:dyDescent="0.25">
      <c r="A230" s="31">
        <v>44894</v>
      </c>
      <c r="B230" s="32">
        <v>37618.518066406301</v>
      </c>
      <c r="C230" s="33">
        <f t="shared" si="15"/>
        <v>-1.7175998305800633E-3</v>
      </c>
      <c r="D230" s="32">
        <f>MAX($B$2:B230)</f>
        <v>44948.645019531301</v>
      </c>
      <c r="E230" s="34">
        <f t="shared" si="12"/>
        <v>-0.1630778180285497</v>
      </c>
      <c r="F230" s="35">
        <f t="shared" si="13"/>
        <v>83.692218197145024</v>
      </c>
      <c r="G230" s="36" t="str">
        <f t="shared" si="14"/>
        <v>2022-11</v>
      </c>
    </row>
    <row r="231" spans="1:7" x14ac:dyDescent="0.25">
      <c r="A231" s="37">
        <v>44895</v>
      </c>
      <c r="B231" s="38">
        <v>38803.518676757798</v>
      </c>
      <c r="C231" s="39">
        <f t="shared" si="15"/>
        <v>3.1500459647550993E-2</v>
      </c>
      <c r="D231" s="38">
        <f>MAX($B$2:B231)</f>
        <v>44948.645019531301</v>
      </c>
      <c r="E231" s="40">
        <f t="shared" si="12"/>
        <v>-0.13671438460721774</v>
      </c>
      <c r="F231" s="41">
        <f t="shared" si="13"/>
        <v>86.328561539278226</v>
      </c>
      <c r="G231" s="42" t="str">
        <f t="shared" si="14"/>
        <v>2022-11</v>
      </c>
    </row>
    <row r="232" spans="1:7" x14ac:dyDescent="0.25">
      <c r="A232" s="31">
        <v>44896</v>
      </c>
      <c r="B232" s="32">
        <v>38774.969482421897</v>
      </c>
      <c r="C232" s="33">
        <f t="shared" si="15"/>
        <v>-7.3573725552367186E-4</v>
      </c>
      <c r="D232" s="32">
        <f>MAX($B$2:B232)</f>
        <v>44948.645019531301</v>
      </c>
      <c r="E232" s="34">
        <f t="shared" si="12"/>
        <v>-0.13734953599661992</v>
      </c>
      <c r="F232" s="35">
        <f t="shared" si="13"/>
        <v>86.265046400338008</v>
      </c>
      <c r="G232" s="36" t="str">
        <f t="shared" si="14"/>
        <v>2022-12</v>
      </c>
    </row>
    <row r="233" spans="1:7" x14ac:dyDescent="0.25">
      <c r="A233" s="37">
        <v>44897</v>
      </c>
      <c r="B233" s="38">
        <v>38730.227661132798</v>
      </c>
      <c r="C233" s="39">
        <f t="shared" si="15"/>
        <v>-1.1538841135486644E-3</v>
      </c>
      <c r="D233" s="38">
        <f>MAX($B$2:B233)</f>
        <v>44948.645019531301</v>
      </c>
      <c r="E233" s="40">
        <f t="shared" si="12"/>
        <v>-0.13834493466257869</v>
      </c>
      <c r="F233" s="41">
        <f t="shared" si="13"/>
        <v>86.165506533742132</v>
      </c>
      <c r="G233" s="42" t="str">
        <f t="shared" si="14"/>
        <v>2022-12</v>
      </c>
    </row>
    <row r="234" spans="1:7" x14ac:dyDescent="0.25">
      <c r="A234" s="31">
        <v>44900</v>
      </c>
      <c r="B234" s="32">
        <v>38033.505249023401</v>
      </c>
      <c r="C234" s="33">
        <f t="shared" si="15"/>
        <v>-1.7989112230511917E-2</v>
      </c>
      <c r="D234" s="32">
        <f>MAX($B$2:B234)</f>
        <v>44948.645019531301</v>
      </c>
      <c r="E234" s="34">
        <f t="shared" si="12"/>
        <v>-0.15384534433692276</v>
      </c>
      <c r="F234" s="35">
        <f t="shared" si="13"/>
        <v>84.615465566307719</v>
      </c>
      <c r="G234" s="36" t="str">
        <f t="shared" si="14"/>
        <v>2022-12</v>
      </c>
    </row>
    <row r="235" spans="1:7" x14ac:dyDescent="0.25">
      <c r="A235" s="37">
        <v>44901</v>
      </c>
      <c r="B235" s="38">
        <v>37485.256958007798</v>
      </c>
      <c r="C235" s="39">
        <f t="shared" si="15"/>
        <v>-1.4414876762632312E-2</v>
      </c>
      <c r="D235" s="38">
        <f>MAX($B$2:B235)</f>
        <v>44948.645019531301</v>
      </c>
      <c r="E235" s="40">
        <f t="shared" si="12"/>
        <v>-0.16604255942043356</v>
      </c>
      <c r="F235" s="41">
        <f t="shared" si="13"/>
        <v>83.395744057956648</v>
      </c>
      <c r="G235" s="42" t="str">
        <f t="shared" si="14"/>
        <v>2022-12</v>
      </c>
    </row>
    <row r="236" spans="1:7" x14ac:dyDescent="0.25">
      <c r="A236" s="31">
        <v>44902</v>
      </c>
      <c r="B236" s="32">
        <v>37421.484375</v>
      </c>
      <c r="C236" s="33">
        <f t="shared" si="15"/>
        <v>-1.7012710644944695E-3</v>
      </c>
      <c r="D236" s="32">
        <f>MAX($B$2:B236)</f>
        <v>44948.645019531301</v>
      </c>
      <c r="E236" s="34">
        <f t="shared" si="12"/>
        <v>-0.16746134708311144</v>
      </c>
      <c r="F236" s="35">
        <f t="shared" si="13"/>
        <v>83.253865291688854</v>
      </c>
      <c r="G236" s="36" t="str">
        <f t="shared" si="14"/>
        <v>2022-12</v>
      </c>
    </row>
    <row r="237" spans="1:7" x14ac:dyDescent="0.25">
      <c r="A237" s="37">
        <v>44903</v>
      </c>
      <c r="B237" s="38">
        <v>37714.642333984397</v>
      </c>
      <c r="C237" s="39">
        <f t="shared" si="15"/>
        <v>7.833947901335625E-3</v>
      </c>
      <c r="D237" s="38">
        <f>MAX($B$2:B237)</f>
        <v>44948.645019531301</v>
      </c>
      <c r="E237" s="40">
        <f t="shared" si="12"/>
        <v>-0.16093928265031243</v>
      </c>
      <c r="F237" s="41">
        <f t="shared" si="13"/>
        <v>83.906071734968762</v>
      </c>
      <c r="G237" s="42" t="str">
        <f t="shared" si="14"/>
        <v>2022-12</v>
      </c>
    </row>
    <row r="238" spans="1:7" x14ac:dyDescent="0.25">
      <c r="A238" s="31">
        <v>44904</v>
      </c>
      <c r="B238" s="32">
        <v>37432.91015625</v>
      </c>
      <c r="C238" s="33">
        <f t="shared" si="15"/>
        <v>-7.4701007433531919E-3</v>
      </c>
      <c r="D238" s="32">
        <f>MAX($B$2:B238)</f>
        <v>44948.645019531301</v>
      </c>
      <c r="E238" s="34">
        <f t="shared" si="12"/>
        <v>-0.16720715073870474</v>
      </c>
      <c r="F238" s="35">
        <f t="shared" si="13"/>
        <v>83.27928492612952</v>
      </c>
      <c r="G238" s="36" t="str">
        <f t="shared" si="14"/>
        <v>2022-12</v>
      </c>
    </row>
    <row r="239" spans="1:7" x14ac:dyDescent="0.25">
      <c r="A239" s="37">
        <v>44907</v>
      </c>
      <c r="B239" s="38">
        <v>37972.589111328103</v>
      </c>
      <c r="C239" s="39">
        <f t="shared" si="15"/>
        <v>1.4417232131442859E-2</v>
      </c>
      <c r="D239" s="38">
        <f>MAX($B$2:B239)</f>
        <v>44948.645019531301</v>
      </c>
      <c r="E239" s="40">
        <f t="shared" si="12"/>
        <v>-0.15520058291349892</v>
      </c>
      <c r="F239" s="41">
        <f t="shared" si="13"/>
        <v>84.479941708650102</v>
      </c>
      <c r="G239" s="42" t="str">
        <f t="shared" si="14"/>
        <v>2022-12</v>
      </c>
    </row>
    <row r="240" spans="1:7" x14ac:dyDescent="0.25">
      <c r="A240" s="31">
        <v>44908</v>
      </c>
      <c r="B240" s="32">
        <v>38260.037231445298</v>
      </c>
      <c r="C240" s="33">
        <f t="shared" si="15"/>
        <v>7.5698846679759235E-3</v>
      </c>
      <c r="D240" s="32">
        <f>MAX($B$2:B240)</f>
        <v>44948.645019531301</v>
      </c>
      <c r="E240" s="34">
        <f t="shared" si="12"/>
        <v>-0.14880554875858076</v>
      </c>
      <c r="F240" s="35">
        <f t="shared" si="13"/>
        <v>85.119445124141919</v>
      </c>
      <c r="G240" s="36" t="str">
        <f t="shared" si="14"/>
        <v>2022-12</v>
      </c>
    </row>
    <row r="241" spans="1:7" x14ac:dyDescent="0.25">
      <c r="A241" s="37">
        <v>44909</v>
      </c>
      <c r="B241" s="38">
        <v>38015.417480468801</v>
      </c>
      <c r="C241" s="39">
        <f t="shared" si="15"/>
        <v>-6.393609851886084E-3</v>
      </c>
      <c r="D241" s="38">
        <f>MAX($B$2:B241)</f>
        <v>44948.645019531301</v>
      </c>
      <c r="E241" s="40">
        <f t="shared" si="12"/>
        <v>-0.15424775398790869</v>
      </c>
      <c r="F241" s="41">
        <f t="shared" si="13"/>
        <v>84.575224601209129</v>
      </c>
      <c r="G241" s="42" t="str">
        <f t="shared" si="14"/>
        <v>2022-12</v>
      </c>
    </row>
    <row r="242" spans="1:7" x14ac:dyDescent="0.25">
      <c r="A242" s="31">
        <v>44910</v>
      </c>
      <c r="B242" s="32">
        <v>37085.498046875</v>
      </c>
      <c r="C242" s="33">
        <f t="shared" si="15"/>
        <v>-2.4461639388060563E-2</v>
      </c>
      <c r="D242" s="32">
        <f>MAX($B$2:B242)</f>
        <v>44948.645019531301</v>
      </c>
      <c r="E242" s="34">
        <f t="shared" si="12"/>
        <v>-0.17493624044149869</v>
      </c>
      <c r="F242" s="35">
        <f t="shared" si="13"/>
        <v>82.506375955850132</v>
      </c>
      <c r="G242" s="36" t="str">
        <f t="shared" si="14"/>
        <v>2022-12</v>
      </c>
    </row>
    <row r="243" spans="1:7" x14ac:dyDescent="0.25">
      <c r="A243" s="37">
        <v>44911</v>
      </c>
      <c r="B243" s="38">
        <v>36647.662353515603</v>
      </c>
      <c r="C243" s="39">
        <f t="shared" si="15"/>
        <v>-1.1806116040452896E-2</v>
      </c>
      <c r="D243" s="38">
        <f>MAX($B$2:B243)</f>
        <v>44948.645019531301</v>
      </c>
      <c r="E243" s="40">
        <f t="shared" si="12"/>
        <v>-0.18467703892761878</v>
      </c>
      <c r="F243" s="41">
        <f t="shared" si="13"/>
        <v>81.532296107238125</v>
      </c>
      <c r="G243" s="42" t="str">
        <f t="shared" si="14"/>
        <v>2022-12</v>
      </c>
    </row>
    <row r="244" spans="1:7" x14ac:dyDescent="0.25">
      <c r="A244" s="31">
        <v>44914</v>
      </c>
      <c r="B244" s="32">
        <v>36336.898803710901</v>
      </c>
      <c r="C244" s="33">
        <f t="shared" si="15"/>
        <v>-8.4797645974515889E-3</v>
      </c>
      <c r="D244" s="32">
        <f>MAX($B$2:B244)</f>
        <v>44948.645019531301</v>
      </c>
      <c r="E244" s="34">
        <f t="shared" si="12"/>
        <v>-0.19159078570840971</v>
      </c>
      <c r="F244" s="35">
        <f t="shared" si="13"/>
        <v>80.840921429159025</v>
      </c>
      <c r="G244" s="36" t="str">
        <f t="shared" si="14"/>
        <v>2022-12</v>
      </c>
    </row>
    <row r="245" spans="1:7" x14ac:dyDescent="0.25">
      <c r="A245" s="37">
        <v>44915</v>
      </c>
      <c r="B245" s="38">
        <v>36386.624145507798</v>
      </c>
      <c r="C245" s="39">
        <f t="shared" si="15"/>
        <v>1.3684530995754507E-3</v>
      </c>
      <c r="D245" s="38">
        <f>MAX($B$2:B245)</f>
        <v>44948.645019531301</v>
      </c>
      <c r="E245" s="40">
        <f t="shared" si="12"/>
        <v>-0.19048451561338708</v>
      </c>
      <c r="F245" s="41">
        <f t="shared" si="13"/>
        <v>80.951548438661291</v>
      </c>
      <c r="G245" s="42" t="str">
        <f t="shared" si="14"/>
        <v>2022-12</v>
      </c>
    </row>
    <row r="246" spans="1:7" x14ac:dyDescent="0.25">
      <c r="A246" s="31">
        <v>44916</v>
      </c>
      <c r="B246" s="32">
        <v>36930.691528320298</v>
      </c>
      <c r="C246" s="33">
        <f t="shared" si="15"/>
        <v>1.4952400657912257E-2</v>
      </c>
      <c r="D246" s="32">
        <f>MAX($B$2:B246)</f>
        <v>44948.645019531301</v>
      </c>
      <c r="E246" s="34">
        <f t="shared" si="12"/>
        <v>-0.17838031575205449</v>
      </c>
      <c r="F246" s="35">
        <f t="shared" si="13"/>
        <v>82.161968424794551</v>
      </c>
      <c r="G246" s="36" t="str">
        <f t="shared" si="14"/>
        <v>2022-12</v>
      </c>
    </row>
    <row r="247" spans="1:7" x14ac:dyDescent="0.25">
      <c r="A247" s="37">
        <v>44917</v>
      </c>
      <c r="B247" s="38">
        <v>36403.836059570298</v>
      </c>
      <c r="C247" s="39">
        <f t="shared" si="15"/>
        <v>-1.4266060204856434E-2</v>
      </c>
      <c r="D247" s="38">
        <f>MAX($B$2:B247)</f>
        <v>44948.645019531301</v>
      </c>
      <c r="E247" s="40">
        <f t="shared" si="12"/>
        <v>-0.19010159163303075</v>
      </c>
      <c r="F247" s="41">
        <f t="shared" si="13"/>
        <v>80.989840836696928</v>
      </c>
      <c r="G247" s="42" t="str">
        <f t="shared" si="14"/>
        <v>2022-12</v>
      </c>
    </row>
    <row r="248" spans="1:7" x14ac:dyDescent="0.25">
      <c r="A248" s="31">
        <v>44918</v>
      </c>
      <c r="B248" s="32">
        <v>36613.238525390603</v>
      </c>
      <c r="C248" s="33">
        <f t="shared" si="15"/>
        <v>5.7522087913384201E-3</v>
      </c>
      <c r="D248" s="32">
        <f>MAX($B$2:B248)</f>
        <v>44948.645019531301</v>
      </c>
      <c r="E248" s="34">
        <f t="shared" si="12"/>
        <v>-0.18544288688833122</v>
      </c>
      <c r="F248" s="35">
        <f t="shared" si="13"/>
        <v>81.45571131116688</v>
      </c>
      <c r="G248" s="36" t="str">
        <f t="shared" si="14"/>
        <v>2022-12</v>
      </c>
    </row>
    <row r="249" spans="1:7" x14ac:dyDescent="0.25">
      <c r="A249" s="37">
        <v>44922</v>
      </c>
      <c r="B249" s="38">
        <v>36468.859863281301</v>
      </c>
      <c r="C249" s="39">
        <f t="shared" si="15"/>
        <v>-3.9433458476823002E-3</v>
      </c>
      <c r="D249" s="38">
        <f>MAX($B$2:B249)</f>
        <v>44948.645019531301</v>
      </c>
      <c r="E249" s="40">
        <f t="shared" si="12"/>
        <v>-0.18865496729802034</v>
      </c>
      <c r="F249" s="41">
        <f t="shared" si="13"/>
        <v>81.134503270197968</v>
      </c>
      <c r="G249" s="42" t="str">
        <f t="shared" si="14"/>
        <v>2022-12</v>
      </c>
    </row>
    <row r="250" spans="1:7" x14ac:dyDescent="0.25">
      <c r="A250" s="31">
        <v>44923</v>
      </c>
      <c r="B250" s="32">
        <v>36015.621948242202</v>
      </c>
      <c r="C250" s="33">
        <f t="shared" si="15"/>
        <v>-1.2428080196042579E-2</v>
      </c>
      <c r="D250" s="32">
        <f>MAX($B$2:B250)</f>
        <v>44948.645019531301</v>
      </c>
      <c r="E250" s="34">
        <f t="shared" si="12"/>
        <v>-0.19873842843110134</v>
      </c>
      <c r="F250" s="35">
        <f t="shared" si="13"/>
        <v>80.12615715688986</v>
      </c>
      <c r="G250" s="36" t="str">
        <f t="shared" si="14"/>
        <v>2022-12</v>
      </c>
    </row>
    <row r="251" spans="1:7" x14ac:dyDescent="0.25">
      <c r="A251" s="37">
        <v>44924</v>
      </c>
      <c r="B251" s="38">
        <v>36663.919067382798</v>
      </c>
      <c r="C251" s="39">
        <f t="shared" si="15"/>
        <v>1.8000442143474737E-2</v>
      </c>
      <c r="D251" s="38">
        <f>MAX($B$2:B251)</f>
        <v>44948.645019531301</v>
      </c>
      <c r="E251" s="40">
        <f t="shared" si="12"/>
        <v>-0.18431536587028563</v>
      </c>
      <c r="F251" s="41">
        <f t="shared" si="13"/>
        <v>81.56846341297144</v>
      </c>
      <c r="G251" s="42" t="str">
        <f t="shared" si="14"/>
        <v>2022-12</v>
      </c>
    </row>
    <row r="252" spans="1:7" x14ac:dyDescent="0.25">
      <c r="A252" s="31">
        <v>44925</v>
      </c>
      <c r="B252" s="32">
        <v>36567.343139648401</v>
      </c>
      <c r="C252" s="33">
        <f t="shared" si="15"/>
        <v>-2.634086322220619E-3</v>
      </c>
      <c r="D252" s="32">
        <f>MAX($B$2:B252)</f>
        <v>44948.645019531301</v>
      </c>
      <c r="E252" s="34">
        <f t="shared" si="12"/>
        <v>-0.18646394960829227</v>
      </c>
      <c r="F252" s="35">
        <f t="shared" si="13"/>
        <v>81.353605039170773</v>
      </c>
      <c r="G252" s="36" t="str">
        <f t="shared" si="14"/>
        <v>2022-12</v>
      </c>
    </row>
    <row r="253" spans="1:7" x14ac:dyDescent="0.25">
      <c r="A253" s="37">
        <v>44929</v>
      </c>
      <c r="B253" s="38">
        <v>36413.394165039099</v>
      </c>
      <c r="C253" s="39">
        <f t="shared" si="15"/>
        <v>-4.210012579294653E-3</v>
      </c>
      <c r="D253" s="38">
        <f>MAX($B$2:B253)</f>
        <v>44948.645019531301</v>
      </c>
      <c r="E253" s="40">
        <f t="shared" si="12"/>
        <v>-0.18988894661415101</v>
      </c>
      <c r="F253" s="41">
        <f t="shared" si="13"/>
        <v>81.011105338584898</v>
      </c>
      <c r="G253" s="42" t="str">
        <f t="shared" si="14"/>
        <v>2023-01</v>
      </c>
    </row>
    <row r="254" spans="1:7" x14ac:dyDescent="0.25">
      <c r="A254" s="31">
        <v>44930</v>
      </c>
      <c r="B254" s="32">
        <v>36694.519042968801</v>
      </c>
      <c r="C254" s="33">
        <f t="shared" si="15"/>
        <v>7.7203700554675514E-3</v>
      </c>
      <c r="D254" s="32">
        <f>MAX($B$2:B254)</f>
        <v>44948.645019531301</v>
      </c>
      <c r="E254" s="34">
        <f t="shared" si="12"/>
        <v>-0.18363458949598765</v>
      </c>
      <c r="F254" s="35">
        <f t="shared" si="13"/>
        <v>81.636541050401235</v>
      </c>
      <c r="G254" s="36" t="str">
        <f t="shared" si="14"/>
        <v>2023-01</v>
      </c>
    </row>
    <row r="255" spans="1:7" x14ac:dyDescent="0.25">
      <c r="A255" s="37">
        <v>44931</v>
      </c>
      <c r="B255" s="38">
        <v>36275.704956054702</v>
      </c>
      <c r="C255" s="39">
        <f t="shared" si="15"/>
        <v>-1.1413532533937065E-2</v>
      </c>
      <c r="D255" s="38">
        <f>MAX($B$2:B255)</f>
        <v>44948.645019531301</v>
      </c>
      <c r="E255" s="40">
        <f t="shared" si="12"/>
        <v>-0.19295220266835611</v>
      </c>
      <c r="F255" s="41">
        <f t="shared" si="13"/>
        <v>80.704779733164386</v>
      </c>
      <c r="G255" s="42" t="str">
        <f t="shared" si="14"/>
        <v>2023-01</v>
      </c>
    </row>
    <row r="256" spans="1:7" x14ac:dyDescent="0.25">
      <c r="A256" s="31">
        <v>44932</v>
      </c>
      <c r="B256" s="32">
        <v>37107.583618164099</v>
      </c>
      <c r="C256" s="33">
        <f t="shared" si="15"/>
        <v>2.2932115671277842E-2</v>
      </c>
      <c r="D256" s="32">
        <f>MAX($B$2:B256)</f>
        <v>44948.645019531301</v>
      </c>
      <c r="E256" s="34">
        <f t="shared" si="12"/>
        <v>-0.17444488922769674</v>
      </c>
      <c r="F256" s="35">
        <f t="shared" si="13"/>
        <v>82.555511077230321</v>
      </c>
      <c r="G256" s="36" t="str">
        <f t="shared" si="14"/>
        <v>2023-01</v>
      </c>
    </row>
    <row r="257" spans="1:7" x14ac:dyDescent="0.25">
      <c r="A257" s="37">
        <v>44935</v>
      </c>
      <c r="B257" s="38">
        <v>37086.550903320298</v>
      </c>
      <c r="C257" s="39">
        <f t="shared" si="15"/>
        <v>-5.6680367711969826E-4</v>
      </c>
      <c r="D257" s="38">
        <f>MAX($B$2:B257)</f>
        <v>44948.645019531301</v>
      </c>
      <c r="E257" s="40">
        <f t="shared" si="12"/>
        <v>-0.17491281690014748</v>
      </c>
      <c r="F257" s="41">
        <f t="shared" si="13"/>
        <v>82.508718309985255</v>
      </c>
      <c r="G257" s="42" t="str">
        <f t="shared" si="14"/>
        <v>2023-01</v>
      </c>
    </row>
    <row r="258" spans="1:7" x14ac:dyDescent="0.25">
      <c r="A258" s="31">
        <v>44936</v>
      </c>
      <c r="B258" s="32">
        <v>37346.630859375</v>
      </c>
      <c r="C258" s="33">
        <f t="shared" si="15"/>
        <v>7.0127836026783186E-3</v>
      </c>
      <c r="D258" s="32">
        <f>MAX($B$2:B258)</f>
        <v>44948.645019531301</v>
      </c>
      <c r="E258" s="34">
        <f t="shared" ref="E258:E321" si="16">B258/D258-1</f>
        <v>-0.16912665903172475</v>
      </c>
      <c r="F258" s="35">
        <f t="shared" ref="F258:F321" si="17">B258/$B$2*100</f>
        <v>83.087334096827519</v>
      </c>
      <c r="G258" s="36" t="str">
        <f t="shared" ref="G258:G321" si="18">TEXT(A258,"YYYY-MM")</f>
        <v>2023-01</v>
      </c>
    </row>
    <row r="259" spans="1:7" x14ac:dyDescent="0.25">
      <c r="A259" s="37">
        <v>44937</v>
      </c>
      <c r="B259" s="38">
        <v>37818.984985351599</v>
      </c>
      <c r="C259" s="39">
        <f t="shared" ref="C259:C322" si="19">B259/B258-1</f>
        <v>1.2647837706035725E-2</v>
      </c>
      <c r="D259" s="38">
        <f>MAX($B$2:B259)</f>
        <v>44948.645019531301</v>
      </c>
      <c r="E259" s="40">
        <f t="shared" si="16"/>
        <v>-0.15861790786088625</v>
      </c>
      <c r="F259" s="41">
        <f t="shared" si="17"/>
        <v>84.138209213911381</v>
      </c>
      <c r="G259" s="42" t="str">
        <f t="shared" si="18"/>
        <v>2023-01</v>
      </c>
    </row>
    <row r="260" spans="1:7" x14ac:dyDescent="0.25">
      <c r="A260" s="31">
        <v>44938</v>
      </c>
      <c r="B260" s="32">
        <v>37956.677246093801</v>
      </c>
      <c r="C260" s="33">
        <f t="shared" si="19"/>
        <v>3.64082380305919E-3</v>
      </c>
      <c r="D260" s="32">
        <f>MAX($B$2:B260)</f>
        <v>44948.645019531301</v>
      </c>
      <c r="E260" s="34">
        <f t="shared" si="16"/>
        <v>-0.15555458391235855</v>
      </c>
      <c r="F260" s="35">
        <f t="shared" si="17"/>
        <v>84.444541608764141</v>
      </c>
      <c r="G260" s="36" t="str">
        <f t="shared" si="18"/>
        <v>2023-01</v>
      </c>
    </row>
    <row r="261" spans="1:7" x14ac:dyDescent="0.25">
      <c r="A261" s="37">
        <v>44939</v>
      </c>
      <c r="B261" s="38">
        <v>38103.927612304702</v>
      </c>
      <c r="C261" s="39">
        <f t="shared" si="19"/>
        <v>3.8794324712934092E-3</v>
      </c>
      <c r="D261" s="38">
        <f>MAX($B$2:B261)</f>
        <v>44948.645019531301</v>
      </c>
      <c r="E261" s="40">
        <f t="shared" si="16"/>
        <v>-0.15227861494495332</v>
      </c>
      <c r="F261" s="41">
        <f t="shared" si="17"/>
        <v>84.772138505504671</v>
      </c>
      <c r="G261" s="42" t="str">
        <f t="shared" si="18"/>
        <v>2023-01</v>
      </c>
    </row>
    <row r="262" spans="1:7" x14ac:dyDescent="0.25">
      <c r="A262" s="31">
        <v>44943</v>
      </c>
      <c r="B262" s="32">
        <v>38034.124755859397</v>
      </c>
      <c r="C262" s="33">
        <f t="shared" si="19"/>
        <v>-1.8319071239984996E-3</v>
      </c>
      <c r="D262" s="32">
        <f>MAX($B$2:B262)</f>
        <v>44948.645019531301</v>
      </c>
      <c r="E262" s="34">
        <f t="shared" si="16"/>
        <v>-0.15383156178940149</v>
      </c>
      <c r="F262" s="35">
        <f t="shared" si="17"/>
        <v>84.616843821059845</v>
      </c>
      <c r="G262" s="36" t="str">
        <f t="shared" si="18"/>
        <v>2023-01</v>
      </c>
    </row>
    <row r="263" spans="1:7" x14ac:dyDescent="0.25">
      <c r="A263" s="37">
        <v>44944</v>
      </c>
      <c r="B263" s="38">
        <v>37433.642578125</v>
      </c>
      <c r="C263" s="39">
        <f t="shared" si="19"/>
        <v>-1.5787984647704811E-2</v>
      </c>
      <c r="D263" s="38">
        <f>MAX($B$2:B263)</f>
        <v>44948.645019531301</v>
      </c>
      <c r="E263" s="40">
        <f t="shared" si="16"/>
        <v>-0.16719085610124274</v>
      </c>
      <c r="F263" s="41">
        <f t="shared" si="17"/>
        <v>83.280914389875733</v>
      </c>
      <c r="G263" s="42" t="str">
        <f t="shared" si="18"/>
        <v>2023-01</v>
      </c>
    </row>
    <row r="264" spans="1:7" x14ac:dyDescent="0.25">
      <c r="A264" s="31">
        <v>44945</v>
      </c>
      <c r="B264" s="32">
        <v>37161.135864257798</v>
      </c>
      <c r="C264" s="33">
        <f t="shared" si="19"/>
        <v>-7.2797274082657681E-3</v>
      </c>
      <c r="D264" s="32">
        <f>MAX($B$2:B264)</f>
        <v>44948.645019531301</v>
      </c>
      <c r="E264" s="34">
        <f t="shared" si="16"/>
        <v>-0.17325347965193694</v>
      </c>
      <c r="F264" s="35">
        <f t="shared" si="17"/>
        <v>82.6746520348063</v>
      </c>
      <c r="G264" s="36" t="str">
        <f t="shared" si="18"/>
        <v>2023-01</v>
      </c>
    </row>
    <row r="265" spans="1:7" x14ac:dyDescent="0.25">
      <c r="A265" s="37">
        <v>44946</v>
      </c>
      <c r="B265" s="38">
        <v>37853.411865234397</v>
      </c>
      <c r="C265" s="39">
        <f t="shared" si="19"/>
        <v>1.8629032317670324E-2</v>
      </c>
      <c r="D265" s="38">
        <f>MAX($B$2:B265)</f>
        <v>44948.645019531301</v>
      </c>
      <c r="E265" s="40">
        <f t="shared" si="16"/>
        <v>-0.15785199200585132</v>
      </c>
      <c r="F265" s="41">
        <f t="shared" si="17"/>
        <v>84.214800799414874</v>
      </c>
      <c r="G265" s="42" t="str">
        <f t="shared" si="18"/>
        <v>2023-01</v>
      </c>
    </row>
    <row r="266" spans="1:7" x14ac:dyDescent="0.25">
      <c r="A266" s="31">
        <v>44949</v>
      </c>
      <c r="B266" s="32">
        <v>38307.589721679702</v>
      </c>
      <c r="C266" s="33">
        <f t="shared" si="19"/>
        <v>1.1998333414759754E-2</v>
      </c>
      <c r="D266" s="32">
        <f>MAX($B$2:B266)</f>
        <v>44948.645019531301</v>
      </c>
      <c r="E266" s="34">
        <f t="shared" si="16"/>
        <v>-0.14774761942136172</v>
      </c>
      <c r="F266" s="35">
        <f t="shared" si="17"/>
        <v>85.225238057863834</v>
      </c>
      <c r="G266" s="36" t="str">
        <f t="shared" si="18"/>
        <v>2023-01</v>
      </c>
    </row>
    <row r="267" spans="1:7" x14ac:dyDescent="0.25">
      <c r="A267" s="37">
        <v>44950</v>
      </c>
      <c r="B267" s="38">
        <v>38266.482543945298</v>
      </c>
      <c r="C267" s="39">
        <f t="shared" si="19"/>
        <v>-1.0730818104992546E-3</v>
      </c>
      <c r="D267" s="38">
        <f>MAX($B$2:B267)</f>
        <v>44948.645019531301</v>
      </c>
      <c r="E267" s="40">
        <f t="shared" si="16"/>
        <v>-0.14866215594891541</v>
      </c>
      <c r="F267" s="41">
        <f t="shared" si="17"/>
        <v>85.133784405108457</v>
      </c>
      <c r="G267" s="42" t="str">
        <f t="shared" si="18"/>
        <v>2023-01</v>
      </c>
    </row>
    <row r="268" spans="1:7" x14ac:dyDescent="0.25">
      <c r="A268" s="31">
        <v>44951</v>
      </c>
      <c r="B268" s="32">
        <v>38280.825805664099</v>
      </c>
      <c r="C268" s="33">
        <f t="shared" si="19"/>
        <v>3.7482571601210601E-4</v>
      </c>
      <c r="D268" s="32">
        <f>MAX($B$2:B268)</f>
        <v>44948.645019531301</v>
      </c>
      <c r="E268" s="34">
        <f t="shared" si="16"/>
        <v>-0.14834305263195069</v>
      </c>
      <c r="F268" s="35">
        <f t="shared" si="17"/>
        <v>85.165694736804937</v>
      </c>
      <c r="G268" s="36" t="str">
        <f t="shared" si="18"/>
        <v>2023-01</v>
      </c>
    </row>
    <row r="269" spans="1:7" x14ac:dyDescent="0.25">
      <c r="A269" s="37">
        <v>44952</v>
      </c>
      <c r="B269" s="38">
        <v>38701.544189453103</v>
      </c>
      <c r="C269" s="39">
        <f t="shared" si="19"/>
        <v>1.0990316298943537E-2</v>
      </c>
      <c r="D269" s="38">
        <f>MAX($B$2:B269)</f>
        <v>44948.645019531301</v>
      </c>
      <c r="E269" s="40">
        <f t="shared" si="16"/>
        <v>-0.1389830734021833</v>
      </c>
      <c r="F269" s="41">
        <f t="shared" si="17"/>
        <v>86.101692659781676</v>
      </c>
      <c r="G269" s="42" t="str">
        <f t="shared" si="18"/>
        <v>2023-01</v>
      </c>
    </row>
    <row r="270" spans="1:7" x14ac:dyDescent="0.25">
      <c r="A270" s="31">
        <v>44953</v>
      </c>
      <c r="B270" s="32">
        <v>38790.466308593801</v>
      </c>
      <c r="C270" s="33">
        <f t="shared" si="19"/>
        <v>2.2976374974963409E-3</v>
      </c>
      <c r="D270" s="32">
        <f>MAX($B$2:B270)</f>
        <v>44948.645019531301</v>
      </c>
      <c r="E270" s="34">
        <f t="shared" si="16"/>
        <v>-0.13700476862565314</v>
      </c>
      <c r="F270" s="35">
        <f t="shared" si="17"/>
        <v>86.29952313743469</v>
      </c>
      <c r="G270" s="36" t="str">
        <f t="shared" si="18"/>
        <v>2023-01</v>
      </c>
    </row>
    <row r="271" spans="1:7" x14ac:dyDescent="0.25">
      <c r="A271" s="37">
        <v>44956</v>
      </c>
      <c r="B271" s="38">
        <v>38303.768920898401</v>
      </c>
      <c r="C271" s="39">
        <f t="shared" si="19"/>
        <v>-1.254683003353263E-2</v>
      </c>
      <c r="D271" s="38">
        <f>MAX($B$2:B271)</f>
        <v>44948.645019531301</v>
      </c>
      <c r="E271" s="40">
        <f t="shared" si="16"/>
        <v>-0.14783262311345613</v>
      </c>
      <c r="F271" s="41">
        <f t="shared" si="17"/>
        <v>85.216737688654391</v>
      </c>
      <c r="G271" s="42" t="str">
        <f t="shared" si="18"/>
        <v>2023-01</v>
      </c>
    </row>
    <row r="272" spans="1:7" x14ac:dyDescent="0.25">
      <c r="A272" s="31">
        <v>44957</v>
      </c>
      <c r="B272" s="32">
        <v>38866.961669921897</v>
      </c>
      <c r="C272" s="33">
        <f t="shared" si="19"/>
        <v>1.4703324630705561E-2</v>
      </c>
      <c r="D272" s="32">
        <f>MAX($B$2:B272)</f>
        <v>44948.645019531301</v>
      </c>
      <c r="E272" s="34">
        <f t="shared" si="16"/>
        <v>-0.13530292953139655</v>
      </c>
      <c r="F272" s="35">
        <f t="shared" si="17"/>
        <v>86.46970704686035</v>
      </c>
      <c r="G272" s="36" t="str">
        <f t="shared" si="18"/>
        <v>2023-01</v>
      </c>
    </row>
    <row r="273" spans="1:7" x14ac:dyDescent="0.25">
      <c r="A273" s="37">
        <v>44958</v>
      </c>
      <c r="B273" s="38">
        <v>39280.032348632798</v>
      </c>
      <c r="C273" s="39">
        <f t="shared" si="19"/>
        <v>1.0627809866356586E-2</v>
      </c>
      <c r="D273" s="38">
        <f>MAX($B$2:B273)</f>
        <v>44948.645019531301</v>
      </c>
      <c r="E273" s="40">
        <f t="shared" si="16"/>
        <v>-0.12611309347446065</v>
      </c>
      <c r="F273" s="41">
        <f t="shared" si="17"/>
        <v>87.388690652553933</v>
      </c>
      <c r="G273" s="42" t="str">
        <f t="shared" si="18"/>
        <v>2023-02</v>
      </c>
    </row>
    <row r="274" spans="1:7" x14ac:dyDescent="0.25">
      <c r="A274" s="31">
        <v>44959</v>
      </c>
      <c r="B274" s="32">
        <v>39851.834106445298</v>
      </c>
      <c r="C274" s="33">
        <f t="shared" si="19"/>
        <v>1.4557059239092007E-2</v>
      </c>
      <c r="D274" s="32">
        <f>MAX($B$2:B274)</f>
        <v>44948.645019531301</v>
      </c>
      <c r="E274" s="34">
        <f t="shared" si="16"/>
        <v>-0.11339187000790152</v>
      </c>
      <c r="F274" s="35">
        <f t="shared" si="17"/>
        <v>88.660812999209853</v>
      </c>
      <c r="G274" s="36" t="str">
        <f t="shared" si="18"/>
        <v>2023-02</v>
      </c>
    </row>
    <row r="275" spans="1:7" x14ac:dyDescent="0.25">
      <c r="A275" s="37">
        <v>44960</v>
      </c>
      <c r="B275" s="38">
        <v>39428.256225585901</v>
      </c>
      <c r="C275" s="39">
        <f t="shared" si="19"/>
        <v>-1.0628817728388862E-2</v>
      </c>
      <c r="D275" s="38">
        <f>MAX($B$2:B275)</f>
        <v>44948.645019531301</v>
      </c>
      <c r="E275" s="40">
        <f t="shared" si="16"/>
        <v>-0.12281546621809525</v>
      </c>
      <c r="F275" s="41">
        <f t="shared" si="17"/>
        <v>87.718453378190475</v>
      </c>
      <c r="G275" s="42" t="str">
        <f t="shared" si="18"/>
        <v>2023-02</v>
      </c>
    </row>
    <row r="276" spans="1:7" x14ac:dyDescent="0.25">
      <c r="A276" s="31">
        <v>44963</v>
      </c>
      <c r="B276" s="32">
        <v>39187.283325195298</v>
      </c>
      <c r="C276" s="33">
        <f t="shared" si="19"/>
        <v>-6.1116803901215544E-3</v>
      </c>
      <c r="D276" s="32">
        <f>MAX($B$2:B276)</f>
        <v>44948.645019531301</v>
      </c>
      <c r="E276" s="34">
        <f t="shared" si="16"/>
        <v>-0.12817653773172799</v>
      </c>
      <c r="F276" s="35">
        <f t="shared" si="17"/>
        <v>87.182346226827207</v>
      </c>
      <c r="G276" s="36" t="str">
        <f t="shared" si="18"/>
        <v>2023-02</v>
      </c>
    </row>
    <row r="277" spans="1:7" x14ac:dyDescent="0.25">
      <c r="A277" s="37">
        <v>44964</v>
      </c>
      <c r="B277" s="38">
        <v>39699.8046875</v>
      </c>
      <c r="C277" s="39">
        <f t="shared" si="19"/>
        <v>1.3078767365717781E-2</v>
      </c>
      <c r="D277" s="38">
        <f>MAX($B$2:B277)</f>
        <v>44948.645019531301</v>
      </c>
      <c r="E277" s="40">
        <f t="shared" si="16"/>
        <v>-0.11677416148474662</v>
      </c>
      <c r="F277" s="41">
        <f t="shared" si="17"/>
        <v>88.322583851525337</v>
      </c>
      <c r="G277" s="42" t="str">
        <f t="shared" si="18"/>
        <v>2023-02</v>
      </c>
    </row>
    <row r="278" spans="1:7" x14ac:dyDescent="0.25">
      <c r="A278" s="31">
        <v>44965</v>
      </c>
      <c r="B278" s="32">
        <v>39265.692138671897</v>
      </c>
      <c r="C278" s="33">
        <f t="shared" si="19"/>
        <v>-1.0934878703944606E-2</v>
      </c>
      <c r="D278" s="32">
        <f>MAX($B$2:B278)</f>
        <v>44948.645019531301</v>
      </c>
      <c r="E278" s="34">
        <f t="shared" si="16"/>
        <v>-0.12643212889710065</v>
      </c>
      <c r="F278" s="35">
        <f t="shared" si="17"/>
        <v>87.356787110289929</v>
      </c>
      <c r="G278" s="36" t="str">
        <f t="shared" si="18"/>
        <v>2023-02</v>
      </c>
    </row>
    <row r="279" spans="1:7" x14ac:dyDescent="0.25">
      <c r="A279" s="37">
        <v>44966</v>
      </c>
      <c r="B279" s="38">
        <v>38925.29296875</v>
      </c>
      <c r="C279" s="39">
        <f t="shared" si="19"/>
        <v>-8.6691244030471237E-3</v>
      </c>
      <c r="D279" s="38">
        <f>MAX($B$2:B279)</f>
        <v>44948.645019531301</v>
      </c>
      <c r="E279" s="40">
        <f t="shared" si="16"/>
        <v>-0.13400519744619677</v>
      </c>
      <c r="F279" s="41">
        <f t="shared" si="17"/>
        <v>86.599480255380328</v>
      </c>
      <c r="G279" s="42" t="str">
        <f t="shared" si="18"/>
        <v>2023-02</v>
      </c>
    </row>
    <row r="280" spans="1:7" x14ac:dyDescent="0.25">
      <c r="A280" s="31">
        <v>44967</v>
      </c>
      <c r="B280" s="32">
        <v>39016.128540039099</v>
      </c>
      <c r="C280" s="33">
        <f t="shared" si="19"/>
        <v>2.3335873505698768E-3</v>
      </c>
      <c r="D280" s="32">
        <f>MAX($B$2:B280)</f>
        <v>44948.645019531301</v>
      </c>
      <c r="E280" s="34">
        <f t="shared" si="16"/>
        <v>-0.13198432292929796</v>
      </c>
      <c r="F280" s="35">
        <f t="shared" si="17"/>
        <v>86.801567707070205</v>
      </c>
      <c r="G280" s="36" t="str">
        <f t="shared" si="18"/>
        <v>2023-02</v>
      </c>
    </row>
    <row r="281" spans="1:7" x14ac:dyDescent="0.25">
      <c r="A281" s="37">
        <v>44970</v>
      </c>
      <c r="B281" s="38">
        <v>39474.142456054702</v>
      </c>
      <c r="C281" s="39">
        <f t="shared" si="19"/>
        <v>1.1739091835971882E-2</v>
      </c>
      <c r="D281" s="38">
        <f>MAX($B$2:B281)</f>
        <v>44948.645019531301</v>
      </c>
      <c r="E281" s="40">
        <f t="shared" si="16"/>
        <v>-0.12179460718110169</v>
      </c>
      <c r="F281" s="41">
        <f t="shared" si="17"/>
        <v>87.820539281889836</v>
      </c>
      <c r="G281" s="42" t="str">
        <f t="shared" si="18"/>
        <v>2023-02</v>
      </c>
    </row>
    <row r="282" spans="1:7" x14ac:dyDescent="0.25">
      <c r="A282" s="31">
        <v>44971</v>
      </c>
      <c r="B282" s="32">
        <v>39455.972290039099</v>
      </c>
      <c r="C282" s="33">
        <f t="shared" si="19"/>
        <v>-4.6030552876052955E-4</v>
      </c>
      <c r="D282" s="32">
        <f>MAX($B$2:B282)</f>
        <v>44948.645019531301</v>
      </c>
      <c r="E282" s="34">
        <f t="shared" si="16"/>
        <v>-0.12219884997880359</v>
      </c>
      <c r="F282" s="35">
        <f t="shared" si="17"/>
        <v>87.780115002119643</v>
      </c>
      <c r="G282" s="36" t="str">
        <f t="shared" si="18"/>
        <v>2023-02</v>
      </c>
    </row>
    <row r="283" spans="1:7" x14ac:dyDescent="0.25">
      <c r="A283" s="37">
        <v>44972</v>
      </c>
      <c r="B283" s="38">
        <v>39584.103393554702</v>
      </c>
      <c r="C283" s="39">
        <f t="shared" si="19"/>
        <v>3.247445090789336E-3</v>
      </c>
      <c r="D283" s="38">
        <f>MAX($B$2:B283)</f>
        <v>44948.645019531301</v>
      </c>
      <c r="E283" s="40">
        <f t="shared" si="16"/>
        <v>-0.11934823894347812</v>
      </c>
      <c r="F283" s="41">
        <f t="shared" si="17"/>
        <v>88.065176105652185</v>
      </c>
      <c r="G283" s="42" t="str">
        <f t="shared" si="18"/>
        <v>2023-02</v>
      </c>
    </row>
    <row r="284" spans="1:7" x14ac:dyDescent="0.25">
      <c r="A284" s="31">
        <v>44973</v>
      </c>
      <c r="B284" s="32">
        <v>39039.077758789099</v>
      </c>
      <c r="C284" s="33">
        <f t="shared" si="19"/>
        <v>-1.3768800807405612E-2</v>
      </c>
      <c r="D284" s="32">
        <f>MAX($B$2:B284)</f>
        <v>44948.645019531301</v>
      </c>
      <c r="E284" s="34">
        <f t="shared" si="16"/>
        <v>-0.1314737576221563</v>
      </c>
      <c r="F284" s="35">
        <f t="shared" si="17"/>
        <v>86.852624237784369</v>
      </c>
      <c r="G284" s="36" t="str">
        <f t="shared" si="18"/>
        <v>2023-02</v>
      </c>
    </row>
    <row r="285" spans="1:7" x14ac:dyDescent="0.25">
      <c r="A285" s="37">
        <v>44974</v>
      </c>
      <c r="B285" s="38">
        <v>38941.546630859397</v>
      </c>
      <c r="C285" s="39">
        <f t="shared" si="19"/>
        <v>-2.4982948760295942E-3</v>
      </c>
      <c r="D285" s="38">
        <f>MAX($B$2:B285)</f>
        <v>44948.645019531301</v>
      </c>
      <c r="E285" s="40">
        <f t="shared" si="16"/>
        <v>-0.13364359228318612</v>
      </c>
      <c r="F285" s="41">
        <f t="shared" si="17"/>
        <v>86.635640771681395</v>
      </c>
      <c r="G285" s="42" t="str">
        <f t="shared" si="18"/>
        <v>2023-02</v>
      </c>
    </row>
    <row r="286" spans="1:7" x14ac:dyDescent="0.25">
      <c r="A286" s="31">
        <v>44978</v>
      </c>
      <c r="B286" s="32">
        <v>38160.348510742202</v>
      </c>
      <c r="C286" s="33">
        <f t="shared" si="19"/>
        <v>-2.0060788225040094E-2</v>
      </c>
      <c r="D286" s="32">
        <f>MAX($B$2:B286)</f>
        <v>44948.645019531301</v>
      </c>
      <c r="E286" s="34">
        <f t="shared" si="16"/>
        <v>-0.15102338470579957</v>
      </c>
      <c r="F286" s="35">
        <f t="shared" si="17"/>
        <v>84.897661529420049</v>
      </c>
      <c r="G286" s="36" t="str">
        <f t="shared" si="18"/>
        <v>2023-02</v>
      </c>
    </row>
    <row r="287" spans="1:7" x14ac:dyDescent="0.25">
      <c r="A287" s="37">
        <v>44979</v>
      </c>
      <c r="B287" s="38">
        <v>38107.757568359397</v>
      </c>
      <c r="C287" s="39">
        <f t="shared" si="19"/>
        <v>-1.3781567631123703E-3</v>
      </c>
      <c r="D287" s="38">
        <f>MAX($B$2:B287)</f>
        <v>44948.645019531301</v>
      </c>
      <c r="E287" s="40">
        <f t="shared" si="16"/>
        <v>-0.15219340756989153</v>
      </c>
      <c r="F287" s="41">
        <f t="shared" si="17"/>
        <v>84.780659243010845</v>
      </c>
      <c r="G287" s="42" t="str">
        <f t="shared" si="18"/>
        <v>2023-02</v>
      </c>
    </row>
    <row r="288" spans="1:7" x14ac:dyDescent="0.25">
      <c r="A288" s="31">
        <v>44980</v>
      </c>
      <c r="B288" s="32">
        <v>38310.467529296897</v>
      </c>
      <c r="C288" s="33">
        <f t="shared" si="19"/>
        <v>5.3193883312043777E-3</v>
      </c>
      <c r="D288" s="32">
        <f>MAX($B$2:B288)</f>
        <v>44948.645019531301</v>
      </c>
      <c r="E288" s="34">
        <f t="shared" si="16"/>
        <v>-0.14768359507500062</v>
      </c>
      <c r="F288" s="35">
        <f t="shared" si="17"/>
        <v>85.231640492499935</v>
      </c>
      <c r="G288" s="36" t="str">
        <f t="shared" si="18"/>
        <v>2023-02</v>
      </c>
    </row>
    <row r="289" spans="1:7" x14ac:dyDescent="0.25">
      <c r="A289" s="37">
        <v>44981</v>
      </c>
      <c r="B289" s="38">
        <v>37901.217651367202</v>
      </c>
      <c r="C289" s="39">
        <f t="shared" si="19"/>
        <v>-1.0682455848828543E-2</v>
      </c>
      <c r="D289" s="38">
        <f>MAX($B$2:B289)</f>
        <v>44948.645019531301</v>
      </c>
      <c r="E289" s="40">
        <f t="shared" si="16"/>
        <v>-0.15678842743984422</v>
      </c>
      <c r="F289" s="41">
        <f t="shared" si="17"/>
        <v>84.321157256015582</v>
      </c>
      <c r="G289" s="42" t="str">
        <f t="shared" si="18"/>
        <v>2023-02</v>
      </c>
    </row>
    <row r="290" spans="1:7" x14ac:dyDescent="0.25">
      <c r="A290" s="31">
        <v>44984</v>
      </c>
      <c r="B290" s="32">
        <v>38030.307006835901</v>
      </c>
      <c r="C290" s="33">
        <f t="shared" si="19"/>
        <v>3.4059421693550807E-3</v>
      </c>
      <c r="D290" s="32">
        <f>MAX($B$2:B290)</f>
        <v>44948.645019531301</v>
      </c>
      <c r="E290" s="34">
        <f t="shared" si="16"/>
        <v>-0.1539164975871733</v>
      </c>
      <c r="F290" s="35">
        <f t="shared" si="17"/>
        <v>84.608350241282665</v>
      </c>
      <c r="G290" s="36" t="str">
        <f t="shared" si="18"/>
        <v>2023-02</v>
      </c>
    </row>
    <row r="291" spans="1:7" x14ac:dyDescent="0.25">
      <c r="A291" s="37">
        <v>44985</v>
      </c>
      <c r="B291" s="38">
        <v>37889.74609375</v>
      </c>
      <c r="C291" s="39">
        <f t="shared" si="19"/>
        <v>-3.6960236229656163E-3</v>
      </c>
      <c r="D291" s="38">
        <f>MAX($B$2:B291)</f>
        <v>44948.645019531301</v>
      </c>
      <c r="E291" s="40">
        <f t="shared" si="16"/>
        <v>-0.15704364219909261</v>
      </c>
      <c r="F291" s="41">
        <f t="shared" si="17"/>
        <v>84.295635780090734</v>
      </c>
      <c r="G291" s="42" t="str">
        <f t="shared" si="18"/>
        <v>2023-02</v>
      </c>
    </row>
    <row r="292" spans="1:7" x14ac:dyDescent="0.25">
      <c r="A292" s="31">
        <v>44986</v>
      </c>
      <c r="B292" s="32">
        <v>37744.400024414099</v>
      </c>
      <c r="C292" s="33">
        <f t="shared" si="19"/>
        <v>-3.836026479994703E-3</v>
      </c>
      <c r="D292" s="32">
        <f>MAX($B$2:B292)</f>
        <v>44948.645019531301</v>
      </c>
      <c r="E292" s="34">
        <f t="shared" si="16"/>
        <v>-0.1602772451090968</v>
      </c>
      <c r="F292" s="35">
        <f t="shared" si="17"/>
        <v>83.972275489090322</v>
      </c>
      <c r="G292" s="36" t="str">
        <f t="shared" si="18"/>
        <v>2023-03</v>
      </c>
    </row>
    <row r="293" spans="1:7" x14ac:dyDescent="0.25">
      <c r="A293" s="37">
        <v>44987</v>
      </c>
      <c r="B293" s="38">
        <v>38037.951660156301</v>
      </c>
      <c r="C293" s="39">
        <f t="shared" si="19"/>
        <v>7.7773559932685643E-3</v>
      </c>
      <c r="D293" s="38">
        <f>MAX($B$2:B293)</f>
        <v>44948.645019531301</v>
      </c>
      <c r="E293" s="40">
        <f t="shared" si="16"/>
        <v>-0.15374642230866209</v>
      </c>
      <c r="F293" s="41">
        <f t="shared" si="17"/>
        <v>84.625357769133785</v>
      </c>
      <c r="G293" s="42" t="str">
        <f t="shared" si="18"/>
        <v>2023-03</v>
      </c>
    </row>
    <row r="294" spans="1:7" x14ac:dyDescent="0.25">
      <c r="A294" s="31">
        <v>44988</v>
      </c>
      <c r="B294" s="32">
        <v>38648.001098632798</v>
      </c>
      <c r="C294" s="33">
        <f t="shared" si="19"/>
        <v>1.6037915078258802E-2</v>
      </c>
      <c r="D294" s="32">
        <f>MAX($B$2:B294)</f>
        <v>44948.645019531301</v>
      </c>
      <c r="E294" s="34">
        <f t="shared" si="16"/>
        <v>-0.14017427929497583</v>
      </c>
      <c r="F294" s="35">
        <f t="shared" si="17"/>
        <v>85.982572070502414</v>
      </c>
      <c r="G294" s="36" t="str">
        <f t="shared" si="18"/>
        <v>2023-03</v>
      </c>
    </row>
    <row r="295" spans="1:7" x14ac:dyDescent="0.25">
      <c r="A295" s="37">
        <v>44991</v>
      </c>
      <c r="B295" s="38">
        <v>38674.771118164099</v>
      </c>
      <c r="C295" s="39">
        <f t="shared" si="19"/>
        <v>6.9266246042021251E-4</v>
      </c>
      <c r="D295" s="38">
        <f>MAX($B$2:B295)</f>
        <v>44948.645019531301</v>
      </c>
      <c r="E295" s="40">
        <f t="shared" si="16"/>
        <v>-0.13957871029573965</v>
      </c>
      <c r="F295" s="41">
        <f t="shared" si="17"/>
        <v>86.042128970426035</v>
      </c>
      <c r="G295" s="42" t="str">
        <f t="shared" si="18"/>
        <v>2023-03</v>
      </c>
    </row>
    <row r="296" spans="1:7" x14ac:dyDescent="0.25">
      <c r="A296" s="31">
        <v>44992</v>
      </c>
      <c r="B296" s="32">
        <v>38081.936645507798</v>
      </c>
      <c r="C296" s="33">
        <f t="shared" si="19"/>
        <v>-1.5328713151139262E-2</v>
      </c>
      <c r="D296" s="32">
        <f>MAX($B$2:B296)</f>
        <v>44948.645019531301</v>
      </c>
      <c r="E296" s="34">
        <f t="shared" si="16"/>
        <v>-0.15276786143474952</v>
      </c>
      <c r="F296" s="35">
        <f t="shared" si="17"/>
        <v>84.723213856525049</v>
      </c>
      <c r="G296" s="36" t="str">
        <f t="shared" si="18"/>
        <v>2023-03</v>
      </c>
    </row>
    <row r="297" spans="1:7" x14ac:dyDescent="0.25">
      <c r="A297" s="37">
        <v>44993</v>
      </c>
      <c r="B297" s="38">
        <v>38144.088745117202</v>
      </c>
      <c r="C297" s="39">
        <f t="shared" si="19"/>
        <v>1.6320624706658293E-3</v>
      </c>
      <c r="D297" s="38">
        <f>MAX($B$2:B297)</f>
        <v>44948.645019531301</v>
      </c>
      <c r="E297" s="40">
        <f t="shared" si="16"/>
        <v>-0.15138512565745532</v>
      </c>
      <c r="F297" s="41">
        <f t="shared" si="17"/>
        <v>84.861487434254471</v>
      </c>
      <c r="G297" s="42" t="str">
        <f t="shared" si="18"/>
        <v>2023-03</v>
      </c>
    </row>
    <row r="298" spans="1:7" x14ac:dyDescent="0.25">
      <c r="A298" s="31">
        <v>44994</v>
      </c>
      <c r="B298" s="32">
        <v>37440.335083007798</v>
      </c>
      <c r="C298" s="33">
        <f t="shared" si="19"/>
        <v>-1.8449874810536393E-2</v>
      </c>
      <c r="D298" s="32">
        <f>MAX($B$2:B298)</f>
        <v>44948.645019531301</v>
      </c>
      <c r="E298" s="34">
        <f t="shared" si="16"/>
        <v>-0.16704196385143433</v>
      </c>
      <c r="F298" s="35">
        <f t="shared" si="17"/>
        <v>83.295803614856567</v>
      </c>
      <c r="G298" s="36" t="str">
        <f t="shared" si="18"/>
        <v>2023-03</v>
      </c>
    </row>
    <row r="299" spans="1:7" x14ac:dyDescent="0.25">
      <c r="A299" s="37">
        <v>44995</v>
      </c>
      <c r="B299" s="38">
        <v>36900.091552734397</v>
      </c>
      <c r="C299" s="39">
        <f t="shared" si="19"/>
        <v>-1.4429452329303261E-2</v>
      </c>
      <c r="D299" s="38">
        <f>MAX($B$2:B299)</f>
        <v>44948.645019531301</v>
      </c>
      <c r="E299" s="40">
        <f t="shared" si="16"/>
        <v>-0.17906109212635013</v>
      </c>
      <c r="F299" s="41">
        <f t="shared" si="17"/>
        <v>82.093890787364984</v>
      </c>
      <c r="G299" s="42" t="str">
        <f t="shared" si="18"/>
        <v>2023-03</v>
      </c>
    </row>
    <row r="300" spans="1:7" x14ac:dyDescent="0.25">
      <c r="A300" s="31">
        <v>44998</v>
      </c>
      <c r="B300" s="32">
        <v>36847.506713867202</v>
      </c>
      <c r="C300" s="33">
        <f t="shared" si="19"/>
        <v>-1.4250598482132837E-3</v>
      </c>
      <c r="D300" s="32">
        <f>MAX($B$2:B300)</f>
        <v>44948.645019531301</v>
      </c>
      <c r="E300" s="34">
        <f t="shared" si="16"/>
        <v>-0.18023097920179698</v>
      </c>
      <c r="F300" s="35">
        <f t="shared" si="17"/>
        <v>81.976902079820306</v>
      </c>
      <c r="G300" s="36" t="str">
        <f t="shared" si="18"/>
        <v>2023-03</v>
      </c>
    </row>
    <row r="301" spans="1:7" x14ac:dyDescent="0.25">
      <c r="A301" s="37">
        <v>44999</v>
      </c>
      <c r="B301" s="38">
        <v>37456.594848632798</v>
      </c>
      <c r="C301" s="39">
        <f t="shared" si="19"/>
        <v>1.6529968757326374E-2</v>
      </c>
      <c r="D301" s="38">
        <f>MAX($B$2:B301)</f>
        <v>44948.645019531301</v>
      </c>
      <c r="E301" s="40">
        <f t="shared" si="16"/>
        <v>-0.16668022289977868</v>
      </c>
      <c r="F301" s="41">
        <f t="shared" si="17"/>
        <v>83.33197771002213</v>
      </c>
      <c r="G301" s="42" t="str">
        <f t="shared" si="18"/>
        <v>2023-03</v>
      </c>
    </row>
    <row r="302" spans="1:7" x14ac:dyDescent="0.25">
      <c r="A302" s="31">
        <v>45000</v>
      </c>
      <c r="B302" s="32">
        <v>37222.326660156301</v>
      </c>
      <c r="C302" s="33">
        <f t="shared" si="19"/>
        <v>-6.254390967016854E-3</v>
      </c>
      <c r="D302" s="32">
        <f>MAX($B$2:B302)</f>
        <v>44948.645019531301</v>
      </c>
      <c r="E302" s="34">
        <f t="shared" si="16"/>
        <v>-0.1718921305863107</v>
      </c>
      <c r="F302" s="35">
        <f t="shared" si="17"/>
        <v>82.810786941368931</v>
      </c>
      <c r="G302" s="36" t="str">
        <f t="shared" si="18"/>
        <v>2023-03</v>
      </c>
    </row>
    <row r="303" spans="1:7" x14ac:dyDescent="0.25">
      <c r="A303" s="37">
        <v>45001</v>
      </c>
      <c r="B303" s="38">
        <v>37875.402832031301</v>
      </c>
      <c r="C303" s="39">
        <f t="shared" si="19"/>
        <v>1.7545280762206295E-2</v>
      </c>
      <c r="D303" s="38">
        <f>MAX($B$2:B303)</f>
        <v>44948.645019531301</v>
      </c>
      <c r="E303" s="40">
        <f t="shared" si="16"/>
        <v>-0.15736274551605511</v>
      </c>
      <c r="F303" s="41">
        <f t="shared" si="17"/>
        <v>84.263725448394496</v>
      </c>
      <c r="G303" s="42" t="str">
        <f t="shared" si="18"/>
        <v>2023-03</v>
      </c>
    </row>
    <row r="304" spans="1:7" x14ac:dyDescent="0.25">
      <c r="A304" s="31">
        <v>45002</v>
      </c>
      <c r="B304" s="32">
        <v>37432.534790039099</v>
      </c>
      <c r="C304" s="33">
        <f t="shared" si="19"/>
        <v>-1.1692761234942339E-2</v>
      </c>
      <c r="D304" s="32">
        <f>MAX($B$2:B304)</f>
        <v>44948.645019531301</v>
      </c>
      <c r="E304" s="34">
        <f t="shared" si="16"/>
        <v>-0.16721550174040323</v>
      </c>
      <c r="F304" s="35">
        <f t="shared" si="17"/>
        <v>83.278449825959683</v>
      </c>
      <c r="G304" s="36" t="str">
        <f t="shared" si="18"/>
        <v>2023-03</v>
      </c>
    </row>
    <row r="305" spans="1:7" x14ac:dyDescent="0.25">
      <c r="A305" s="37">
        <v>45005</v>
      </c>
      <c r="B305" s="38">
        <v>37792.471313476599</v>
      </c>
      <c r="C305" s="39">
        <f t="shared" si="19"/>
        <v>9.6156064625705362E-3</v>
      </c>
      <c r="D305" s="38">
        <f>MAX($B$2:B305)</f>
        <v>44948.645019531301</v>
      </c>
      <c r="E305" s="40">
        <f t="shared" si="16"/>
        <v>-0.15920777373700956</v>
      </c>
      <c r="F305" s="41">
        <f t="shared" si="17"/>
        <v>84.079222626299043</v>
      </c>
      <c r="G305" s="42" t="str">
        <f t="shared" si="18"/>
        <v>2023-03</v>
      </c>
    </row>
    <row r="306" spans="1:7" x14ac:dyDescent="0.25">
      <c r="A306" s="31">
        <v>45006</v>
      </c>
      <c r="B306" s="32">
        <v>38288.708496093801</v>
      </c>
      <c r="C306" s="33">
        <f t="shared" si="19"/>
        <v>1.3130583033352572E-2</v>
      </c>
      <c r="D306" s="32">
        <f>MAX($B$2:B306)</f>
        <v>44948.645019531301</v>
      </c>
      <c r="E306" s="34">
        <f t="shared" si="16"/>
        <v>-0.14816768159626592</v>
      </c>
      <c r="F306" s="35">
        <f t="shared" si="17"/>
        <v>85.183231840373409</v>
      </c>
      <c r="G306" s="36" t="str">
        <f t="shared" si="18"/>
        <v>2023-03</v>
      </c>
    </row>
    <row r="307" spans="1:7" x14ac:dyDescent="0.25">
      <c r="A307" s="37">
        <v>45007</v>
      </c>
      <c r="B307" s="38">
        <v>37636.019897460901</v>
      </c>
      <c r="C307" s="39">
        <f t="shared" si="19"/>
        <v>-1.7046503375779509E-2</v>
      </c>
      <c r="D307" s="38">
        <f>MAX($B$2:B307)</f>
        <v>44948.645019531301</v>
      </c>
      <c r="E307" s="40">
        <f t="shared" si="16"/>
        <v>-0.16268844408753325</v>
      </c>
      <c r="F307" s="41">
        <f t="shared" si="17"/>
        <v>83.731155591246676</v>
      </c>
      <c r="G307" s="42" t="str">
        <f t="shared" si="18"/>
        <v>2023-03</v>
      </c>
    </row>
    <row r="308" spans="1:7" x14ac:dyDescent="0.25">
      <c r="A308" s="31">
        <v>45008</v>
      </c>
      <c r="B308" s="32">
        <v>37737.759399414099</v>
      </c>
      <c r="C308" s="33">
        <f t="shared" si="19"/>
        <v>2.7032481710442813E-3</v>
      </c>
      <c r="D308" s="32">
        <f>MAX($B$2:B308)</f>
        <v>44948.645019531301</v>
      </c>
      <c r="E308" s="34">
        <f t="shared" si="16"/>
        <v>-0.16042498315541864</v>
      </c>
      <c r="F308" s="35">
        <f t="shared" si="17"/>
        <v>83.957501684458137</v>
      </c>
      <c r="G308" s="36" t="str">
        <f t="shared" si="18"/>
        <v>2023-03</v>
      </c>
    </row>
    <row r="309" spans="1:7" x14ac:dyDescent="0.25">
      <c r="A309" s="37">
        <v>45009</v>
      </c>
      <c r="B309" s="38">
        <v>37985.403442382798</v>
      </c>
      <c r="C309" s="39">
        <f t="shared" si="19"/>
        <v>6.5622349315350714E-3</v>
      </c>
      <c r="D309" s="38">
        <f>MAX($B$2:B309)</f>
        <v>44948.645019531301</v>
      </c>
      <c r="E309" s="40">
        <f t="shared" si="16"/>
        <v>-0.15491549465223708</v>
      </c>
      <c r="F309" s="41">
        <f t="shared" si="17"/>
        <v>84.508450534776287</v>
      </c>
      <c r="G309" s="42" t="str">
        <f t="shared" si="18"/>
        <v>2023-03</v>
      </c>
    </row>
    <row r="310" spans="1:7" x14ac:dyDescent="0.25">
      <c r="A310" s="31">
        <v>45012</v>
      </c>
      <c r="B310" s="32">
        <v>38056.423950195298</v>
      </c>
      <c r="C310" s="33">
        <f t="shared" si="19"/>
        <v>1.869678912854722E-3</v>
      </c>
      <c r="D310" s="32">
        <f>MAX($B$2:B310)</f>
        <v>44948.645019531301</v>
      </c>
      <c r="E310" s="34">
        <f t="shared" si="16"/>
        <v>-0.15333545797300818</v>
      </c>
      <c r="F310" s="35">
        <f t="shared" si="17"/>
        <v>84.666454202699185</v>
      </c>
      <c r="G310" s="36" t="str">
        <f t="shared" si="18"/>
        <v>2023-03</v>
      </c>
    </row>
    <row r="311" spans="1:7" x14ac:dyDescent="0.25">
      <c r="A311" s="37">
        <v>45013</v>
      </c>
      <c r="B311" s="38">
        <v>37971.002197265603</v>
      </c>
      <c r="C311" s="39">
        <f t="shared" si="19"/>
        <v>-2.2446079810727326E-3</v>
      </c>
      <c r="D311" s="38">
        <f>MAX($B$2:B311)</f>
        <v>44948.645019531301</v>
      </c>
      <c r="E311" s="40">
        <f t="shared" si="16"/>
        <v>-0.15523588796133314</v>
      </c>
      <c r="F311" s="41">
        <f t="shared" si="17"/>
        <v>84.476411203866689</v>
      </c>
      <c r="G311" s="42" t="str">
        <f t="shared" si="18"/>
        <v>2023-03</v>
      </c>
    </row>
    <row r="312" spans="1:7" x14ac:dyDescent="0.25">
      <c r="A312" s="31">
        <v>45014</v>
      </c>
      <c r="B312" s="32">
        <v>38522.906494140603</v>
      </c>
      <c r="C312" s="33">
        <f t="shared" si="19"/>
        <v>1.4534888860919803E-2</v>
      </c>
      <c r="D312" s="32">
        <f>MAX($B$2:B312)</f>
        <v>44948.645019531301</v>
      </c>
      <c r="E312" s="34">
        <f t="shared" si="16"/>
        <v>-0.14295733547915745</v>
      </c>
      <c r="F312" s="35">
        <f t="shared" si="17"/>
        <v>85.704266452084255</v>
      </c>
      <c r="G312" s="36" t="str">
        <f t="shared" si="18"/>
        <v>2023-03</v>
      </c>
    </row>
    <row r="313" spans="1:7" x14ac:dyDescent="0.25">
      <c r="A313" s="37">
        <v>45015</v>
      </c>
      <c r="B313" s="38">
        <v>38748.471069335901</v>
      </c>
      <c r="C313" s="39">
        <f t="shared" si="19"/>
        <v>5.8553363627846799E-3</v>
      </c>
      <c r="D313" s="38">
        <f>MAX($B$2:B313)</f>
        <v>44948.645019531301</v>
      </c>
      <c r="E313" s="40">
        <f t="shared" si="16"/>
        <v>-0.13793906240113063</v>
      </c>
      <c r="F313" s="41">
        <f t="shared" si="17"/>
        <v>86.20609375988694</v>
      </c>
      <c r="G313" s="42" t="str">
        <f t="shared" si="18"/>
        <v>2023-03</v>
      </c>
    </row>
    <row r="314" spans="1:7" x14ac:dyDescent="0.25">
      <c r="A314" s="31">
        <v>45016</v>
      </c>
      <c r="B314" s="32">
        <v>39294.619750976599</v>
      </c>
      <c r="C314" s="33">
        <f t="shared" si="19"/>
        <v>1.4094715651191247E-2</v>
      </c>
      <c r="D314" s="32">
        <f>MAX($B$2:B314)</f>
        <v>44948.645019531301</v>
      </c>
      <c r="E314" s="34">
        <f t="shared" si="16"/>
        <v>-0.12578855861167537</v>
      </c>
      <c r="F314" s="35">
        <f t="shared" si="17"/>
        <v>87.42114413883246</v>
      </c>
      <c r="G314" s="36" t="str">
        <f t="shared" si="18"/>
        <v>2023-03</v>
      </c>
    </row>
    <row r="315" spans="1:7" x14ac:dyDescent="0.25">
      <c r="A315" s="37">
        <v>45019</v>
      </c>
      <c r="B315" s="38">
        <v>39444.345092773401</v>
      </c>
      <c r="C315" s="39">
        <f t="shared" si="19"/>
        <v>3.8103267761759874E-3</v>
      </c>
      <c r="D315" s="38">
        <f>MAX($B$2:B315)</f>
        <v>44948.645019531301</v>
      </c>
      <c r="E315" s="40">
        <f t="shared" si="16"/>
        <v>-0.12245752734851401</v>
      </c>
      <c r="F315" s="41">
        <f t="shared" si="17"/>
        <v>87.754247265148592</v>
      </c>
      <c r="G315" s="42" t="str">
        <f t="shared" si="18"/>
        <v>2023-04</v>
      </c>
    </row>
    <row r="316" spans="1:7" x14ac:dyDescent="0.25">
      <c r="A316" s="31">
        <v>45020</v>
      </c>
      <c r="B316" s="32">
        <v>39225.503540039099</v>
      </c>
      <c r="C316" s="33">
        <f t="shared" si="19"/>
        <v>-5.5481096775618077E-3</v>
      </c>
      <c r="D316" s="32">
        <f>MAX($B$2:B316)</f>
        <v>44948.645019531301</v>
      </c>
      <c r="E316" s="34">
        <f t="shared" si="16"/>
        <v>-0.12732622923350312</v>
      </c>
      <c r="F316" s="35">
        <f t="shared" si="17"/>
        <v>87.267377076649694</v>
      </c>
      <c r="G316" s="36" t="str">
        <f t="shared" si="18"/>
        <v>2023-04</v>
      </c>
    </row>
    <row r="317" spans="1:7" x14ac:dyDescent="0.25">
      <c r="A317" s="37">
        <v>45021</v>
      </c>
      <c r="B317" s="38">
        <v>39122.805786132798</v>
      </c>
      <c r="C317" s="39">
        <f t="shared" si="19"/>
        <v>-2.6181372994096286E-3</v>
      </c>
      <c r="D317" s="38">
        <f>MAX($B$2:B317)</f>
        <v>44948.645019531301</v>
      </c>
      <c r="E317" s="40">
        <f t="shared" si="16"/>
        <v>-0.1296110089829634</v>
      </c>
      <c r="F317" s="41">
        <f t="shared" si="17"/>
        <v>87.038899101703663</v>
      </c>
      <c r="G317" s="42" t="str">
        <f t="shared" si="18"/>
        <v>2023-04</v>
      </c>
    </row>
    <row r="318" spans="1:7" x14ac:dyDescent="0.25">
      <c r="A318" s="31">
        <v>45022</v>
      </c>
      <c r="B318" s="32">
        <v>39275.418090820298</v>
      </c>
      <c r="C318" s="33">
        <f t="shared" si="19"/>
        <v>3.900852753807138E-3</v>
      </c>
      <c r="D318" s="32">
        <f>MAX($B$2:B318)</f>
        <v>44948.645019531301</v>
      </c>
      <c r="E318" s="34">
        <f t="shared" si="16"/>
        <v>-0.12621574969047111</v>
      </c>
      <c r="F318" s="35">
        <f t="shared" si="17"/>
        <v>87.378425030952883</v>
      </c>
      <c r="G318" s="36" t="str">
        <f t="shared" si="18"/>
        <v>2023-04</v>
      </c>
    </row>
    <row r="319" spans="1:7" x14ac:dyDescent="0.25">
      <c r="A319" s="37">
        <v>45026</v>
      </c>
      <c r="B319" s="38">
        <v>39315.725708007798</v>
      </c>
      <c r="C319" s="39">
        <f t="shared" si="19"/>
        <v>1.0262810466916683E-3</v>
      </c>
      <c r="D319" s="38">
        <f>MAX($B$2:B319)</f>
        <v>44948.645019531301</v>
      </c>
      <c r="E319" s="40">
        <f t="shared" si="16"/>
        <v>-0.1253190014754807</v>
      </c>
      <c r="F319" s="41">
        <f t="shared" si="17"/>
        <v>87.468099852451928</v>
      </c>
      <c r="G319" s="42" t="str">
        <f t="shared" si="18"/>
        <v>2023-04</v>
      </c>
    </row>
    <row r="320" spans="1:7" x14ac:dyDescent="0.25">
      <c r="A320" s="31">
        <v>45027</v>
      </c>
      <c r="B320" s="32">
        <v>39326.287841796897</v>
      </c>
      <c r="C320" s="33">
        <f t="shared" si="19"/>
        <v>2.68649086310635E-4</v>
      </c>
      <c r="D320" s="32">
        <f>MAX($B$2:B320)</f>
        <v>44948.645019531301</v>
      </c>
      <c r="E320" s="34">
        <f t="shared" si="16"/>
        <v>-0.12508401922441381</v>
      </c>
      <c r="F320" s="35">
        <f t="shared" si="17"/>
        <v>87.491598077558621</v>
      </c>
      <c r="G320" s="36" t="str">
        <f t="shared" si="18"/>
        <v>2023-04</v>
      </c>
    </row>
    <row r="321" spans="1:7" x14ac:dyDescent="0.25">
      <c r="A321" s="37">
        <v>45028</v>
      </c>
      <c r="B321" s="38">
        <v>39165.994262695298</v>
      </c>
      <c r="C321" s="39">
        <f t="shared" si="19"/>
        <v>-4.0759905879352853E-3</v>
      </c>
      <c r="D321" s="38">
        <f>MAX($B$2:B321)</f>
        <v>44948.645019531301</v>
      </c>
      <c r="E321" s="40">
        <f t="shared" si="16"/>
        <v>-0.12865016852728928</v>
      </c>
      <c r="F321" s="41">
        <f t="shared" si="17"/>
        <v>87.134983147271072</v>
      </c>
      <c r="G321" s="42" t="str">
        <f t="shared" si="18"/>
        <v>2023-04</v>
      </c>
    </row>
    <row r="322" spans="1:7" x14ac:dyDescent="0.25">
      <c r="A322" s="31">
        <v>45029</v>
      </c>
      <c r="B322" s="32">
        <v>39686.221313476599</v>
      </c>
      <c r="C322" s="33">
        <f t="shared" si="19"/>
        <v>1.3282620818764856E-2</v>
      </c>
      <c r="D322" s="32">
        <f>MAX($B$2:B322)</f>
        <v>44948.645019531301</v>
      </c>
      <c r="E322" s="34">
        <f t="shared" ref="E322:E385" si="20">B322/D322-1</f>
        <v>-0.11707635911534264</v>
      </c>
      <c r="F322" s="35">
        <f t="shared" ref="F322:F385" si="21">B322/$B$2*100</f>
        <v>88.292364088465732</v>
      </c>
      <c r="G322" s="36" t="str">
        <f t="shared" ref="G322:G385" si="22">TEXT(A322,"YYYY-MM")</f>
        <v>2023-04</v>
      </c>
    </row>
    <row r="323" spans="1:7" x14ac:dyDescent="0.25">
      <c r="A323" s="37">
        <v>45030</v>
      </c>
      <c r="B323" s="38">
        <v>39589.2822265625</v>
      </c>
      <c r="C323" s="39">
        <f t="shared" ref="C323:C386" si="23">B323/B322-1</f>
        <v>-2.4426383693320064E-3</v>
      </c>
      <c r="D323" s="38">
        <f>MAX($B$2:B323)</f>
        <v>44948.645019531301</v>
      </c>
      <c r="E323" s="40">
        <f t="shared" si="20"/>
        <v>-0.11923302227775778</v>
      </c>
      <c r="F323" s="41">
        <f t="shared" si="21"/>
        <v>88.076697772224222</v>
      </c>
      <c r="G323" s="42" t="str">
        <f t="shared" si="22"/>
        <v>2023-04</v>
      </c>
    </row>
    <row r="324" spans="1:7" x14ac:dyDescent="0.25">
      <c r="A324" s="31">
        <v>45033</v>
      </c>
      <c r="B324" s="32">
        <v>39731.332397460901</v>
      </c>
      <c r="C324" s="33">
        <f t="shared" si="23"/>
        <v>3.5880966491252941E-3</v>
      </c>
      <c r="D324" s="32">
        <f>MAX($B$2:B324)</f>
        <v>44948.645019531301</v>
      </c>
      <c r="E324" s="34">
        <f t="shared" si="20"/>
        <v>-0.11607274523633249</v>
      </c>
      <c r="F324" s="35">
        <f t="shared" si="21"/>
        <v>88.392725476366749</v>
      </c>
      <c r="G324" s="36" t="str">
        <f t="shared" si="22"/>
        <v>2023-04</v>
      </c>
    </row>
    <row r="325" spans="1:7" x14ac:dyDescent="0.25">
      <c r="A325" s="37">
        <v>45034</v>
      </c>
      <c r="B325" s="38">
        <v>39757.247924804702</v>
      </c>
      <c r="C325" s="39">
        <f t="shared" si="23"/>
        <v>6.5226927414729907E-4</v>
      </c>
      <c r="D325" s="38">
        <f>MAX($B$2:B325)</f>
        <v>44948.645019531301</v>
      </c>
      <c r="E325" s="40">
        <f t="shared" si="20"/>
        <v>-0.11549618664746863</v>
      </c>
      <c r="F325" s="41">
        <f t="shared" si="21"/>
        <v>88.450381335253141</v>
      </c>
      <c r="G325" s="42" t="str">
        <f t="shared" si="22"/>
        <v>2023-04</v>
      </c>
    </row>
    <row r="326" spans="1:7" x14ac:dyDescent="0.25">
      <c r="A326" s="31">
        <v>45035</v>
      </c>
      <c r="B326" s="32">
        <v>39750.531005859397</v>
      </c>
      <c r="C326" s="33">
        <f t="shared" si="23"/>
        <v>-1.6894828731628397E-4</v>
      </c>
      <c r="D326" s="32">
        <f>MAX($B$2:B326)</f>
        <v>44948.645019531301</v>
      </c>
      <c r="E326" s="34">
        <f t="shared" si="20"/>
        <v>-0.11564562205185924</v>
      </c>
      <c r="F326" s="35">
        <f t="shared" si="21"/>
        <v>88.435437794814078</v>
      </c>
      <c r="G326" s="36" t="str">
        <f t="shared" si="22"/>
        <v>2023-04</v>
      </c>
    </row>
    <row r="327" spans="1:7" x14ac:dyDescent="0.25">
      <c r="A327" s="37">
        <v>45036</v>
      </c>
      <c r="B327" s="38">
        <v>39533.609008789099</v>
      </c>
      <c r="C327" s="39">
        <f t="shared" si="23"/>
        <v>-5.4570842597881919E-3</v>
      </c>
      <c r="D327" s="38">
        <f>MAX($B$2:B327)</f>
        <v>44948.645019531301</v>
      </c>
      <c r="E327" s="40">
        <f t="shared" si="20"/>
        <v>-0.12047161840783482</v>
      </c>
      <c r="F327" s="41">
        <f t="shared" si="21"/>
        <v>87.952838159216512</v>
      </c>
      <c r="G327" s="42" t="str">
        <f t="shared" si="22"/>
        <v>2023-04</v>
      </c>
    </row>
    <row r="328" spans="1:7" x14ac:dyDescent="0.25">
      <c r="A328" s="31">
        <v>45037</v>
      </c>
      <c r="B328" s="32">
        <v>39564.324951171897</v>
      </c>
      <c r="C328" s="33">
        <f t="shared" si="23"/>
        <v>7.7695771149977055E-4</v>
      </c>
      <c r="D328" s="32">
        <f>MAX($B$2:B328)</f>
        <v>44948.645019531301</v>
      </c>
      <c r="E328" s="34">
        <f t="shared" si="20"/>
        <v>-0.11978826204927384</v>
      </c>
      <c r="F328" s="35">
        <f t="shared" si="21"/>
        <v>88.021173795072613</v>
      </c>
      <c r="G328" s="36" t="str">
        <f t="shared" si="22"/>
        <v>2023-04</v>
      </c>
    </row>
    <row r="329" spans="1:7" x14ac:dyDescent="0.25">
      <c r="A329" s="37">
        <v>45040</v>
      </c>
      <c r="B329" s="38">
        <v>39605.596923828103</v>
      </c>
      <c r="C329" s="39">
        <f t="shared" si="23"/>
        <v>1.0431613001646856E-3</v>
      </c>
      <c r="D329" s="38">
        <f>MAX($B$2:B329)</f>
        <v>44948.645019531301</v>
      </c>
      <c r="E329" s="40">
        <f t="shared" si="20"/>
        <v>-0.11887005922829286</v>
      </c>
      <c r="F329" s="41">
        <f t="shared" si="21"/>
        <v>88.112994077170711</v>
      </c>
      <c r="G329" s="42" t="str">
        <f t="shared" si="22"/>
        <v>2023-04</v>
      </c>
    </row>
    <row r="330" spans="1:7" x14ac:dyDescent="0.25">
      <c r="A330" s="31">
        <v>45041</v>
      </c>
      <c r="B330" s="32">
        <v>38976.904296875</v>
      </c>
      <c r="C330" s="33">
        <f t="shared" si="23"/>
        <v>-1.5873832886857953E-2</v>
      </c>
      <c r="D330" s="32">
        <f>MAX($B$2:B330)</f>
        <v>44948.645019531301</v>
      </c>
      <c r="E330" s="34">
        <f t="shared" si="20"/>
        <v>-0.13285696865970997</v>
      </c>
      <c r="F330" s="35">
        <f t="shared" si="21"/>
        <v>86.714303134029009</v>
      </c>
      <c r="G330" s="36" t="str">
        <f t="shared" si="22"/>
        <v>2023-04</v>
      </c>
    </row>
    <row r="331" spans="1:7" x14ac:dyDescent="0.25">
      <c r="A331" s="37">
        <v>45042</v>
      </c>
      <c r="B331" s="38">
        <v>38811.813354492202</v>
      </c>
      <c r="C331" s="39">
        <f t="shared" si="23"/>
        <v>-4.2356094041063885E-3</v>
      </c>
      <c r="D331" s="38">
        <f>MAX($B$2:B331)</f>
        <v>44948.645019531301</v>
      </c>
      <c r="E331" s="40">
        <f t="shared" si="20"/>
        <v>-0.13652984783796029</v>
      </c>
      <c r="F331" s="41">
        <f t="shared" si="21"/>
        <v>86.347015216203971</v>
      </c>
      <c r="G331" s="42" t="str">
        <f t="shared" si="22"/>
        <v>2023-04</v>
      </c>
    </row>
    <row r="332" spans="1:7" x14ac:dyDescent="0.25">
      <c r="A332" s="31">
        <v>45043</v>
      </c>
      <c r="B332" s="32">
        <v>39584.481811523401</v>
      </c>
      <c r="C332" s="33">
        <f t="shared" si="23"/>
        <v>1.9908074120988495E-2</v>
      </c>
      <c r="D332" s="32">
        <f>MAX($B$2:B332)</f>
        <v>44948.645019531301</v>
      </c>
      <c r="E332" s="34">
        <f t="shared" si="20"/>
        <v>-0.11933982004745725</v>
      </c>
      <c r="F332" s="35">
        <f t="shared" si="21"/>
        <v>88.066017995254271</v>
      </c>
      <c r="G332" s="36" t="str">
        <f t="shared" si="22"/>
        <v>2023-04</v>
      </c>
    </row>
    <row r="333" spans="1:7" x14ac:dyDescent="0.25">
      <c r="A333" s="37">
        <v>45044</v>
      </c>
      <c r="B333" s="38">
        <v>39922.3388671875</v>
      </c>
      <c r="C333" s="39">
        <f t="shared" si="23"/>
        <v>8.53508850444884E-3</v>
      </c>
      <c r="D333" s="38">
        <f>MAX($B$2:B333)</f>
        <v>44948.645019531301</v>
      </c>
      <c r="E333" s="40">
        <f t="shared" si="20"/>
        <v>-0.11182330746921842</v>
      </c>
      <c r="F333" s="41">
        <f t="shared" si="21"/>
        <v>88.817669253078151</v>
      </c>
      <c r="G333" s="42" t="str">
        <f t="shared" si="22"/>
        <v>2023-04</v>
      </c>
    </row>
    <row r="334" spans="1:7" x14ac:dyDescent="0.25">
      <c r="A334" s="31">
        <v>45047</v>
      </c>
      <c r="B334" s="32">
        <v>39882.03125</v>
      </c>
      <c r="C334" s="33">
        <f t="shared" si="23"/>
        <v>-1.0096506951057238E-3</v>
      </c>
      <c r="D334" s="32">
        <f>MAX($B$2:B334)</f>
        <v>44948.645019531301</v>
      </c>
      <c r="E334" s="34">
        <f t="shared" si="20"/>
        <v>-0.11272005568420873</v>
      </c>
      <c r="F334" s="35">
        <f t="shared" si="21"/>
        <v>88.727994431579134</v>
      </c>
      <c r="G334" s="36" t="str">
        <f t="shared" si="22"/>
        <v>2023-05</v>
      </c>
    </row>
    <row r="335" spans="1:7" x14ac:dyDescent="0.25">
      <c r="A335" s="37">
        <v>45048</v>
      </c>
      <c r="B335" s="38">
        <v>39433.786010742202</v>
      </c>
      <c r="C335" s="39">
        <f t="shared" si="23"/>
        <v>-1.1239278071068615E-2</v>
      </c>
      <c r="D335" s="38">
        <f>MAX($B$2:B335)</f>
        <v>44948.645019531301</v>
      </c>
      <c r="E335" s="40">
        <f t="shared" si="20"/>
        <v>-0.12269244170525617</v>
      </c>
      <c r="F335" s="41">
        <f t="shared" si="21"/>
        <v>87.73075582947439</v>
      </c>
      <c r="G335" s="42" t="str">
        <f t="shared" si="22"/>
        <v>2023-05</v>
      </c>
    </row>
    <row r="336" spans="1:7" x14ac:dyDescent="0.25">
      <c r="A336" s="31">
        <v>45049</v>
      </c>
      <c r="B336" s="32">
        <v>39163.1103515625</v>
      </c>
      <c r="C336" s="33">
        <f t="shared" si="23"/>
        <v>-6.8640545725425772E-3</v>
      </c>
      <c r="D336" s="32">
        <f>MAX($B$2:B336)</f>
        <v>44948.645019531301</v>
      </c>
      <c r="E336" s="34">
        <f t="shared" si="20"/>
        <v>-0.12871432866229549</v>
      </c>
      <c r="F336" s="35">
        <f t="shared" si="21"/>
        <v>87.128567133770446</v>
      </c>
      <c r="G336" s="36" t="str">
        <f t="shared" si="22"/>
        <v>2023-05</v>
      </c>
    </row>
    <row r="337" spans="1:7" x14ac:dyDescent="0.25">
      <c r="A337" s="37">
        <v>45050</v>
      </c>
      <c r="B337" s="38">
        <v>38885.729980468801</v>
      </c>
      <c r="C337" s="39">
        <f t="shared" si="23"/>
        <v>-7.0826951333459176E-3</v>
      </c>
      <c r="D337" s="38">
        <f>MAX($B$2:B337)</f>
        <v>44948.645019531301</v>
      </c>
      <c r="E337" s="40">
        <f t="shared" si="20"/>
        <v>-0.13488537944643297</v>
      </c>
      <c r="F337" s="41">
        <f t="shared" si="21"/>
        <v>86.511462055356702</v>
      </c>
      <c r="G337" s="42" t="str">
        <f t="shared" si="22"/>
        <v>2023-05</v>
      </c>
    </row>
    <row r="338" spans="1:7" x14ac:dyDescent="0.25">
      <c r="A338" s="31">
        <v>45051</v>
      </c>
      <c r="B338" s="32">
        <v>39605.596923828103</v>
      </c>
      <c r="C338" s="33">
        <f t="shared" si="23"/>
        <v>1.8512368000314527E-2</v>
      </c>
      <c r="D338" s="32">
        <f>MAX($B$2:B338)</f>
        <v>44948.645019531301</v>
      </c>
      <c r="E338" s="34">
        <f t="shared" si="20"/>
        <v>-0.11887005922829286</v>
      </c>
      <c r="F338" s="35">
        <f t="shared" si="21"/>
        <v>88.112994077170711</v>
      </c>
      <c r="G338" s="36" t="str">
        <f t="shared" si="22"/>
        <v>2023-05</v>
      </c>
    </row>
    <row r="339" spans="1:7" x14ac:dyDescent="0.25">
      <c r="A339" s="37">
        <v>45054</v>
      </c>
      <c r="B339" s="38">
        <v>39616.152954101599</v>
      </c>
      <c r="C339" s="39">
        <f t="shared" si="23"/>
        <v>2.6652875081767391E-4</v>
      </c>
      <c r="D339" s="38">
        <f>MAX($B$2:B339)</f>
        <v>44948.645019531301</v>
      </c>
      <c r="E339" s="40">
        <f t="shared" si="20"/>
        <v>-0.11863521276587097</v>
      </c>
      <c r="F339" s="41">
        <f t="shared" si="21"/>
        <v>88.136478723412907</v>
      </c>
      <c r="G339" s="42" t="str">
        <f t="shared" si="22"/>
        <v>2023-05</v>
      </c>
    </row>
    <row r="340" spans="1:7" x14ac:dyDescent="0.25">
      <c r="A340" s="31">
        <v>45055</v>
      </c>
      <c r="B340" s="32">
        <v>39442.422485351599</v>
      </c>
      <c r="C340" s="33">
        <f t="shared" si="23"/>
        <v>-4.3853442546851751E-3</v>
      </c>
      <c r="D340" s="32">
        <f>MAX($B$2:B340)</f>
        <v>44948.645019531301</v>
      </c>
      <c r="E340" s="34">
        <f t="shared" si="20"/>
        <v>-0.12250030077185003</v>
      </c>
      <c r="F340" s="35">
        <f t="shared" si="21"/>
        <v>87.749969922814998</v>
      </c>
      <c r="G340" s="36" t="str">
        <f t="shared" si="22"/>
        <v>2023-05</v>
      </c>
    </row>
    <row r="341" spans="1:7" x14ac:dyDescent="0.25">
      <c r="A341" s="37">
        <v>45056</v>
      </c>
      <c r="B341" s="38">
        <v>39626.712036132798</v>
      </c>
      <c r="C341" s="39">
        <f t="shared" si="23"/>
        <v>4.672368966425422E-3</v>
      </c>
      <c r="D341" s="38">
        <f>MAX($B$2:B341)</f>
        <v>44948.645019531301</v>
      </c>
      <c r="E341" s="40">
        <f t="shared" si="20"/>
        <v>-0.11840029840912869</v>
      </c>
      <c r="F341" s="41">
        <f t="shared" si="21"/>
        <v>88.159970159087138</v>
      </c>
      <c r="G341" s="42" t="str">
        <f t="shared" si="22"/>
        <v>2023-05</v>
      </c>
    </row>
    <row r="342" spans="1:7" x14ac:dyDescent="0.25">
      <c r="A342" s="31">
        <v>45057</v>
      </c>
      <c r="B342" s="32">
        <v>39557.611083984397</v>
      </c>
      <c r="C342" s="33">
        <f t="shared" si="23"/>
        <v>-1.7437972669898105E-3</v>
      </c>
      <c r="D342" s="32">
        <f>MAX($B$2:B342)</f>
        <v>44948.645019531301</v>
      </c>
      <c r="E342" s="34">
        <f t="shared" si="20"/>
        <v>-0.11993762955934195</v>
      </c>
      <c r="F342" s="35">
        <f t="shared" si="21"/>
        <v>88.006237044065799</v>
      </c>
      <c r="G342" s="36" t="str">
        <f t="shared" si="22"/>
        <v>2023-05</v>
      </c>
    </row>
    <row r="343" spans="1:7" x14ac:dyDescent="0.25">
      <c r="A343" s="37">
        <v>45058</v>
      </c>
      <c r="B343" s="38">
        <v>39505.776977539099</v>
      </c>
      <c r="C343" s="39">
        <f t="shared" si="23"/>
        <v>-1.3103447105349275E-3</v>
      </c>
      <c r="D343" s="38">
        <f>MAX($B$2:B343)</f>
        <v>44948.645019531301</v>
      </c>
      <c r="E343" s="40">
        <f t="shared" si="20"/>
        <v>-0.12109081463138971</v>
      </c>
      <c r="F343" s="41">
        <f t="shared" si="21"/>
        <v>87.890918536861022</v>
      </c>
      <c r="G343" s="42" t="str">
        <f t="shared" si="22"/>
        <v>2023-05</v>
      </c>
    </row>
    <row r="344" spans="1:7" x14ac:dyDescent="0.25">
      <c r="A344" s="31">
        <v>45061</v>
      </c>
      <c r="B344" s="32">
        <v>39642.074584960901</v>
      </c>
      <c r="C344" s="33">
        <f t="shared" si="23"/>
        <v>3.4500677584266004E-3</v>
      </c>
      <c r="D344" s="32">
        <f>MAX($B$2:B344)</f>
        <v>44948.645019531301</v>
      </c>
      <c r="E344" s="34">
        <f t="shared" si="20"/>
        <v>-0.11805851838836434</v>
      </c>
      <c r="F344" s="35">
        <f t="shared" si="21"/>
        <v>88.194148161163568</v>
      </c>
      <c r="G344" s="36" t="str">
        <f t="shared" si="22"/>
        <v>2023-05</v>
      </c>
    </row>
    <row r="345" spans="1:7" x14ac:dyDescent="0.25">
      <c r="A345" s="37">
        <v>45062</v>
      </c>
      <c r="B345" s="38">
        <v>39377.157592773401</v>
      </c>
      <c r="C345" s="39">
        <f t="shared" si="23"/>
        <v>-6.6827227121963872E-3</v>
      </c>
      <c r="D345" s="38">
        <f>MAX($B$2:B345)</f>
        <v>44948.645019531301</v>
      </c>
      <c r="E345" s="40">
        <f t="shared" si="20"/>
        <v>-0.12395228875835862</v>
      </c>
      <c r="F345" s="41">
        <f t="shared" si="21"/>
        <v>87.604771124164131</v>
      </c>
      <c r="G345" s="42" t="str">
        <f t="shared" si="22"/>
        <v>2023-05</v>
      </c>
    </row>
    <row r="346" spans="1:7" x14ac:dyDescent="0.25">
      <c r="A346" s="31">
        <v>45063</v>
      </c>
      <c r="B346" s="32">
        <v>39855.1513671875</v>
      </c>
      <c r="C346" s="33">
        <f t="shared" si="23"/>
        <v>1.213885926854763E-2</v>
      </c>
      <c r="D346" s="32">
        <f>MAX($B$2:B346)</f>
        <v>44948.645019531301</v>
      </c>
      <c r="E346" s="34">
        <f t="shared" si="20"/>
        <v>-0.11331806887906304</v>
      </c>
      <c r="F346" s="35">
        <f t="shared" si="21"/>
        <v>88.668193112093689</v>
      </c>
      <c r="G346" s="36" t="str">
        <f t="shared" si="22"/>
        <v>2023-05</v>
      </c>
    </row>
    <row r="347" spans="1:7" x14ac:dyDescent="0.25">
      <c r="A347" s="37">
        <v>45064</v>
      </c>
      <c r="B347" s="38">
        <v>40239.089965820298</v>
      </c>
      <c r="C347" s="39">
        <f t="shared" si="23"/>
        <v>9.6333494030809153E-3</v>
      </c>
      <c r="D347" s="38">
        <f>MAX($B$2:B347)</f>
        <v>44948.645019531301</v>
      </c>
      <c r="E347" s="40">
        <f t="shared" si="20"/>
        <v>-0.1047763520271765</v>
      </c>
      <c r="F347" s="41">
        <f t="shared" si="21"/>
        <v>89.52236479728235</v>
      </c>
      <c r="G347" s="42" t="str">
        <f t="shared" si="22"/>
        <v>2023-05</v>
      </c>
    </row>
    <row r="348" spans="1:7" x14ac:dyDescent="0.25">
      <c r="A348" s="31">
        <v>45065</v>
      </c>
      <c r="B348" s="32">
        <v>40180.535888671897</v>
      </c>
      <c r="C348" s="33">
        <f t="shared" si="23"/>
        <v>-1.4551541100491505E-3</v>
      </c>
      <c r="D348" s="32">
        <f>MAX($B$2:B348)</f>
        <v>44948.645019531301</v>
      </c>
      <c r="E348" s="34">
        <f t="shared" si="20"/>
        <v>-0.10607904039793725</v>
      </c>
      <c r="F348" s="35">
        <f t="shared" si="21"/>
        <v>89.392095960206277</v>
      </c>
      <c r="G348" s="36" t="str">
        <f t="shared" si="22"/>
        <v>2023-05</v>
      </c>
    </row>
    <row r="349" spans="1:7" x14ac:dyDescent="0.25">
      <c r="A349" s="37">
        <v>45068</v>
      </c>
      <c r="B349" s="38">
        <v>40196.853637695298</v>
      </c>
      <c r="C349" s="39">
        <f t="shared" si="23"/>
        <v>4.0611078629249064E-4</v>
      </c>
      <c r="D349" s="38">
        <f>MAX($B$2:B349)</f>
        <v>44948.645019531301</v>
      </c>
      <c r="E349" s="40">
        <f t="shared" si="20"/>
        <v>-0.10571600945414994</v>
      </c>
      <c r="F349" s="41">
        <f t="shared" si="21"/>
        <v>89.428399054585</v>
      </c>
      <c r="G349" s="42" t="str">
        <f t="shared" si="22"/>
        <v>2023-05</v>
      </c>
    </row>
    <row r="350" spans="1:7" x14ac:dyDescent="0.25">
      <c r="A350" s="31">
        <v>45069</v>
      </c>
      <c r="B350" s="32">
        <v>39745.730590820298</v>
      </c>
      <c r="C350" s="33">
        <f t="shared" si="23"/>
        <v>-1.122284472663182E-2</v>
      </c>
      <c r="D350" s="32">
        <f>MAX($B$2:B350)</f>
        <v>44948.645019531301</v>
      </c>
      <c r="E350" s="34">
        <f t="shared" si="20"/>
        <v>-0.11575241982155871</v>
      </c>
      <c r="F350" s="35">
        <f t="shared" si="21"/>
        <v>88.424758017844127</v>
      </c>
      <c r="G350" s="36" t="str">
        <f t="shared" si="22"/>
        <v>2023-05</v>
      </c>
    </row>
    <row r="351" spans="1:7" x14ac:dyDescent="0.25">
      <c r="A351" s="37">
        <v>45070</v>
      </c>
      <c r="B351" s="38">
        <v>39457.781982421897</v>
      </c>
      <c r="C351" s="39">
        <f t="shared" si="23"/>
        <v>-7.2447682837387672E-3</v>
      </c>
      <c r="D351" s="38">
        <f>MAX($B$2:B351)</f>
        <v>44948.645019531301</v>
      </c>
      <c r="E351" s="40">
        <f t="shared" si="20"/>
        <v>-0.12215858864540829</v>
      </c>
      <c r="F351" s="41">
        <f t="shared" si="21"/>
        <v>87.784141135459166</v>
      </c>
      <c r="G351" s="42" t="str">
        <f t="shared" si="22"/>
        <v>2023-05</v>
      </c>
    </row>
    <row r="352" spans="1:7" x14ac:dyDescent="0.25">
      <c r="A352" s="31">
        <v>45071</v>
      </c>
      <c r="B352" s="32">
        <v>39799.478149414099</v>
      </c>
      <c r="C352" s="33">
        <f t="shared" si="23"/>
        <v>8.6597915499766476E-3</v>
      </c>
      <c r="D352" s="32">
        <f>MAX($B$2:B352)</f>
        <v>44948.645019531301</v>
      </c>
      <c r="E352" s="34">
        <f t="shared" si="20"/>
        <v>-0.11455666500914008</v>
      </c>
      <c r="F352" s="35">
        <f t="shared" si="21"/>
        <v>88.544333499085994</v>
      </c>
      <c r="G352" s="36" t="str">
        <f t="shared" si="22"/>
        <v>2023-05</v>
      </c>
    </row>
    <row r="353" spans="1:7" x14ac:dyDescent="0.25">
      <c r="A353" s="37">
        <v>45072</v>
      </c>
      <c r="B353" s="38">
        <v>40314.920043945298</v>
      </c>
      <c r="C353" s="39">
        <f t="shared" si="23"/>
        <v>1.2950971180982318E-2</v>
      </c>
      <c r="D353" s="38">
        <f>MAX($B$2:B353)</f>
        <v>44948.645019531301</v>
      </c>
      <c r="E353" s="40">
        <f t="shared" si="20"/>
        <v>-0.10308931389528064</v>
      </c>
      <c r="F353" s="41">
        <f t="shared" si="21"/>
        <v>89.69106861047193</v>
      </c>
      <c r="G353" s="42" t="str">
        <f t="shared" si="22"/>
        <v>2023-05</v>
      </c>
    </row>
    <row r="354" spans="1:7" x14ac:dyDescent="0.25">
      <c r="A354" s="31">
        <v>45076</v>
      </c>
      <c r="B354" s="32">
        <v>40330.270385742202</v>
      </c>
      <c r="C354" s="33">
        <f t="shared" si="23"/>
        <v>3.8076081461091427E-4</v>
      </c>
      <c r="D354" s="32">
        <f>MAX($B$2:B354)</f>
        <v>44948.645019531301</v>
      </c>
      <c r="E354" s="34">
        <f t="shared" si="20"/>
        <v>-0.10274780545180617</v>
      </c>
      <c r="F354" s="35">
        <f t="shared" si="21"/>
        <v>89.725219454819381</v>
      </c>
      <c r="G354" s="36" t="str">
        <f t="shared" si="22"/>
        <v>2023-05</v>
      </c>
    </row>
    <row r="355" spans="1:7" x14ac:dyDescent="0.25">
      <c r="A355" s="37">
        <v>45077</v>
      </c>
      <c r="B355" s="38">
        <v>40106.631469726599</v>
      </c>
      <c r="C355" s="39">
        <f t="shared" si="23"/>
        <v>-5.5451876190412142E-3</v>
      </c>
      <c r="D355" s="38">
        <f>MAX($B$2:B355)</f>
        <v>44948.645019531301</v>
      </c>
      <c r="E355" s="40">
        <f t="shared" si="20"/>
        <v>-0.10772323721217236</v>
      </c>
      <c r="F355" s="41">
        <f t="shared" si="21"/>
        <v>89.227676278782766</v>
      </c>
      <c r="G355" s="42" t="str">
        <f t="shared" si="22"/>
        <v>2023-05</v>
      </c>
    </row>
    <row r="356" spans="1:7" x14ac:dyDescent="0.25">
      <c r="A356" s="31">
        <v>45078</v>
      </c>
      <c r="B356" s="32">
        <v>40487.686157226599</v>
      </c>
      <c r="C356" s="33">
        <f t="shared" si="23"/>
        <v>9.5010394425079081E-3</v>
      </c>
      <c r="D356" s="32">
        <f>MAX($B$2:B356)</f>
        <v>44948.645019531301</v>
      </c>
      <c r="E356" s="34">
        <f t="shared" si="20"/>
        <v>-9.9245680495292032E-2</v>
      </c>
      <c r="F356" s="35">
        <f t="shared" si="21"/>
        <v>90.075431950470801</v>
      </c>
      <c r="G356" s="36" t="str">
        <f t="shared" si="22"/>
        <v>2023-06</v>
      </c>
    </row>
    <row r="357" spans="1:7" x14ac:dyDescent="0.25">
      <c r="A357" s="37">
        <v>45079</v>
      </c>
      <c r="B357" s="38">
        <v>41073.184204101599</v>
      </c>
      <c r="C357" s="39">
        <f t="shared" si="23"/>
        <v>1.4461138742315915E-2</v>
      </c>
      <c r="D357" s="38">
        <f>MAX($B$2:B357)</f>
        <v>44948.645019531301</v>
      </c>
      <c r="E357" s="40">
        <f t="shared" si="20"/>
        <v>-8.6219747308194039E-2</v>
      </c>
      <c r="F357" s="41">
        <f t="shared" si="21"/>
        <v>91.378025269180597</v>
      </c>
      <c r="G357" s="42" t="str">
        <f t="shared" si="22"/>
        <v>2023-06</v>
      </c>
    </row>
    <row r="358" spans="1:7" x14ac:dyDescent="0.25">
      <c r="A358" s="31">
        <v>45082</v>
      </c>
      <c r="B358" s="32">
        <v>40994.476318359397</v>
      </c>
      <c r="C358" s="33">
        <f t="shared" si="23"/>
        <v>-1.916284000555768E-3</v>
      </c>
      <c r="D358" s="32">
        <f>MAX($B$2:B358)</f>
        <v>44948.645019531301</v>
      </c>
      <c r="E358" s="34">
        <f t="shared" si="20"/>
        <v>-8.7970809786451221E-2</v>
      </c>
      <c r="F358" s="35">
        <f t="shared" si="21"/>
        <v>91.202919021354873</v>
      </c>
      <c r="G358" s="36" t="str">
        <f t="shared" si="22"/>
        <v>2023-06</v>
      </c>
    </row>
    <row r="359" spans="1:7" x14ac:dyDescent="0.25">
      <c r="A359" s="37">
        <v>45083</v>
      </c>
      <c r="B359" s="38">
        <v>41083.740234375</v>
      </c>
      <c r="C359" s="39">
        <f t="shared" si="23"/>
        <v>2.1774620395778044E-3</v>
      </c>
      <c r="D359" s="38">
        <f>MAX($B$2:B359)</f>
        <v>44948.645019531301</v>
      </c>
      <c r="E359" s="40">
        <f t="shared" si="20"/>
        <v>-8.5984900845774148E-2</v>
      </c>
      <c r="F359" s="41">
        <f t="shared" si="21"/>
        <v>91.401509915422579</v>
      </c>
      <c r="G359" s="42" t="str">
        <f t="shared" si="22"/>
        <v>2023-06</v>
      </c>
    </row>
    <row r="360" spans="1:7" x14ac:dyDescent="0.25">
      <c r="A360" s="31">
        <v>45084</v>
      </c>
      <c r="B360" s="32">
        <v>40941.693115234397</v>
      </c>
      <c r="C360" s="33">
        <f t="shared" si="23"/>
        <v>-3.457502124447509E-3</v>
      </c>
      <c r="D360" s="32">
        <f>MAX($B$2:B360)</f>
        <v>44948.645019531301</v>
      </c>
      <c r="E360" s="34">
        <f t="shared" si="20"/>
        <v>-8.9145109992877059E-2</v>
      </c>
      <c r="F360" s="35">
        <f t="shared" si="21"/>
        <v>91.0854890007123</v>
      </c>
      <c r="G360" s="36" t="str">
        <f t="shared" si="22"/>
        <v>2023-06</v>
      </c>
    </row>
    <row r="361" spans="1:7" x14ac:dyDescent="0.25">
      <c r="A361" s="37">
        <v>45085</v>
      </c>
      <c r="B361" s="38">
        <v>41189.321899414099</v>
      </c>
      <c r="C361" s="39">
        <f t="shared" si="23"/>
        <v>6.048327886263305E-3</v>
      </c>
      <c r="D361" s="38">
        <f>MAX($B$2:B361)</f>
        <v>44948.645019531301</v>
      </c>
      <c r="E361" s="40">
        <f t="shared" si="20"/>
        <v>-8.3635960961307765E-2</v>
      </c>
      <c r="F361" s="41">
        <f t="shared" si="21"/>
        <v>91.636403903869223</v>
      </c>
      <c r="G361" s="42" t="str">
        <f t="shared" si="22"/>
        <v>2023-06</v>
      </c>
    </row>
    <row r="362" spans="1:7" x14ac:dyDescent="0.25">
      <c r="A362" s="31">
        <v>45086</v>
      </c>
      <c r="B362" s="32">
        <v>41263.226318359397</v>
      </c>
      <c r="C362" s="33">
        <f t="shared" si="23"/>
        <v>1.7942616080395268E-3</v>
      </c>
      <c r="D362" s="32">
        <f>MAX($B$2:B362)</f>
        <v>44948.645019531301</v>
      </c>
      <c r="E362" s="34">
        <f t="shared" si="20"/>
        <v>-8.1991764147072654E-2</v>
      </c>
      <c r="F362" s="35">
        <f t="shared" si="21"/>
        <v>91.800823585292733</v>
      </c>
      <c r="G362" s="36" t="str">
        <f t="shared" si="22"/>
        <v>2023-06</v>
      </c>
    </row>
    <row r="363" spans="1:7" x14ac:dyDescent="0.25">
      <c r="A363" s="37">
        <v>45089</v>
      </c>
      <c r="B363" s="38">
        <v>41637.567138671897</v>
      </c>
      <c r="C363" s="39">
        <f t="shared" si="23"/>
        <v>9.0720201426892633E-3</v>
      </c>
      <c r="D363" s="38">
        <f>MAX($B$2:B363)</f>
        <v>44948.645019531301</v>
      </c>
      <c r="E363" s="40">
        <f t="shared" si="20"/>
        <v>-7.3663574940260323E-2</v>
      </c>
      <c r="F363" s="41">
        <f t="shared" si="21"/>
        <v>92.633642505973967</v>
      </c>
      <c r="G363" s="42" t="str">
        <f t="shared" si="22"/>
        <v>2023-06</v>
      </c>
    </row>
    <row r="364" spans="1:7" x14ac:dyDescent="0.25">
      <c r="A364" s="31">
        <v>45090</v>
      </c>
      <c r="B364" s="32">
        <v>41912.078857421897</v>
      </c>
      <c r="C364" s="33">
        <f t="shared" si="23"/>
        <v>6.5928856466506147E-3</v>
      </c>
      <c r="D364" s="32">
        <f>MAX($B$2:B364)</f>
        <v>44948.645019531301</v>
      </c>
      <c r="E364" s="34">
        <f t="shared" si="20"/>
        <v>-6.7556344819514336E-2</v>
      </c>
      <c r="F364" s="35">
        <f t="shared" si="21"/>
        <v>93.244365518048568</v>
      </c>
      <c r="G364" s="36" t="str">
        <f t="shared" si="22"/>
        <v>2023-06</v>
      </c>
    </row>
    <row r="365" spans="1:7" x14ac:dyDescent="0.25">
      <c r="A365" s="37">
        <v>45091</v>
      </c>
      <c r="B365" s="38">
        <v>41961.9873046875</v>
      </c>
      <c r="C365" s="39">
        <f t="shared" si="23"/>
        <v>1.1907891144073979E-3</v>
      </c>
      <c r="D365" s="38">
        <f>MAX($B$2:B365)</f>
        <v>44948.645019531301</v>
      </c>
      <c r="E365" s="40">
        <f t="shared" si="20"/>
        <v>-6.6446001065127214E-2</v>
      </c>
      <c r="F365" s="41">
        <f t="shared" si="21"/>
        <v>93.355399893487274</v>
      </c>
      <c r="G365" s="42" t="str">
        <f t="shared" si="22"/>
        <v>2023-06</v>
      </c>
    </row>
    <row r="366" spans="1:7" x14ac:dyDescent="0.25">
      <c r="A366" s="31">
        <v>45092</v>
      </c>
      <c r="B366" s="32">
        <v>42482.214355468801</v>
      </c>
      <c r="C366" s="33">
        <f t="shared" si="23"/>
        <v>1.2397578956494959E-2</v>
      </c>
      <c r="D366" s="32">
        <f>MAX($B$2:B366)</f>
        <v>44948.645019531301</v>
      </c>
      <c r="E366" s="34">
        <f t="shared" si="20"/>
        <v>-5.487219165318058E-2</v>
      </c>
      <c r="F366" s="35">
        <f t="shared" si="21"/>
        <v>94.512780834681948</v>
      </c>
      <c r="G366" s="36" t="str">
        <f t="shared" si="22"/>
        <v>2023-06</v>
      </c>
    </row>
    <row r="367" spans="1:7" x14ac:dyDescent="0.25">
      <c r="A367" s="37">
        <v>45093</v>
      </c>
      <c r="B367" s="38">
        <v>42337.515258789099</v>
      </c>
      <c r="C367" s="39">
        <f t="shared" si="23"/>
        <v>-3.4061100362833274E-3</v>
      </c>
      <c r="D367" s="38">
        <f>MAX($B$2:B367)</f>
        <v>44948.645019531301</v>
      </c>
      <c r="E367" s="40">
        <f t="shared" si="20"/>
        <v>-5.8091400966761131E-2</v>
      </c>
      <c r="F367" s="41">
        <f t="shared" si="21"/>
        <v>94.190859903323883</v>
      </c>
      <c r="G367" s="42" t="str">
        <f t="shared" si="22"/>
        <v>2023-06</v>
      </c>
    </row>
    <row r="368" spans="1:7" x14ac:dyDescent="0.25">
      <c r="A368" s="31">
        <v>45097</v>
      </c>
      <c r="B368" s="32">
        <v>42117.858886718801</v>
      </c>
      <c r="C368" s="33">
        <f t="shared" si="23"/>
        <v>-5.1882206768073535E-3</v>
      </c>
      <c r="D368" s="32">
        <f>MAX($B$2:B368)</f>
        <v>44948.645019531301</v>
      </c>
      <c r="E368" s="34">
        <f t="shared" si="20"/>
        <v>-6.2978230635928001E-2</v>
      </c>
      <c r="F368" s="35">
        <f t="shared" si="21"/>
        <v>93.702176936407199</v>
      </c>
      <c r="G368" s="36" t="str">
        <f t="shared" si="22"/>
        <v>2023-06</v>
      </c>
    </row>
    <row r="369" spans="1:7" x14ac:dyDescent="0.25">
      <c r="A369" s="37">
        <v>45098</v>
      </c>
      <c r="B369" s="38">
        <v>41902.053833007798</v>
      </c>
      <c r="C369" s="39">
        <f t="shared" si="23"/>
        <v>-5.1238372371074092E-3</v>
      </c>
      <c r="D369" s="38">
        <f>MAX($B$2:B369)</f>
        <v>44948.645019531301</v>
      </c>
      <c r="E369" s="40">
        <f t="shared" si="20"/>
        <v>-6.7779377669775931E-2</v>
      </c>
      <c r="F369" s="41">
        <f t="shared" si="21"/>
        <v>93.222062233022413</v>
      </c>
      <c r="G369" s="42" t="str">
        <f t="shared" si="22"/>
        <v>2023-06</v>
      </c>
    </row>
    <row r="370" spans="1:7" x14ac:dyDescent="0.25">
      <c r="A370" s="31">
        <v>45099</v>
      </c>
      <c r="B370" s="32">
        <v>42053.317260742202</v>
      </c>
      <c r="C370" s="33">
        <f t="shared" si="23"/>
        <v>3.6099287241917466E-3</v>
      </c>
      <c r="D370" s="32">
        <f>MAX($B$2:B370)</f>
        <v>44948.645019531301</v>
      </c>
      <c r="E370" s="34">
        <f t="shared" si="20"/>
        <v>-6.4414127667942078E-2</v>
      </c>
      <c r="F370" s="35">
        <f t="shared" si="21"/>
        <v>93.558587233205799</v>
      </c>
      <c r="G370" s="36" t="str">
        <f t="shared" si="22"/>
        <v>2023-06</v>
      </c>
    </row>
    <row r="371" spans="1:7" x14ac:dyDescent="0.25">
      <c r="A371" s="37">
        <v>45100</v>
      </c>
      <c r="B371" s="38">
        <v>41735.397338867202</v>
      </c>
      <c r="C371" s="39">
        <f t="shared" si="23"/>
        <v>-7.5599249377595878E-3</v>
      </c>
      <c r="D371" s="38">
        <f>MAX($B$2:B371)</f>
        <v>44948.645019531301</v>
      </c>
      <c r="E371" s="40">
        <f t="shared" si="20"/>
        <v>-7.1487086635600772E-2</v>
      </c>
      <c r="F371" s="41">
        <f t="shared" si="21"/>
        <v>92.851291336439928</v>
      </c>
      <c r="G371" s="42" t="str">
        <f t="shared" si="22"/>
        <v>2023-06</v>
      </c>
    </row>
    <row r="372" spans="1:7" x14ac:dyDescent="0.25">
      <c r="A372" s="31">
        <v>45103</v>
      </c>
      <c r="B372" s="32">
        <v>41564.871215820298</v>
      </c>
      <c r="C372" s="33">
        <f t="shared" si="23"/>
        <v>-4.0858871346625136E-3</v>
      </c>
      <c r="D372" s="32">
        <f>MAX($B$2:B372)</f>
        <v>44948.645019531301</v>
      </c>
      <c r="E372" s="34">
        <f t="shared" si="20"/>
        <v>-7.5280885602684311E-2</v>
      </c>
      <c r="F372" s="35">
        <f t="shared" si="21"/>
        <v>92.471911439731571</v>
      </c>
      <c r="G372" s="36" t="str">
        <f t="shared" si="22"/>
        <v>2023-06</v>
      </c>
    </row>
    <row r="373" spans="1:7" x14ac:dyDescent="0.25">
      <c r="A373" s="37">
        <v>45104</v>
      </c>
      <c r="B373" s="38">
        <v>42020.559692382798</v>
      </c>
      <c r="C373" s="39">
        <f t="shared" si="23"/>
        <v>1.0963307794132016E-2</v>
      </c>
      <c r="D373" s="38">
        <f>MAX($B$2:B373)</f>
        <v>44948.645019531301</v>
      </c>
      <c r="E373" s="40">
        <f t="shared" si="20"/>
        <v>-6.5142905328429257E-2</v>
      </c>
      <c r="F373" s="41">
        <f t="shared" si="21"/>
        <v>93.485709467157079</v>
      </c>
      <c r="G373" s="42" t="str">
        <f t="shared" si="22"/>
        <v>2023-06</v>
      </c>
    </row>
    <row r="374" spans="1:7" x14ac:dyDescent="0.25">
      <c r="A374" s="31">
        <v>45105</v>
      </c>
      <c r="B374" s="32">
        <v>42041.754150390603</v>
      </c>
      <c r="C374" s="33">
        <f t="shared" si="23"/>
        <v>5.0438304874944606E-4</v>
      </c>
      <c r="D374" s="32">
        <f>MAX($B$2:B374)</f>
        <v>44948.645019531301</v>
      </c>
      <c r="E374" s="34">
        <f t="shared" si="20"/>
        <v>-6.4671379256873718E-2</v>
      </c>
      <c r="F374" s="35">
        <f t="shared" si="21"/>
        <v>93.532862074312632</v>
      </c>
      <c r="G374" s="36" t="str">
        <f t="shared" si="22"/>
        <v>2023-06</v>
      </c>
    </row>
    <row r="375" spans="1:7" x14ac:dyDescent="0.25">
      <c r="A375" s="37">
        <v>45106</v>
      </c>
      <c r="B375" s="38">
        <v>42207.455444335901</v>
      </c>
      <c r="C375" s="39">
        <f t="shared" si="23"/>
        <v>3.9413506237764295E-3</v>
      </c>
      <c r="D375" s="38">
        <f>MAX($B$2:B375)</f>
        <v>44948.645019531301</v>
      </c>
      <c r="E375" s="40">
        <f t="shared" si="20"/>
        <v>-6.0984921214071841E-2</v>
      </c>
      <c r="F375" s="41">
        <f t="shared" si="21"/>
        <v>93.90150787859281</v>
      </c>
      <c r="G375" s="42" t="str">
        <f t="shared" si="22"/>
        <v>2023-06</v>
      </c>
    </row>
    <row r="376" spans="1:7" x14ac:dyDescent="0.25">
      <c r="A376" s="31">
        <v>45107</v>
      </c>
      <c r="B376" s="32">
        <v>42705.535888671897</v>
      </c>
      <c r="C376" s="33">
        <f t="shared" si="23"/>
        <v>1.1800769297568126E-2</v>
      </c>
      <c r="D376" s="32">
        <f>MAX($B$2:B376)</f>
        <v>44948.645019531301</v>
      </c>
      <c r="E376" s="34">
        <f t="shared" si="20"/>
        <v>-4.9903820902381324E-2</v>
      </c>
      <c r="F376" s="35">
        <f t="shared" si="21"/>
        <v>95.009617909761872</v>
      </c>
      <c r="G376" s="36" t="str">
        <f t="shared" si="22"/>
        <v>2023-06</v>
      </c>
    </row>
    <row r="377" spans="1:7" x14ac:dyDescent="0.25">
      <c r="A377" s="37">
        <v>45110</v>
      </c>
      <c r="B377" s="38">
        <v>42754.666137695298</v>
      </c>
      <c r="C377" s="39">
        <f t="shared" si="23"/>
        <v>1.1504421616783667E-3</v>
      </c>
      <c r="D377" s="38">
        <f>MAX($B$2:B377)</f>
        <v>44948.645019531301</v>
      </c>
      <c r="E377" s="40">
        <f t="shared" si="20"/>
        <v>-4.8810790200297771E-2</v>
      </c>
      <c r="F377" s="41">
        <f t="shared" si="21"/>
        <v>95.118920979970227</v>
      </c>
      <c r="G377" s="42" t="str">
        <f t="shared" si="22"/>
        <v>2023-07</v>
      </c>
    </row>
    <row r="378" spans="1:7" x14ac:dyDescent="0.25">
      <c r="A378" s="31">
        <v>45112</v>
      </c>
      <c r="B378" s="32">
        <v>42691.085815429702</v>
      </c>
      <c r="C378" s="33">
        <f t="shared" si="23"/>
        <v>-1.4870966846245448E-3</v>
      </c>
      <c r="D378" s="32">
        <f>MAX($B$2:B378)</f>
        <v>44948.645019531301</v>
      </c>
      <c r="E378" s="34">
        <f t="shared" si="20"/>
        <v>-5.0225300520641558E-2</v>
      </c>
      <c r="F378" s="35">
        <f t="shared" si="21"/>
        <v>94.977469947935845</v>
      </c>
      <c r="G378" s="36" t="str">
        <f t="shared" si="22"/>
        <v>2023-07</v>
      </c>
    </row>
    <row r="379" spans="1:7" x14ac:dyDescent="0.25">
      <c r="A379" s="37">
        <v>45113</v>
      </c>
      <c r="B379" s="38">
        <v>42356.781005859397</v>
      </c>
      <c r="C379" s="39">
        <f t="shared" si="23"/>
        <v>-7.8307872284072433E-3</v>
      </c>
      <c r="D379" s="38">
        <f>MAX($B$2:B379)</f>
        <v>44948.645019531301</v>
      </c>
      <c r="E379" s="40">
        <f t="shared" si="20"/>
        <v>-5.7662784107188836E-2</v>
      </c>
      <c r="F379" s="41">
        <f t="shared" si="21"/>
        <v>94.233721589281117</v>
      </c>
      <c r="G379" s="42" t="str">
        <f t="shared" si="22"/>
        <v>2023-07</v>
      </c>
    </row>
    <row r="380" spans="1:7" x14ac:dyDescent="0.25">
      <c r="A380" s="31">
        <v>45114</v>
      </c>
      <c r="B380" s="32">
        <v>42249.844360351599</v>
      </c>
      <c r="C380" s="33">
        <f t="shared" si="23"/>
        <v>-2.5246641262235414E-3</v>
      </c>
      <c r="D380" s="32">
        <f>MAX($B$2:B380)</f>
        <v>44948.645019531301</v>
      </c>
      <c r="E380" s="34">
        <f t="shared" si="20"/>
        <v>-6.0041869070958764E-2</v>
      </c>
      <c r="F380" s="35">
        <f t="shared" si="21"/>
        <v>93.995813092904129</v>
      </c>
      <c r="G380" s="36" t="str">
        <f t="shared" si="22"/>
        <v>2023-07</v>
      </c>
    </row>
    <row r="381" spans="1:7" x14ac:dyDescent="0.25">
      <c r="A381" s="37">
        <v>45117</v>
      </c>
      <c r="B381" s="38">
        <v>42356.781005859397</v>
      </c>
      <c r="C381" s="39">
        <f t="shared" si="23"/>
        <v>2.5310541879333126E-3</v>
      </c>
      <c r="D381" s="38">
        <f>MAX($B$2:B381)</f>
        <v>44948.645019531301</v>
      </c>
      <c r="E381" s="40">
        <f t="shared" si="20"/>
        <v>-5.7662784107188836E-2</v>
      </c>
      <c r="F381" s="41">
        <f t="shared" si="21"/>
        <v>94.233721589281117</v>
      </c>
      <c r="G381" s="42" t="str">
        <f t="shared" si="22"/>
        <v>2023-07</v>
      </c>
    </row>
    <row r="382" spans="1:7" x14ac:dyDescent="0.25">
      <c r="A382" s="31">
        <v>45118</v>
      </c>
      <c r="B382" s="32">
        <v>42626.531982421897</v>
      </c>
      <c r="C382" s="33">
        <f t="shared" si="23"/>
        <v>6.3685428910469355E-3</v>
      </c>
      <c r="D382" s="32">
        <f>MAX($B$2:B382)</f>
        <v>44948.645019531301</v>
      </c>
      <c r="E382" s="34">
        <f t="shared" si="20"/>
        <v>-5.1661469129945736E-2</v>
      </c>
      <c r="F382" s="35">
        <f t="shared" si="21"/>
        <v>94.833853087005423</v>
      </c>
      <c r="G382" s="36" t="str">
        <f t="shared" si="22"/>
        <v>2023-07</v>
      </c>
    </row>
    <row r="383" spans="1:7" x14ac:dyDescent="0.25">
      <c r="A383" s="37">
        <v>45119</v>
      </c>
      <c r="B383" s="38">
        <v>42969.503784179702</v>
      </c>
      <c r="C383" s="39">
        <f t="shared" si="23"/>
        <v>8.0459700990744842E-3</v>
      </c>
      <c r="D383" s="38">
        <f>MAX($B$2:B383)</f>
        <v>44948.645019531301</v>
      </c>
      <c r="E383" s="40">
        <f t="shared" si="20"/>
        <v>-4.4031165666765126E-2</v>
      </c>
      <c r="F383" s="41">
        <f t="shared" si="21"/>
        <v>95.596883433323484</v>
      </c>
      <c r="G383" s="42" t="str">
        <f t="shared" si="22"/>
        <v>2023-07</v>
      </c>
    </row>
    <row r="384" spans="1:7" x14ac:dyDescent="0.25">
      <c r="A384" s="31">
        <v>45120</v>
      </c>
      <c r="B384" s="32">
        <v>43310.543823242202</v>
      </c>
      <c r="C384" s="33">
        <f t="shared" si="23"/>
        <v>7.9367925860960309E-3</v>
      </c>
      <c r="D384" s="32">
        <f>MAX($B$2:B384)</f>
        <v>44948.645019531301</v>
      </c>
      <c r="E384" s="34">
        <f t="shared" si="20"/>
        <v>-3.6443839309890258E-2</v>
      </c>
      <c r="F384" s="35">
        <f t="shared" si="21"/>
        <v>96.355616069010978</v>
      </c>
      <c r="G384" s="36" t="str">
        <f t="shared" si="22"/>
        <v>2023-07</v>
      </c>
    </row>
    <row r="385" spans="1:7" x14ac:dyDescent="0.25">
      <c r="A385" s="37">
        <v>45121</v>
      </c>
      <c r="B385" s="38">
        <v>43283.575439453103</v>
      </c>
      <c r="C385" s="39">
        <f t="shared" si="23"/>
        <v>-6.2267479021183014E-4</v>
      </c>
      <c r="D385" s="38">
        <f>MAX($B$2:B385)</f>
        <v>44948.645019531301</v>
      </c>
      <c r="E385" s="40">
        <f t="shared" si="20"/>
        <v>-3.7043821440105318E-2</v>
      </c>
      <c r="F385" s="41">
        <f t="shared" si="21"/>
        <v>96.295617855989462</v>
      </c>
      <c r="G385" s="42" t="str">
        <f t="shared" si="22"/>
        <v>2023-07</v>
      </c>
    </row>
    <row r="386" spans="1:7" x14ac:dyDescent="0.25">
      <c r="A386" s="31">
        <v>45124</v>
      </c>
      <c r="B386" s="32">
        <v>43433.856201171897</v>
      </c>
      <c r="C386" s="33">
        <f t="shared" si="23"/>
        <v>3.4720043386669008E-3</v>
      </c>
      <c r="D386" s="32">
        <f>MAX($B$2:B386)</f>
        <v>44948.645019531301</v>
      </c>
      <c r="E386" s="34">
        <f t="shared" ref="E386:E449" si="24">B386/D386-1</f>
        <v>-3.3700433410199349E-2</v>
      </c>
      <c r="F386" s="35">
        <f t="shared" ref="F386:F449" si="25">B386/$B$2*100</f>
        <v>96.629956658980063</v>
      </c>
      <c r="G386" s="36" t="str">
        <f t="shared" ref="G386:G449" si="26">TEXT(A386,"YYYY-MM")</f>
        <v>2023-07</v>
      </c>
    </row>
    <row r="387" spans="1:7" x14ac:dyDescent="0.25">
      <c r="A387" s="37">
        <v>45125</v>
      </c>
      <c r="B387" s="38">
        <v>43756.597900390603</v>
      </c>
      <c r="C387" s="39">
        <f t="shared" ref="C387:C450" si="27">B387/B386-1</f>
        <v>7.4306480576780132E-3</v>
      </c>
      <c r="D387" s="38">
        <f>MAX($B$2:B387)</f>
        <v>44948.645019531301</v>
      </c>
      <c r="E387" s="40">
        <f t="shared" si="24"/>
        <v>-2.652020141258371E-2</v>
      </c>
      <c r="F387" s="41">
        <f t="shared" si="25"/>
        <v>97.347979858741624</v>
      </c>
      <c r="G387" s="42" t="str">
        <f t="shared" si="26"/>
        <v>2023-07</v>
      </c>
    </row>
    <row r="388" spans="1:7" x14ac:dyDescent="0.25">
      <c r="A388" s="31">
        <v>45126</v>
      </c>
      <c r="B388" s="32">
        <v>43853.900146484397</v>
      </c>
      <c r="C388" s="33">
        <f t="shared" si="27"/>
        <v>2.2237159825655439E-3</v>
      </c>
      <c r="D388" s="32">
        <f>MAX($B$2:B388)</f>
        <v>44948.645019531301</v>
      </c>
      <c r="E388" s="34">
        <f t="shared" si="24"/>
        <v>-2.4355458825760179E-2</v>
      </c>
      <c r="F388" s="35">
        <f t="shared" si="25"/>
        <v>97.564454117423978</v>
      </c>
      <c r="G388" s="36" t="str">
        <f t="shared" si="26"/>
        <v>2023-07</v>
      </c>
    </row>
    <row r="389" spans="1:7" x14ac:dyDescent="0.25">
      <c r="A389" s="37">
        <v>45127</v>
      </c>
      <c r="B389" s="38">
        <v>43562.954711914099</v>
      </c>
      <c r="C389" s="39">
        <f t="shared" si="27"/>
        <v>-6.6344255265429197E-3</v>
      </c>
      <c r="D389" s="38">
        <f>MAX($B$2:B389)</f>
        <v>44948.645019531301</v>
      </c>
      <c r="E389" s="40">
        <f t="shared" si="24"/>
        <v>-3.0828299874558707E-2</v>
      </c>
      <c r="F389" s="41">
        <f t="shared" si="25"/>
        <v>96.917170012544133</v>
      </c>
      <c r="G389" s="42" t="str">
        <f t="shared" si="26"/>
        <v>2023-07</v>
      </c>
    </row>
    <row r="390" spans="1:7" x14ac:dyDescent="0.25">
      <c r="A390" s="31">
        <v>45128</v>
      </c>
      <c r="B390" s="32">
        <v>43562.954711914099</v>
      </c>
      <c r="C390" s="33">
        <f t="shared" si="27"/>
        <v>0</v>
      </c>
      <c r="D390" s="32">
        <f>MAX($B$2:B390)</f>
        <v>44948.645019531301</v>
      </c>
      <c r="E390" s="34">
        <f t="shared" si="24"/>
        <v>-3.0828299874558707E-2</v>
      </c>
      <c r="F390" s="35">
        <f t="shared" si="25"/>
        <v>96.917170012544133</v>
      </c>
      <c r="G390" s="36" t="str">
        <f t="shared" si="26"/>
        <v>2023-07</v>
      </c>
    </row>
    <row r="391" spans="1:7" x14ac:dyDescent="0.25">
      <c r="A391" s="37">
        <v>45131</v>
      </c>
      <c r="B391" s="38">
        <v>43757.562255859397</v>
      </c>
      <c r="C391" s="39">
        <f t="shared" si="27"/>
        <v>4.4672714519080614E-3</v>
      </c>
      <c r="D391" s="38">
        <f>MAX($B$2:B391)</f>
        <v>44948.645019531301</v>
      </c>
      <c r="E391" s="40">
        <f t="shared" si="24"/>
        <v>-2.6498746806591145E-2</v>
      </c>
      <c r="F391" s="41">
        <f t="shared" si="25"/>
        <v>97.35012531934089</v>
      </c>
      <c r="G391" s="42" t="str">
        <f t="shared" si="26"/>
        <v>2023-07</v>
      </c>
    </row>
    <row r="392" spans="1:7" x14ac:dyDescent="0.25">
      <c r="A392" s="31">
        <v>45132</v>
      </c>
      <c r="B392" s="32">
        <v>43877.029418945298</v>
      </c>
      <c r="C392" s="33">
        <f t="shared" si="27"/>
        <v>2.730206093003007E-3</v>
      </c>
      <c r="D392" s="32">
        <f>MAX($B$2:B392)</f>
        <v>44948.645019531301</v>
      </c>
      <c r="E392" s="34">
        <f t="shared" si="24"/>
        <v>-2.3840887753576512E-2</v>
      </c>
      <c r="F392" s="35">
        <f t="shared" si="25"/>
        <v>97.615911224642346</v>
      </c>
      <c r="G392" s="36" t="str">
        <f t="shared" si="26"/>
        <v>2023-07</v>
      </c>
    </row>
    <row r="393" spans="1:7" x14ac:dyDescent="0.25">
      <c r="A393" s="37">
        <v>45133</v>
      </c>
      <c r="B393" s="38">
        <v>43883.770751953103</v>
      </c>
      <c r="C393" s="39">
        <f t="shared" si="27"/>
        <v>1.5364150894159323E-4</v>
      </c>
      <c r="D393" s="38">
        <f>MAX($B$2:B393)</f>
        <v>44948.645019531301</v>
      </c>
      <c r="E393" s="40">
        <f t="shared" si="24"/>
        <v>-2.3690909194603815E-2</v>
      </c>
      <c r="F393" s="41">
        <f t="shared" si="25"/>
        <v>97.630909080539624</v>
      </c>
      <c r="G393" s="42" t="str">
        <f t="shared" si="26"/>
        <v>2023-07</v>
      </c>
    </row>
    <row r="394" spans="1:7" x14ac:dyDescent="0.25">
      <c r="A394" s="31">
        <v>45134</v>
      </c>
      <c r="B394" s="32">
        <v>43592.825317382798</v>
      </c>
      <c r="C394" s="33">
        <f t="shared" si="27"/>
        <v>-6.6299096359525578E-3</v>
      </c>
      <c r="D394" s="32">
        <f>MAX($B$2:B394)</f>
        <v>44948.645019531301</v>
      </c>
      <c r="E394" s="34">
        <f t="shared" si="24"/>
        <v>-3.0163750243402565E-2</v>
      </c>
      <c r="F394" s="35">
        <f t="shared" si="25"/>
        <v>96.983624975659737</v>
      </c>
      <c r="G394" s="36" t="str">
        <f t="shared" si="26"/>
        <v>2023-07</v>
      </c>
    </row>
    <row r="395" spans="1:7" x14ac:dyDescent="0.25">
      <c r="A395" s="37">
        <v>45135</v>
      </c>
      <c r="B395" s="38">
        <v>44019.610595703103</v>
      </c>
      <c r="C395" s="39">
        <f t="shared" si="27"/>
        <v>9.790264228414669E-3</v>
      </c>
      <c r="D395" s="38">
        <f>MAX($B$2:B395)</f>
        <v>44948.645019531301</v>
      </c>
      <c r="E395" s="40">
        <f t="shared" si="24"/>
        <v>-2.0668797099990699E-2</v>
      </c>
      <c r="F395" s="41">
        <f t="shared" si="25"/>
        <v>97.933120290000929</v>
      </c>
      <c r="G395" s="42" t="str">
        <f t="shared" si="26"/>
        <v>2023-07</v>
      </c>
    </row>
    <row r="396" spans="1:7" x14ac:dyDescent="0.25">
      <c r="A396" s="31">
        <v>45138</v>
      </c>
      <c r="B396" s="32">
        <v>44103.424072265603</v>
      </c>
      <c r="C396" s="33">
        <f t="shared" si="27"/>
        <v>1.9040031347001829E-3</v>
      </c>
      <c r="D396" s="32">
        <f>MAX($B$2:B396)</f>
        <v>44948.645019531301</v>
      </c>
      <c r="E396" s="34">
        <f t="shared" si="24"/>
        <v>-1.8804147419759332E-2</v>
      </c>
      <c r="F396" s="35">
        <f t="shared" si="25"/>
        <v>98.119585258024074</v>
      </c>
      <c r="G396" s="36" t="str">
        <f t="shared" si="26"/>
        <v>2023-07</v>
      </c>
    </row>
    <row r="397" spans="1:7" x14ac:dyDescent="0.25">
      <c r="A397" s="37">
        <v>45139</v>
      </c>
      <c r="B397" s="38">
        <v>43977.2216796875</v>
      </c>
      <c r="C397" s="39">
        <f t="shared" si="27"/>
        <v>-2.8615100807437566E-3</v>
      </c>
      <c r="D397" s="38">
        <f>MAX($B$2:B397)</f>
        <v>44948.645019531301</v>
      </c>
      <c r="E397" s="40">
        <f t="shared" si="24"/>
        <v>-2.1611849243101666E-2</v>
      </c>
      <c r="F397" s="41">
        <f t="shared" si="25"/>
        <v>97.838815075689837</v>
      </c>
      <c r="G397" s="42" t="str">
        <f t="shared" si="26"/>
        <v>2023-08</v>
      </c>
    </row>
    <row r="398" spans="1:7" x14ac:dyDescent="0.25">
      <c r="A398" s="31">
        <v>45140</v>
      </c>
      <c r="B398" s="32">
        <v>43365.463256835901</v>
      </c>
      <c r="C398" s="33">
        <f t="shared" si="27"/>
        <v>-1.3910801989889254E-2</v>
      </c>
      <c r="D398" s="32">
        <f>MAX($B$2:B398)</f>
        <v>44948.645019531301</v>
      </c>
      <c r="E398" s="34">
        <f t="shared" si="24"/>
        <v>-3.5222013077534808E-2</v>
      </c>
      <c r="F398" s="35">
        <f t="shared" si="25"/>
        <v>96.477798692246523</v>
      </c>
      <c r="G398" s="36" t="str">
        <f t="shared" si="26"/>
        <v>2023-08</v>
      </c>
    </row>
    <row r="399" spans="1:7" x14ac:dyDescent="0.25">
      <c r="A399" s="37">
        <v>45141</v>
      </c>
      <c r="B399" s="38">
        <v>43241.183471679702</v>
      </c>
      <c r="C399" s="39">
        <f t="shared" si="27"/>
        <v>-2.8658701146611065E-3</v>
      </c>
      <c r="D399" s="38">
        <f>MAX($B$2:B399)</f>
        <v>44948.645019531301</v>
      </c>
      <c r="E399" s="40">
        <f t="shared" si="24"/>
        <v>-3.7986941477538783E-2</v>
      </c>
      <c r="F399" s="41">
        <f t="shared" si="25"/>
        <v>96.201305852246122</v>
      </c>
      <c r="G399" s="42" t="str">
        <f t="shared" si="26"/>
        <v>2023-08</v>
      </c>
    </row>
    <row r="400" spans="1:7" x14ac:dyDescent="0.25">
      <c r="A400" s="31">
        <v>45142</v>
      </c>
      <c r="B400" s="32">
        <v>43045.614624023401</v>
      </c>
      <c r="C400" s="33">
        <f t="shared" si="27"/>
        <v>-4.5227450304264893E-3</v>
      </c>
      <c r="D400" s="32">
        <f>MAX($B$2:B400)</f>
        <v>44948.645019531301</v>
      </c>
      <c r="E400" s="34">
        <f t="shared" si="24"/>
        <v>-4.2337881257176635E-2</v>
      </c>
      <c r="F400" s="35">
        <f t="shared" si="25"/>
        <v>95.766211874282334</v>
      </c>
      <c r="G400" s="36" t="str">
        <f t="shared" si="26"/>
        <v>2023-08</v>
      </c>
    </row>
    <row r="401" spans="1:7" x14ac:dyDescent="0.25">
      <c r="A401" s="37">
        <v>45145</v>
      </c>
      <c r="B401" s="38">
        <v>43421.340942382798</v>
      </c>
      <c r="C401" s="39">
        <f t="shared" si="27"/>
        <v>8.7285620530948016E-3</v>
      </c>
      <c r="D401" s="38">
        <f>MAX($B$2:B401)</f>
        <v>44948.645019531301</v>
      </c>
      <c r="E401" s="40">
        <f t="shared" si="24"/>
        <v>-3.3978868027831566E-2</v>
      </c>
      <c r="F401" s="41">
        <f t="shared" si="25"/>
        <v>96.602113197216838</v>
      </c>
      <c r="G401" s="42" t="str">
        <f t="shared" si="26"/>
        <v>2023-08</v>
      </c>
    </row>
    <row r="402" spans="1:7" x14ac:dyDescent="0.25">
      <c r="A402" s="31">
        <v>45146</v>
      </c>
      <c r="B402" s="32">
        <v>43232.510375976599</v>
      </c>
      <c r="C402" s="33">
        <f t="shared" si="27"/>
        <v>-4.3487962902104549E-3</v>
      </c>
      <c r="D402" s="32">
        <f>MAX($B$2:B402)</f>
        <v>44948.645019531301</v>
      </c>
      <c r="E402" s="34">
        <f t="shared" si="24"/>
        <v>-3.817989714281711E-2</v>
      </c>
      <c r="F402" s="35">
        <f t="shared" si="25"/>
        <v>96.182010285718292</v>
      </c>
      <c r="G402" s="36" t="str">
        <f t="shared" si="26"/>
        <v>2023-08</v>
      </c>
    </row>
    <row r="403" spans="1:7" x14ac:dyDescent="0.25">
      <c r="A403" s="37">
        <v>45147</v>
      </c>
      <c r="B403" s="38">
        <v>42943.496704101599</v>
      </c>
      <c r="C403" s="39">
        <f t="shared" si="27"/>
        <v>-6.6851003876841064E-3</v>
      </c>
      <c r="D403" s="38">
        <f>MAX($B$2:B403)</f>
        <v>44948.645019531301</v>
      </c>
      <c r="E403" s="40">
        <f t="shared" si="24"/>
        <v>-4.4609761085310007E-2</v>
      </c>
      <c r="F403" s="41">
        <f t="shared" si="25"/>
        <v>95.539023891469</v>
      </c>
      <c r="G403" s="42" t="str">
        <f t="shared" si="26"/>
        <v>2023-08</v>
      </c>
    </row>
    <row r="404" spans="1:7" x14ac:dyDescent="0.25">
      <c r="A404" s="31">
        <v>45148</v>
      </c>
      <c r="B404" s="32">
        <v>42958.908081054702</v>
      </c>
      <c r="C404" s="33">
        <f t="shared" si="27"/>
        <v>3.5887568865877739E-4</v>
      </c>
      <c r="D404" s="32">
        <f>MAX($B$2:B404)</f>
        <v>44948.645019531301</v>
      </c>
      <c r="E404" s="34">
        <f t="shared" si="24"/>
        <v>-4.4266894755381592E-2</v>
      </c>
      <c r="F404" s="35">
        <f t="shared" si="25"/>
        <v>95.573310524461846</v>
      </c>
      <c r="G404" s="36" t="str">
        <f t="shared" si="26"/>
        <v>2023-08</v>
      </c>
    </row>
    <row r="405" spans="1:7" x14ac:dyDescent="0.25">
      <c r="A405" s="37">
        <v>45149</v>
      </c>
      <c r="B405" s="38">
        <v>42933.859252929702</v>
      </c>
      <c r="C405" s="39">
        <f t="shared" si="27"/>
        <v>-5.8308810079010787E-4</v>
      </c>
      <c r="D405" s="38">
        <f>MAX($B$2:B405)</f>
        <v>44948.645019531301</v>
      </c>
      <c r="E405" s="40">
        <f t="shared" si="24"/>
        <v>-4.48241713565809E-2</v>
      </c>
      <c r="F405" s="41">
        <f t="shared" si="25"/>
        <v>95.517582864341904</v>
      </c>
      <c r="G405" s="42" t="str">
        <f t="shared" si="26"/>
        <v>2023-08</v>
      </c>
    </row>
    <row r="406" spans="1:7" x14ac:dyDescent="0.25">
      <c r="A406" s="31">
        <v>45152</v>
      </c>
      <c r="B406" s="32">
        <v>43170.852661132798</v>
      </c>
      <c r="C406" s="33">
        <f t="shared" si="27"/>
        <v>5.5199651819541895E-3</v>
      </c>
      <c r="D406" s="32">
        <f>MAX($B$2:B406)</f>
        <v>44948.645019531301</v>
      </c>
      <c r="E406" s="34">
        <f t="shared" si="24"/>
        <v>-3.9551634039824979E-2</v>
      </c>
      <c r="F406" s="35">
        <f t="shared" si="25"/>
        <v>96.044836596017504</v>
      </c>
      <c r="G406" s="36" t="str">
        <f t="shared" si="26"/>
        <v>2023-08</v>
      </c>
    </row>
    <row r="407" spans="1:7" x14ac:dyDescent="0.25">
      <c r="A407" s="37">
        <v>45153</v>
      </c>
      <c r="B407" s="38">
        <v>42667.962646484397</v>
      </c>
      <c r="C407" s="39">
        <f t="shared" si="27"/>
        <v>-1.164883210891865E-2</v>
      </c>
      <c r="D407" s="38">
        <f>MAX($B$2:B407)</f>
        <v>44948.645019531301</v>
      </c>
      <c r="E407" s="40">
        <f t="shared" si="24"/>
        <v>-5.0739735804180341E-2</v>
      </c>
      <c r="F407" s="41">
        <f t="shared" si="25"/>
        <v>94.926026419581973</v>
      </c>
      <c r="G407" s="42" t="str">
        <f t="shared" si="26"/>
        <v>2023-08</v>
      </c>
    </row>
    <row r="408" spans="1:7" x14ac:dyDescent="0.25">
      <c r="A408" s="31">
        <v>45154</v>
      </c>
      <c r="B408" s="32">
        <v>42354.8583984375</v>
      </c>
      <c r="C408" s="33">
        <f t="shared" si="27"/>
        <v>-7.3381579205233916E-3</v>
      </c>
      <c r="D408" s="32">
        <f>MAX($B$2:B408)</f>
        <v>44948.645019531301</v>
      </c>
      <c r="E408" s="34">
        <f t="shared" si="24"/>
        <v>-5.7705557530527085E-2</v>
      </c>
      <c r="F408" s="35">
        <f t="shared" si="25"/>
        <v>94.229444246947295</v>
      </c>
      <c r="G408" s="36" t="str">
        <f t="shared" si="26"/>
        <v>2023-08</v>
      </c>
    </row>
    <row r="409" spans="1:7" x14ac:dyDescent="0.25">
      <c r="A409" s="37">
        <v>45155</v>
      </c>
      <c r="B409" s="38">
        <v>42032.116699218801</v>
      </c>
      <c r="C409" s="39">
        <f t="shared" si="27"/>
        <v>-7.6199451827374531E-3</v>
      </c>
      <c r="D409" s="38">
        <f>MAX($B$2:B409)</f>
        <v>44948.645019531301</v>
      </c>
      <c r="E409" s="40">
        <f t="shared" si="24"/>
        <v>-6.4885789528142501E-2</v>
      </c>
      <c r="F409" s="41">
        <f t="shared" si="25"/>
        <v>93.511421047185749</v>
      </c>
      <c r="G409" s="42" t="str">
        <f t="shared" si="26"/>
        <v>2023-08</v>
      </c>
    </row>
    <row r="410" spans="1:7" x14ac:dyDescent="0.25">
      <c r="A410" s="31">
        <v>45156</v>
      </c>
      <c r="B410" s="32">
        <v>42052.352905273401</v>
      </c>
      <c r="C410" s="33">
        <f t="shared" si="27"/>
        <v>4.8144627593726952E-4</v>
      </c>
      <c r="D410" s="32">
        <f>MAX($B$2:B410)</f>
        <v>44948.645019531301</v>
      </c>
      <c r="E410" s="34">
        <f t="shared" si="24"/>
        <v>-6.4435582273934866E-2</v>
      </c>
      <c r="F410" s="35">
        <f t="shared" si="25"/>
        <v>93.556441772606519</v>
      </c>
      <c r="G410" s="36" t="str">
        <f t="shared" si="26"/>
        <v>2023-08</v>
      </c>
    </row>
    <row r="411" spans="1:7" x14ac:dyDescent="0.25">
      <c r="A411" s="37">
        <v>45159</v>
      </c>
      <c r="B411" s="38">
        <v>42325.955200195298</v>
      </c>
      <c r="C411" s="39">
        <f t="shared" si="27"/>
        <v>6.5062303538212518E-3</v>
      </c>
      <c r="D411" s="38">
        <f>MAX($B$2:B411)</f>
        <v>44948.645019531301</v>
      </c>
      <c r="E411" s="40">
        <f t="shared" si="24"/>
        <v>-5.8348584661370273E-2</v>
      </c>
      <c r="F411" s="41">
        <f t="shared" si="25"/>
        <v>94.165141533862979</v>
      </c>
      <c r="G411" s="42" t="str">
        <f t="shared" si="26"/>
        <v>2023-08</v>
      </c>
    </row>
    <row r="412" spans="1:7" x14ac:dyDescent="0.25">
      <c r="A412" s="31">
        <v>45160</v>
      </c>
      <c r="B412" s="32">
        <v>42211.309814453103</v>
      </c>
      <c r="C412" s="33">
        <f t="shared" si="27"/>
        <v>-2.7086307963976042E-3</v>
      </c>
      <c r="D412" s="32">
        <f>MAX($B$2:B412)</f>
        <v>44948.645019531301</v>
      </c>
      <c r="E412" s="34">
        <f t="shared" si="24"/>
        <v>-6.0899170684427961E-2</v>
      </c>
      <c r="F412" s="35">
        <f t="shared" si="25"/>
        <v>93.910082931557199</v>
      </c>
      <c r="G412" s="36" t="str">
        <f t="shared" si="26"/>
        <v>2023-08</v>
      </c>
    </row>
    <row r="413" spans="1:7" x14ac:dyDescent="0.25">
      <c r="A413" s="37">
        <v>45161</v>
      </c>
      <c r="B413" s="38">
        <v>42681.448364257798</v>
      </c>
      <c r="C413" s="39">
        <f t="shared" si="27"/>
        <v>1.1137738958380217E-2</v>
      </c>
      <c r="D413" s="38">
        <f>MAX($B$2:B413)</f>
        <v>44948.645019531301</v>
      </c>
      <c r="E413" s="40">
        <f t="shared" si="24"/>
        <v>-5.0439710791912673E-2</v>
      </c>
      <c r="F413" s="41">
        <f t="shared" si="25"/>
        <v>94.956028920808734</v>
      </c>
      <c r="G413" s="42" t="str">
        <f t="shared" si="26"/>
        <v>2023-08</v>
      </c>
    </row>
    <row r="414" spans="1:7" x14ac:dyDescent="0.25">
      <c r="A414" s="31">
        <v>45162</v>
      </c>
      <c r="B414" s="32">
        <v>42089.923095703103</v>
      </c>
      <c r="C414" s="33">
        <f t="shared" si="27"/>
        <v>-1.3859072061154554E-2</v>
      </c>
      <c r="D414" s="32">
        <f>MAX($B$2:B414)</f>
        <v>44948.645019531301</v>
      </c>
      <c r="E414" s="34">
        <f t="shared" si="24"/>
        <v>-6.3599735266458235E-2</v>
      </c>
      <c r="F414" s="35">
        <f t="shared" si="25"/>
        <v>93.640026473354183</v>
      </c>
      <c r="G414" s="36" t="str">
        <f t="shared" si="26"/>
        <v>2023-08</v>
      </c>
    </row>
    <row r="415" spans="1:7" x14ac:dyDescent="0.25">
      <c r="A415" s="37">
        <v>45163</v>
      </c>
      <c r="B415" s="38">
        <v>42386.648559570298</v>
      </c>
      <c r="C415" s="39">
        <f t="shared" si="27"/>
        <v>7.0497981949861899E-3</v>
      </c>
      <c r="D415" s="38">
        <f>MAX($B$2:B415)</f>
        <v>44948.645019531301</v>
      </c>
      <c r="E415" s="40">
        <f t="shared" si="24"/>
        <v>-5.6998302370355192E-2</v>
      </c>
      <c r="F415" s="41">
        <f t="shared" si="25"/>
        <v>94.300169762964487</v>
      </c>
      <c r="G415" s="42" t="str">
        <f t="shared" si="26"/>
        <v>2023-08</v>
      </c>
    </row>
    <row r="416" spans="1:7" x14ac:dyDescent="0.25">
      <c r="A416" s="31">
        <v>45166</v>
      </c>
      <c r="B416" s="32">
        <v>42655.438232421897</v>
      </c>
      <c r="C416" s="33">
        <f t="shared" si="27"/>
        <v>6.3413759281731874E-3</v>
      </c>
      <c r="D416" s="32">
        <f>MAX($B$2:B416)</f>
        <v>44948.645019531301</v>
      </c>
      <c r="E416" s="34">
        <f t="shared" si="24"/>
        <v>-5.1018374104780051E-2</v>
      </c>
      <c r="F416" s="35">
        <f t="shared" si="25"/>
        <v>94.898162589522002</v>
      </c>
      <c r="G416" s="36" t="str">
        <f t="shared" si="26"/>
        <v>2023-08</v>
      </c>
    </row>
    <row r="417" spans="1:7" x14ac:dyDescent="0.25">
      <c r="A417" s="37">
        <v>45167</v>
      </c>
      <c r="B417" s="38">
        <v>43272.006225585901</v>
      </c>
      <c r="C417" s="39">
        <f t="shared" si="27"/>
        <v>1.4454616309518054E-2</v>
      </c>
      <c r="D417" s="38">
        <f>MAX($B$2:B417)</f>
        <v>44948.645019531301</v>
      </c>
      <c r="E417" s="40">
        <f t="shared" si="24"/>
        <v>-3.7301208817682063E-2</v>
      </c>
      <c r="F417" s="41">
        <f t="shared" si="25"/>
        <v>96.269879118231799</v>
      </c>
      <c r="G417" s="42" t="str">
        <f t="shared" si="26"/>
        <v>2023-08</v>
      </c>
    </row>
    <row r="418" spans="1:7" x14ac:dyDescent="0.25">
      <c r="A418" s="31">
        <v>45168</v>
      </c>
      <c r="B418" s="32">
        <v>43450.241088867202</v>
      </c>
      <c r="C418" s="33">
        <f t="shared" si="27"/>
        <v>4.1189415242761651E-3</v>
      </c>
      <c r="D418" s="32">
        <f>MAX($B$2:B418)</f>
        <v>44948.645019531301</v>
      </c>
      <c r="E418" s="34">
        <f t="shared" si="24"/>
        <v>-3.3335908791310764E-2</v>
      </c>
      <c r="F418" s="35">
        <f t="shared" si="25"/>
        <v>96.66640912086892</v>
      </c>
      <c r="G418" s="36" t="str">
        <f t="shared" si="26"/>
        <v>2023-08</v>
      </c>
    </row>
    <row r="419" spans="1:7" x14ac:dyDescent="0.25">
      <c r="A419" s="37">
        <v>45169</v>
      </c>
      <c r="B419" s="38">
        <v>43386.654663085901</v>
      </c>
      <c r="C419" s="39">
        <f t="shared" si="27"/>
        <v>-1.4634309082716124E-3</v>
      </c>
      <c r="D419" s="38">
        <f>MAX($B$2:B419)</f>
        <v>44948.645019531301</v>
      </c>
      <c r="E419" s="40">
        <f t="shared" si="24"/>
        <v>-3.4750554900301767E-2</v>
      </c>
      <c r="F419" s="41">
        <f t="shared" si="25"/>
        <v>96.524944509969828</v>
      </c>
      <c r="G419" s="42" t="str">
        <f t="shared" si="26"/>
        <v>2023-08</v>
      </c>
    </row>
    <row r="420" spans="1:7" x14ac:dyDescent="0.25">
      <c r="A420" s="31">
        <v>45170</v>
      </c>
      <c r="B420" s="32">
        <v>43467.581176757798</v>
      </c>
      <c r="C420" s="33">
        <f t="shared" si="27"/>
        <v>1.8652397678577959E-3</v>
      </c>
      <c r="D420" s="32">
        <f>MAX($B$2:B420)</f>
        <v>44948.645019531301</v>
      </c>
      <c r="E420" s="34">
        <f t="shared" si="24"/>
        <v>-3.2950133249399216E-2</v>
      </c>
      <c r="F420" s="35">
        <f t="shared" si="25"/>
        <v>96.704986675060084</v>
      </c>
      <c r="G420" s="36" t="str">
        <f t="shared" si="26"/>
        <v>2023-09</v>
      </c>
    </row>
    <row r="421" spans="1:7" x14ac:dyDescent="0.25">
      <c r="A421" s="37">
        <v>45174</v>
      </c>
      <c r="B421" s="38">
        <v>43279.7119140625</v>
      </c>
      <c r="C421" s="39">
        <f t="shared" si="27"/>
        <v>-4.3220546809664695E-3</v>
      </c>
      <c r="D421" s="38">
        <f>MAX($B$2:B421)</f>
        <v>44948.645019531301</v>
      </c>
      <c r="E421" s="40">
        <f t="shared" si="24"/>
        <v>-3.712977565271669E-2</v>
      </c>
      <c r="F421" s="41">
        <f t="shared" si="25"/>
        <v>96.287022434728328</v>
      </c>
      <c r="G421" s="42" t="str">
        <f t="shared" si="26"/>
        <v>2023-09</v>
      </c>
    </row>
    <row r="422" spans="1:7" x14ac:dyDescent="0.25">
      <c r="A422" s="31">
        <v>45175</v>
      </c>
      <c r="B422" s="32">
        <v>42988.76953125</v>
      </c>
      <c r="C422" s="33">
        <f t="shared" si="27"/>
        <v>-6.7223733695409571E-3</v>
      </c>
      <c r="D422" s="32">
        <f>MAX($B$2:B422)</f>
        <v>44948.645019531301</v>
      </c>
      <c r="E422" s="34">
        <f t="shared" si="24"/>
        <v>-4.3602548807192831E-2</v>
      </c>
      <c r="F422" s="35">
        <f t="shared" si="25"/>
        <v>95.639745119280718</v>
      </c>
      <c r="G422" s="36" t="str">
        <f t="shared" si="26"/>
        <v>2023-09</v>
      </c>
    </row>
    <row r="423" spans="1:7" x14ac:dyDescent="0.25">
      <c r="A423" s="37">
        <v>45176</v>
      </c>
      <c r="B423" s="38">
        <v>42856.787109375</v>
      </c>
      <c r="C423" s="39">
        <f t="shared" si="27"/>
        <v>-3.0701604934064708E-3</v>
      </c>
      <c r="D423" s="38">
        <f>MAX($B$2:B423)</f>
        <v>44948.645019531301</v>
      </c>
      <c r="E423" s="40">
        <f t="shared" si="24"/>
        <v>-4.6538842477839681E-2</v>
      </c>
      <c r="F423" s="41">
        <f t="shared" si="25"/>
        <v>95.346115752216036</v>
      </c>
      <c r="G423" s="42" t="str">
        <f t="shared" si="26"/>
        <v>2023-09</v>
      </c>
    </row>
    <row r="424" spans="1:7" x14ac:dyDescent="0.25">
      <c r="A424" s="31">
        <v>45177</v>
      </c>
      <c r="B424" s="32">
        <v>42921.334838867202</v>
      </c>
      <c r="C424" s="33">
        <f t="shared" si="27"/>
        <v>1.5061261901754275E-3</v>
      </c>
      <c r="D424" s="32">
        <f>MAX($B$2:B424)</f>
        <v>44948.645019531301</v>
      </c>
      <c r="E424" s="34">
        <f t="shared" si="24"/>
        <v>-4.5102809657180609E-2</v>
      </c>
      <c r="F424" s="35">
        <f t="shared" si="25"/>
        <v>95.489719034281933</v>
      </c>
      <c r="G424" s="36" t="str">
        <f t="shared" si="26"/>
        <v>2023-09</v>
      </c>
    </row>
    <row r="425" spans="1:7" x14ac:dyDescent="0.25">
      <c r="A425" s="37">
        <v>45180</v>
      </c>
      <c r="B425" s="38">
        <v>43203.61328125</v>
      </c>
      <c r="C425" s="39">
        <f t="shared" si="27"/>
        <v>6.5766464030652116E-3</v>
      </c>
      <c r="D425" s="38">
        <f>MAX($B$2:B425)</f>
        <v>44948.645019531301</v>
      </c>
      <c r="E425" s="40">
        <f t="shared" si="24"/>
        <v>-3.8822788485015303E-2</v>
      </c>
      <c r="F425" s="41">
        <f t="shared" si="25"/>
        <v>96.117721151498472</v>
      </c>
      <c r="G425" s="42" t="str">
        <f t="shared" si="26"/>
        <v>2023-09</v>
      </c>
    </row>
    <row r="426" spans="1:7" x14ac:dyDescent="0.25">
      <c r="A426" s="31">
        <v>45181</v>
      </c>
      <c r="B426" s="32">
        <v>42966.613769531301</v>
      </c>
      <c r="C426" s="33">
        <f t="shared" si="27"/>
        <v>-5.4856409850690957E-3</v>
      </c>
      <c r="D426" s="32">
        <f>MAX($B$2:B426)</f>
        <v>44948.645019531301</v>
      </c>
      <c r="E426" s="34">
        <f t="shared" si="24"/>
        <v>-4.4095461590416329E-2</v>
      </c>
      <c r="F426" s="35">
        <f t="shared" si="25"/>
        <v>95.590453840958361</v>
      </c>
      <c r="G426" s="36" t="str">
        <f t="shared" si="26"/>
        <v>2023-09</v>
      </c>
    </row>
    <row r="427" spans="1:7" x14ac:dyDescent="0.25">
      <c r="A427" s="37">
        <v>45182</v>
      </c>
      <c r="B427" s="38">
        <v>43016.714477539099</v>
      </c>
      <c r="C427" s="39">
        <f t="shared" si="27"/>
        <v>1.1660380842795082E-3</v>
      </c>
      <c r="D427" s="38">
        <f>MAX($B$2:B427)</f>
        <v>44948.645019531301</v>
      </c>
      <c r="E427" s="40">
        <f t="shared" si="24"/>
        <v>-4.2980840493695216E-2</v>
      </c>
      <c r="F427" s="41">
        <f t="shared" si="25"/>
        <v>95.701915950630479</v>
      </c>
      <c r="G427" s="42" t="str">
        <f t="shared" si="26"/>
        <v>2023-09</v>
      </c>
    </row>
    <row r="428" spans="1:7" x14ac:dyDescent="0.25">
      <c r="A428" s="31">
        <v>45183</v>
      </c>
      <c r="B428" s="32">
        <v>43387.615966796897</v>
      </c>
      <c r="C428" s="33">
        <f t="shared" si="27"/>
        <v>8.6222644793447767E-3</v>
      </c>
      <c r="D428" s="32">
        <f>MAX($B$2:B428)</f>
        <v>44948.645019531301</v>
      </c>
      <c r="E428" s="34">
        <f t="shared" si="24"/>
        <v>-3.4729168188631698E-2</v>
      </c>
      <c r="F428" s="35">
        <f t="shared" si="25"/>
        <v>96.527083181136831</v>
      </c>
      <c r="G428" s="36" t="str">
        <f t="shared" si="26"/>
        <v>2023-09</v>
      </c>
    </row>
    <row r="429" spans="1:7" x14ac:dyDescent="0.25">
      <c r="A429" s="37">
        <v>45184</v>
      </c>
      <c r="B429" s="38">
        <v>42864.871215820298</v>
      </c>
      <c r="C429" s="39">
        <f t="shared" si="27"/>
        <v>-1.2048247854333338E-2</v>
      </c>
      <c r="D429" s="38">
        <f>MAX($B$2:B429)</f>
        <v>44948.645019531301</v>
      </c>
      <c r="E429" s="40">
        <f t="shared" si="24"/>
        <v>-4.635899041685354E-2</v>
      </c>
      <c r="F429" s="41">
        <f t="shared" si="25"/>
        <v>95.364100958314651</v>
      </c>
      <c r="G429" s="42" t="str">
        <f t="shared" si="26"/>
        <v>2023-09</v>
      </c>
    </row>
    <row r="430" spans="1:7" x14ac:dyDescent="0.25">
      <c r="A430" s="31">
        <v>45187</v>
      </c>
      <c r="B430" s="32">
        <v>42890.008544921897</v>
      </c>
      <c r="C430" s="33">
        <f t="shared" si="27"/>
        <v>5.86431928724096E-4</v>
      </c>
      <c r="D430" s="32">
        <f>MAX($B$2:B430)</f>
        <v>44948.645019531301</v>
      </c>
      <c r="E430" s="34">
        <f t="shared" si="24"/>
        <v>-4.5799744880293369E-2</v>
      </c>
      <c r="F430" s="35">
        <f t="shared" si="25"/>
        <v>95.420025511970664</v>
      </c>
      <c r="G430" s="36" t="str">
        <f t="shared" si="26"/>
        <v>2023-09</v>
      </c>
    </row>
    <row r="431" spans="1:7" x14ac:dyDescent="0.25">
      <c r="A431" s="37">
        <v>45188</v>
      </c>
      <c r="B431" s="38">
        <v>42801.062011718801</v>
      </c>
      <c r="C431" s="39">
        <f t="shared" si="27"/>
        <v>-2.0738287592070304E-3</v>
      </c>
      <c r="D431" s="38">
        <f>MAX($B$2:B431)</f>
        <v>44948.645019531301</v>
      </c>
      <c r="E431" s="40">
        <f t="shared" si="24"/>
        <v>-4.7778592811403398E-2</v>
      </c>
      <c r="F431" s="41">
        <f t="shared" si="25"/>
        <v>95.222140718859663</v>
      </c>
      <c r="G431" s="42" t="str">
        <f t="shared" si="26"/>
        <v>2023-09</v>
      </c>
    </row>
    <row r="432" spans="1:7" x14ac:dyDescent="0.25">
      <c r="A432" s="31">
        <v>45189</v>
      </c>
      <c r="B432" s="32">
        <v>42407.574462890603</v>
      </c>
      <c r="C432" s="33">
        <f t="shared" si="27"/>
        <v>-9.1934061991373328E-3</v>
      </c>
      <c r="D432" s="32">
        <f>MAX($B$2:B432)</f>
        <v>44948.645019531301</v>
      </c>
      <c r="E432" s="34">
        <f t="shared" si="24"/>
        <v>-5.6532750999202297E-2</v>
      </c>
      <c r="F432" s="35">
        <f t="shared" si="25"/>
        <v>94.346724900079764</v>
      </c>
      <c r="G432" s="36" t="str">
        <f t="shared" si="26"/>
        <v>2023-09</v>
      </c>
    </row>
    <row r="433" spans="1:7" x14ac:dyDescent="0.25">
      <c r="A433" s="37">
        <v>45190</v>
      </c>
      <c r="B433" s="38">
        <v>41706.646728515603</v>
      </c>
      <c r="C433" s="39">
        <f t="shared" si="27"/>
        <v>-1.6528361813957448E-2</v>
      </c>
      <c r="D433" s="38">
        <f>MAX($B$2:B433)</f>
        <v>44948.645019531301</v>
      </c>
      <c r="E433" s="40">
        <f t="shared" si="24"/>
        <v>-7.2126719050306654E-2</v>
      </c>
      <c r="F433" s="41">
        <f t="shared" si="25"/>
        <v>92.78732809496934</v>
      </c>
      <c r="G433" s="42" t="str">
        <f t="shared" si="26"/>
        <v>2023-09</v>
      </c>
    </row>
    <row r="434" spans="1:7" x14ac:dyDescent="0.25">
      <c r="A434" s="31">
        <v>45191</v>
      </c>
      <c r="B434" s="32">
        <v>41612.872314453103</v>
      </c>
      <c r="C434" s="33">
        <f t="shared" si="27"/>
        <v>-2.2484285220270017E-3</v>
      </c>
      <c r="D434" s="32">
        <f>MAX($B$2:B434)</f>
        <v>44948.645019531301</v>
      </c>
      <c r="E434" s="34">
        <f t="shared" si="24"/>
        <v>-7.4212975800020731E-2</v>
      </c>
      <c r="F434" s="35">
        <f t="shared" si="25"/>
        <v>92.578702419997924</v>
      </c>
      <c r="G434" s="36" t="str">
        <f t="shared" si="26"/>
        <v>2023-09</v>
      </c>
    </row>
    <row r="435" spans="1:7" x14ac:dyDescent="0.25">
      <c r="A435" s="37">
        <v>45194</v>
      </c>
      <c r="B435" s="38">
        <v>41787.863159179702</v>
      </c>
      <c r="C435" s="39">
        <f t="shared" si="27"/>
        <v>4.2052094699029929E-3</v>
      </c>
      <c r="D435" s="38">
        <f>MAX($B$2:B435)</f>
        <v>44948.645019531301</v>
      </c>
      <c r="E435" s="40">
        <f t="shared" si="24"/>
        <v>-7.0319847438741756E-2</v>
      </c>
      <c r="F435" s="41">
        <f t="shared" si="25"/>
        <v>92.968015256125824</v>
      </c>
      <c r="G435" s="42" t="str">
        <f t="shared" si="26"/>
        <v>2023-09</v>
      </c>
    </row>
    <row r="436" spans="1:7" x14ac:dyDescent="0.25">
      <c r="A436" s="31">
        <v>45195</v>
      </c>
      <c r="B436" s="32">
        <v>41173.944091796897</v>
      </c>
      <c r="C436" s="33">
        <f t="shared" si="27"/>
        <v>-1.4691324728528077E-2</v>
      </c>
      <c r="D436" s="32">
        <f>MAX($B$2:B436)</f>
        <v>44948.645019531301</v>
      </c>
      <c r="E436" s="34">
        <f t="shared" si="24"/>
        <v>-8.397808045368671E-2</v>
      </c>
      <c r="F436" s="35">
        <f t="shared" si="25"/>
        <v>91.602191954631323</v>
      </c>
      <c r="G436" s="36" t="str">
        <f t="shared" si="26"/>
        <v>2023-09</v>
      </c>
    </row>
    <row r="437" spans="1:7" x14ac:dyDescent="0.25">
      <c r="A437" s="37">
        <v>45196</v>
      </c>
      <c r="B437" s="38">
        <v>41190.377807617202</v>
      </c>
      <c r="C437" s="39">
        <f t="shared" si="27"/>
        <v>3.9912901673111456E-4</v>
      </c>
      <c r="D437" s="38">
        <f>MAX($B$2:B437)</f>
        <v>44948.645019531301</v>
      </c>
      <c r="E437" s="40">
        <f t="shared" si="24"/>
        <v>-8.3612469525633948E-2</v>
      </c>
      <c r="F437" s="41">
        <f t="shared" si="25"/>
        <v>91.638753047436609</v>
      </c>
      <c r="G437" s="42" t="str">
        <f t="shared" si="26"/>
        <v>2023-09</v>
      </c>
    </row>
    <row r="438" spans="1:7" x14ac:dyDescent="0.25">
      <c r="A438" s="31">
        <v>45197</v>
      </c>
      <c r="B438" s="32">
        <v>41429.1748046875</v>
      </c>
      <c r="C438" s="33">
        <f t="shared" si="27"/>
        <v>5.7973975909038078E-3</v>
      </c>
      <c r="D438" s="32">
        <f>MAX($B$2:B438)</f>
        <v>44948.645019531301</v>
      </c>
      <c r="E438" s="34">
        <f t="shared" si="24"/>
        <v>-7.8299806664127614E-2</v>
      </c>
      <c r="F438" s="35">
        <f t="shared" si="25"/>
        <v>92.170019333587234</v>
      </c>
      <c r="G438" s="36" t="str">
        <f t="shared" si="26"/>
        <v>2023-09</v>
      </c>
    </row>
    <row r="439" spans="1:7" x14ac:dyDescent="0.25">
      <c r="A439" s="37">
        <v>45198</v>
      </c>
      <c r="B439" s="38">
        <v>41328.634643554702</v>
      </c>
      <c r="C439" s="39">
        <f t="shared" si="27"/>
        <v>-2.4267961311510433E-3</v>
      </c>
      <c r="D439" s="38">
        <f>MAX($B$2:B439)</f>
        <v>44948.645019531301</v>
      </c>
      <c r="E439" s="40">
        <f t="shared" si="24"/>
        <v>-8.0536585127396254E-2</v>
      </c>
      <c r="F439" s="41">
        <f t="shared" si="25"/>
        <v>91.946341487260369</v>
      </c>
      <c r="G439" s="42" t="str">
        <f t="shared" si="26"/>
        <v>2023-09</v>
      </c>
    </row>
    <row r="440" spans="1:7" x14ac:dyDescent="0.25">
      <c r="A440" s="31">
        <v>45201</v>
      </c>
      <c r="B440" s="32">
        <v>41312.197875976599</v>
      </c>
      <c r="C440" s="33">
        <f t="shared" si="27"/>
        <v>-3.9770894247692645E-4</v>
      </c>
      <c r="D440" s="32">
        <f>MAX($B$2:B440)</f>
        <v>44948.645019531301</v>
      </c>
      <c r="E440" s="34">
        <f t="shared" si="24"/>
        <v>-8.0902263949771513E-2</v>
      </c>
      <c r="F440" s="35">
        <f t="shared" si="25"/>
        <v>91.909773605022849</v>
      </c>
      <c r="G440" s="36" t="str">
        <f t="shared" si="26"/>
        <v>2023-10</v>
      </c>
    </row>
    <row r="441" spans="1:7" x14ac:dyDescent="0.25">
      <c r="A441" s="37">
        <v>45202</v>
      </c>
      <c r="B441" s="38">
        <v>40759.191894531301</v>
      </c>
      <c r="C441" s="39">
        <f t="shared" si="27"/>
        <v>-1.3386021801732206E-2</v>
      </c>
      <c r="D441" s="38">
        <f>MAX($B$2:B441)</f>
        <v>44948.645019531301</v>
      </c>
      <c r="E441" s="40">
        <f t="shared" si="24"/>
        <v>-9.3205326282462586E-2</v>
      </c>
      <c r="F441" s="41">
        <f t="shared" si="25"/>
        <v>90.679467371753745</v>
      </c>
      <c r="G441" s="42" t="str">
        <f t="shared" si="26"/>
        <v>2023-10</v>
      </c>
    </row>
    <row r="442" spans="1:7" x14ac:dyDescent="0.25">
      <c r="A442" s="31">
        <v>45203</v>
      </c>
      <c r="B442" s="32">
        <v>41055.993652343801</v>
      </c>
      <c r="C442" s="33">
        <f t="shared" si="27"/>
        <v>7.2818361703663737E-3</v>
      </c>
      <c r="D442" s="32">
        <f>MAX($B$2:B442)</f>
        <v>44948.645019531301</v>
      </c>
      <c r="E442" s="34">
        <f t="shared" si="24"/>
        <v>-8.6602196028290668E-2</v>
      </c>
      <c r="F442" s="35">
        <f t="shared" si="25"/>
        <v>91.339780397170927</v>
      </c>
      <c r="G442" s="36" t="str">
        <f t="shared" si="26"/>
        <v>2023-10</v>
      </c>
    </row>
    <row r="443" spans="1:7" x14ac:dyDescent="0.25">
      <c r="A443" s="37">
        <v>45204</v>
      </c>
      <c r="B443" s="38">
        <v>41040.524291992202</v>
      </c>
      <c r="C443" s="39">
        <f t="shared" si="27"/>
        <v>-3.7678689456621672E-4</v>
      </c>
      <c r="D443" s="38">
        <f>MAX($B$2:B443)</f>
        <v>44948.645019531301</v>
      </c>
      <c r="E443" s="40">
        <f t="shared" si="24"/>
        <v>-8.6946352350352751E-2</v>
      </c>
      <c r="F443" s="41">
        <f t="shared" si="25"/>
        <v>91.305364764964722</v>
      </c>
      <c r="G443" s="42" t="str">
        <f t="shared" si="26"/>
        <v>2023-10</v>
      </c>
    </row>
    <row r="444" spans="1:7" x14ac:dyDescent="0.25">
      <c r="A444" s="31">
        <v>45205</v>
      </c>
      <c r="B444" s="32">
        <v>41527.792358398401</v>
      </c>
      <c r="C444" s="33">
        <f t="shared" si="27"/>
        <v>1.1872851889985991E-2</v>
      </c>
      <c r="D444" s="32">
        <f>MAX($B$2:B444)</f>
        <v>44948.645019531301</v>
      </c>
      <c r="E444" s="34">
        <f t="shared" si="24"/>
        <v>-7.6105801624197E-2</v>
      </c>
      <c r="F444" s="35">
        <f t="shared" si="25"/>
        <v>92.389419837580306</v>
      </c>
      <c r="G444" s="36" t="str">
        <f t="shared" si="26"/>
        <v>2023-10</v>
      </c>
    </row>
    <row r="445" spans="1:7" x14ac:dyDescent="0.25">
      <c r="A445" s="37">
        <v>45208</v>
      </c>
      <c r="B445" s="38">
        <v>41793.661499023401</v>
      </c>
      <c r="C445" s="39">
        <f t="shared" si="27"/>
        <v>6.4021977939607844E-3</v>
      </c>
      <c r="D445" s="38">
        <f>MAX($B$2:B445)</f>
        <v>44948.645019531301</v>
      </c>
      <c r="E445" s="40">
        <f t="shared" si="24"/>
        <v>-7.0190848225502256E-2</v>
      </c>
      <c r="F445" s="41">
        <f t="shared" si="25"/>
        <v>92.980915177449774</v>
      </c>
      <c r="G445" s="42" t="str">
        <f t="shared" si="26"/>
        <v>2023-10</v>
      </c>
    </row>
    <row r="446" spans="1:7" x14ac:dyDescent="0.25">
      <c r="A446" s="31">
        <v>45209</v>
      </c>
      <c r="B446" s="32">
        <v>42011.187744140603</v>
      </c>
      <c r="C446" s="33">
        <f t="shared" si="27"/>
        <v>5.2047664003376237E-3</v>
      </c>
      <c r="D446" s="32">
        <f>MAX($B$2:B446)</f>
        <v>44948.645019531301</v>
      </c>
      <c r="E446" s="34">
        <f t="shared" si="24"/>
        <v>-6.5351408793619892E-2</v>
      </c>
      <c r="F446" s="35">
        <f t="shared" si="25"/>
        <v>93.46485912063801</v>
      </c>
      <c r="G446" s="36" t="str">
        <f t="shared" si="26"/>
        <v>2023-10</v>
      </c>
    </row>
    <row r="447" spans="1:7" x14ac:dyDescent="0.25">
      <c r="A447" s="37">
        <v>45210</v>
      </c>
      <c r="B447" s="38">
        <v>42183.2763671875</v>
      </c>
      <c r="C447" s="39">
        <f t="shared" si="27"/>
        <v>4.0962570278888499E-3</v>
      </c>
      <c r="D447" s="38">
        <f>MAX($B$2:B447)</f>
        <v>44948.645019531301</v>
      </c>
      <c r="E447" s="40">
        <f t="shared" si="24"/>
        <v>-6.152284793328433E-2</v>
      </c>
      <c r="F447" s="41">
        <f t="shared" si="25"/>
        <v>93.847715206671566</v>
      </c>
      <c r="G447" s="42" t="str">
        <f t="shared" si="26"/>
        <v>2023-10</v>
      </c>
    </row>
    <row r="448" spans="1:7" x14ac:dyDescent="0.25">
      <c r="A448" s="31">
        <v>45211</v>
      </c>
      <c r="B448" s="32">
        <v>41926.113891601599</v>
      </c>
      <c r="C448" s="33">
        <f t="shared" si="27"/>
        <v>-6.096313461937175E-3</v>
      </c>
      <c r="D448" s="32">
        <f>MAX($B$2:B448)</f>
        <v>44948.645019531301</v>
      </c>
      <c r="E448" s="34">
        <f t="shared" si="24"/>
        <v>-6.7244098829149057E-2</v>
      </c>
      <c r="F448" s="35">
        <f t="shared" si="25"/>
        <v>93.275590117085088</v>
      </c>
      <c r="G448" s="36" t="str">
        <f t="shared" si="26"/>
        <v>2023-10</v>
      </c>
    </row>
    <row r="449" spans="1:7" x14ac:dyDescent="0.25">
      <c r="A449" s="37">
        <v>45212</v>
      </c>
      <c r="B449" s="38">
        <v>41717.28515625</v>
      </c>
      <c r="C449" s="39">
        <f t="shared" si="27"/>
        <v>-4.9808750673033808E-3</v>
      </c>
      <c r="D449" s="38">
        <f>MAX($B$2:B449)</f>
        <v>44948.645019531301</v>
      </c>
      <c r="E449" s="40">
        <f t="shared" si="24"/>
        <v>-7.1890039441171005E-2</v>
      </c>
      <c r="F449" s="41">
        <f t="shared" si="25"/>
        <v>92.810996055882896</v>
      </c>
      <c r="G449" s="42" t="str">
        <f t="shared" si="26"/>
        <v>2023-10</v>
      </c>
    </row>
    <row r="450" spans="1:7" x14ac:dyDescent="0.25">
      <c r="A450" s="31">
        <v>45215</v>
      </c>
      <c r="B450" s="32">
        <v>42156.210327148401</v>
      </c>
      <c r="C450" s="33">
        <f t="shared" si="27"/>
        <v>1.05214222175396E-2</v>
      </c>
      <c r="D450" s="32">
        <f>MAX($B$2:B450)</f>
        <v>44948.645019531301</v>
      </c>
      <c r="E450" s="34">
        <f t="shared" ref="E450:E513" si="28">B450/D450-1</f>
        <v>-6.2125002681827635E-2</v>
      </c>
      <c r="F450" s="35">
        <f t="shared" ref="F450:F513" si="29">B450/$B$2*100</f>
        <v>93.787499731817235</v>
      </c>
      <c r="G450" s="36" t="str">
        <f t="shared" ref="G450:G513" si="30">TEXT(A450,"YYYY-MM")</f>
        <v>2023-10</v>
      </c>
    </row>
    <row r="451" spans="1:7" x14ac:dyDescent="0.25">
      <c r="A451" s="37">
        <v>45216</v>
      </c>
      <c r="B451" s="38">
        <v>42154.275512695298</v>
      </c>
      <c r="C451" s="39">
        <f t="shared" ref="C451:C514" si="31">B451/B450-1</f>
        <v>-4.5896308944470832E-5</v>
      </c>
      <c r="D451" s="38">
        <f>MAX($B$2:B451)</f>
        <v>44948.645019531301</v>
      </c>
      <c r="E451" s="40">
        <f t="shared" si="28"/>
        <v>-6.2168047682455874E-2</v>
      </c>
      <c r="F451" s="41">
        <f t="shared" si="29"/>
        <v>93.783195231754419</v>
      </c>
      <c r="G451" s="42" t="str">
        <f t="shared" si="30"/>
        <v>2023-10</v>
      </c>
    </row>
    <row r="452" spans="1:7" x14ac:dyDescent="0.25">
      <c r="A452" s="31">
        <v>45217</v>
      </c>
      <c r="B452" s="32">
        <v>41592.565917968801</v>
      </c>
      <c r="C452" s="33">
        <f t="shared" si="31"/>
        <v>-1.3325091889133112E-2</v>
      </c>
      <c r="D452" s="32">
        <f>MAX($B$2:B452)</f>
        <v>44948.645019531301</v>
      </c>
      <c r="E452" s="34">
        <f t="shared" si="28"/>
        <v>-7.4664744623652135E-2</v>
      </c>
      <c r="F452" s="35">
        <f t="shared" si="29"/>
        <v>92.533525537634787</v>
      </c>
      <c r="G452" s="36" t="str">
        <f t="shared" si="30"/>
        <v>2023-10</v>
      </c>
    </row>
    <row r="453" spans="1:7" x14ac:dyDescent="0.25">
      <c r="A453" s="37">
        <v>45218</v>
      </c>
      <c r="B453" s="38">
        <v>41227.114868164099</v>
      </c>
      <c r="C453" s="39">
        <f t="shared" si="31"/>
        <v>-8.7864511779692789E-3</v>
      </c>
      <c r="D453" s="38">
        <f>MAX($B$2:B453)</f>
        <v>44948.645019531301</v>
      </c>
      <c r="E453" s="40">
        <f t="shared" si="28"/>
        <v>-8.279515766827017E-2</v>
      </c>
      <c r="F453" s="41">
        <f t="shared" si="29"/>
        <v>91.720484233172982</v>
      </c>
      <c r="G453" s="42" t="str">
        <f t="shared" si="30"/>
        <v>2023-10</v>
      </c>
    </row>
    <row r="454" spans="1:7" x14ac:dyDescent="0.25">
      <c r="A454" s="31">
        <v>45219</v>
      </c>
      <c r="B454" s="32">
        <v>40720.523071289099</v>
      </c>
      <c r="C454" s="33">
        <f t="shared" si="31"/>
        <v>-1.2287830436230607E-2</v>
      </c>
      <c r="D454" s="32">
        <f>MAX($B$2:B454)</f>
        <v>44948.645019531301</v>
      </c>
      <c r="E454" s="34">
        <f t="shared" si="28"/>
        <v>-9.4065615246132106E-2</v>
      </c>
      <c r="F454" s="35">
        <f t="shared" si="29"/>
        <v>90.59343847538679</v>
      </c>
      <c r="G454" s="36" t="str">
        <f t="shared" si="30"/>
        <v>2023-10</v>
      </c>
    </row>
    <row r="455" spans="1:7" x14ac:dyDescent="0.25">
      <c r="A455" s="37">
        <v>45222</v>
      </c>
      <c r="B455" s="38">
        <v>40649.938964843801</v>
      </c>
      <c r="C455" s="39">
        <f t="shared" si="31"/>
        <v>-1.7333791690673506E-3</v>
      </c>
      <c r="D455" s="38">
        <f>MAX($B$2:B455)</f>
        <v>44948.645019531301</v>
      </c>
      <c r="E455" s="40">
        <f t="shared" si="28"/>
        <v>-9.5635943037206239E-2</v>
      </c>
      <c r="F455" s="41">
        <f t="shared" si="29"/>
        <v>90.43640569627938</v>
      </c>
      <c r="G455" s="42" t="str">
        <f t="shared" si="30"/>
        <v>2023-10</v>
      </c>
    </row>
    <row r="456" spans="1:7" x14ac:dyDescent="0.25">
      <c r="A456" s="31">
        <v>45223</v>
      </c>
      <c r="B456" s="32">
        <v>40956.417846679702</v>
      </c>
      <c r="C456" s="33">
        <f t="shared" si="31"/>
        <v>7.5394672080801861E-3</v>
      </c>
      <c r="D456" s="32">
        <f>MAX($B$2:B456)</f>
        <v>44948.645019531301</v>
      </c>
      <c r="E456" s="34">
        <f t="shared" si="28"/>
        <v>-8.8817519885568852E-2</v>
      </c>
      <c r="F456" s="35">
        <f t="shared" si="29"/>
        <v>91.118248011443114</v>
      </c>
      <c r="G456" s="36" t="str">
        <f t="shared" si="30"/>
        <v>2023-10</v>
      </c>
    </row>
    <row r="457" spans="1:7" x14ac:dyDescent="0.25">
      <c r="A457" s="37">
        <v>45224</v>
      </c>
      <c r="B457" s="38">
        <v>40368.594360351599</v>
      </c>
      <c r="C457" s="39">
        <f t="shared" si="31"/>
        <v>-1.4352414523375101E-2</v>
      </c>
      <c r="D457" s="38">
        <f>MAX($B$2:B457)</f>
        <v>44948.645019531301</v>
      </c>
      <c r="E457" s="40">
        <f t="shared" si="28"/>
        <v>-0.10189518854660817</v>
      </c>
      <c r="F457" s="41">
        <f t="shared" si="29"/>
        <v>89.810481145339182</v>
      </c>
      <c r="G457" s="42" t="str">
        <f t="shared" si="30"/>
        <v>2023-10</v>
      </c>
    </row>
    <row r="458" spans="1:7" x14ac:dyDescent="0.25">
      <c r="A458" s="31">
        <v>45225</v>
      </c>
      <c r="B458" s="32">
        <v>39885.202026367202</v>
      </c>
      <c r="C458" s="33">
        <f t="shared" si="31"/>
        <v>-1.1974465339798068E-2</v>
      </c>
      <c r="D458" s="32">
        <f>MAX($B$2:B458)</f>
        <v>44948.645019531301</v>
      </c>
      <c r="E458" s="34">
        <f t="shared" si="28"/>
        <v>-0.11264951348286267</v>
      </c>
      <c r="F458" s="35">
        <f t="shared" si="29"/>
        <v>88.735048651713726</v>
      </c>
      <c r="G458" s="36" t="str">
        <f t="shared" si="30"/>
        <v>2023-10</v>
      </c>
    </row>
    <row r="459" spans="1:7" x14ac:dyDescent="0.25">
      <c r="A459" s="37">
        <v>45226</v>
      </c>
      <c r="B459" s="38">
        <v>39704.406738281301</v>
      </c>
      <c r="C459" s="39">
        <f t="shared" si="31"/>
        <v>-4.5328913707489704E-3</v>
      </c>
      <c r="D459" s="38">
        <f>MAX($B$2:B459)</f>
        <v>44948.645019531301</v>
      </c>
      <c r="E459" s="40">
        <f t="shared" si="28"/>
        <v>-0.11667177684602614</v>
      </c>
      <c r="F459" s="41">
        <f t="shared" si="29"/>
        <v>88.332822315397379</v>
      </c>
      <c r="G459" s="42" t="str">
        <f t="shared" si="30"/>
        <v>2023-10</v>
      </c>
    </row>
    <row r="460" spans="1:7" x14ac:dyDescent="0.25">
      <c r="A460" s="31">
        <v>45229</v>
      </c>
      <c r="B460" s="32">
        <v>40179.110717773401</v>
      </c>
      <c r="C460" s="33">
        <f t="shared" si="31"/>
        <v>1.1955951958209532E-2</v>
      </c>
      <c r="D460" s="32">
        <f>MAX($B$2:B460)</f>
        <v>44948.645019531301</v>
      </c>
      <c r="E460" s="34">
        <f t="shared" si="28"/>
        <v>-0.10611074704666668</v>
      </c>
      <c r="F460" s="35">
        <f t="shared" si="29"/>
        <v>89.388925295333337</v>
      </c>
      <c r="G460" s="36" t="str">
        <f t="shared" si="30"/>
        <v>2023-10</v>
      </c>
    </row>
    <row r="461" spans="1:7" x14ac:dyDescent="0.25">
      <c r="A461" s="37">
        <v>45230</v>
      </c>
      <c r="B461" s="38">
        <v>40431.442260742202</v>
      </c>
      <c r="C461" s="39">
        <f t="shared" si="31"/>
        <v>6.280167441764295E-3</v>
      </c>
      <c r="D461" s="38">
        <f>MAX($B$2:B461)</f>
        <v>44948.645019531301</v>
      </c>
      <c r="E461" s="40">
        <f t="shared" si="28"/>
        <v>-0.10049697286372616</v>
      </c>
      <c r="F461" s="41">
        <f t="shared" si="29"/>
        <v>89.95030271362738</v>
      </c>
      <c r="G461" s="42" t="str">
        <f t="shared" si="30"/>
        <v>2023-10</v>
      </c>
    </row>
    <row r="462" spans="1:7" x14ac:dyDescent="0.25">
      <c r="A462" s="31">
        <v>45231</v>
      </c>
      <c r="B462" s="32">
        <v>40862.634277343801</v>
      </c>
      <c r="C462" s="33">
        <f t="shared" si="31"/>
        <v>1.0664769607298341E-2</v>
      </c>
      <c r="D462" s="32">
        <f>MAX($B$2:B462)</f>
        <v>44948.645019531301</v>
      </c>
      <c r="E462" s="34">
        <f t="shared" si="28"/>
        <v>-9.0903980318250421E-2</v>
      </c>
      <c r="F462" s="35">
        <f t="shared" si="29"/>
        <v>90.909601968174954</v>
      </c>
      <c r="G462" s="36" t="str">
        <f t="shared" si="30"/>
        <v>2023-11</v>
      </c>
    </row>
    <row r="463" spans="1:7" x14ac:dyDescent="0.25">
      <c r="A463" s="37">
        <v>45232</v>
      </c>
      <c r="B463" s="38">
        <v>41645.739746093801</v>
      </c>
      <c r="C463" s="39">
        <f t="shared" si="31"/>
        <v>1.9164341276553198E-2</v>
      </c>
      <c r="D463" s="38">
        <f>MAX($B$2:B463)</f>
        <v>44948.645019531301</v>
      </c>
      <c r="E463" s="40">
        <f t="shared" si="28"/>
        <v>-7.3481753943913208E-2</v>
      </c>
      <c r="F463" s="41">
        <f t="shared" si="29"/>
        <v>92.651824605608681</v>
      </c>
      <c r="G463" s="42" t="str">
        <f t="shared" si="30"/>
        <v>2023-11</v>
      </c>
    </row>
    <row r="464" spans="1:7" x14ac:dyDescent="0.25">
      <c r="A464" s="31">
        <v>45233</v>
      </c>
      <c r="B464" s="32">
        <v>42025.692749023401</v>
      </c>
      <c r="C464" s="33">
        <f t="shared" si="31"/>
        <v>9.1234542895888282E-3</v>
      </c>
      <c r="D464" s="32">
        <f>MAX($B$2:B464)</f>
        <v>44948.645019531301</v>
      </c>
      <c r="E464" s="34">
        <f t="shared" si="28"/>
        <v>-6.5028707077550485E-2</v>
      </c>
      <c r="F464" s="35">
        <f t="shared" si="29"/>
        <v>93.497129292244949</v>
      </c>
      <c r="G464" s="36" t="str">
        <f t="shared" si="30"/>
        <v>2023-11</v>
      </c>
    </row>
    <row r="465" spans="1:7" x14ac:dyDescent="0.25">
      <c r="A465" s="37">
        <v>45236</v>
      </c>
      <c r="B465" s="38">
        <v>42122.369384765603</v>
      </c>
      <c r="C465" s="39">
        <f t="shared" si="31"/>
        <v>2.3004174213034911E-3</v>
      </c>
      <c r="D465" s="38">
        <f>MAX($B$2:B465)</f>
        <v>44948.645019531301</v>
      </c>
      <c r="E465" s="40">
        <f t="shared" si="28"/>
        <v>-6.2877882826892995E-2</v>
      </c>
      <c r="F465" s="41">
        <f t="shared" si="29"/>
        <v>93.712211717310694</v>
      </c>
      <c r="G465" s="42" t="str">
        <f t="shared" si="30"/>
        <v>2023-11</v>
      </c>
    </row>
    <row r="466" spans="1:7" x14ac:dyDescent="0.25">
      <c r="A466" s="31">
        <v>45237</v>
      </c>
      <c r="B466" s="32">
        <v>42242.254638671897</v>
      </c>
      <c r="C466" s="33">
        <f t="shared" si="31"/>
        <v>2.8461184794996708E-3</v>
      </c>
      <c r="D466" s="32">
        <f>MAX($B$2:B466)</f>
        <v>44948.645019531301</v>
      </c>
      <c r="E466" s="34">
        <f t="shared" si="28"/>
        <v>-6.0210722251658799E-2</v>
      </c>
      <c r="F466" s="35">
        <f t="shared" si="29"/>
        <v>93.978927774834119</v>
      </c>
      <c r="G466" s="36" t="str">
        <f t="shared" si="30"/>
        <v>2023-11</v>
      </c>
    </row>
    <row r="467" spans="1:7" x14ac:dyDescent="0.25">
      <c r="A467" s="37">
        <v>45238</v>
      </c>
      <c r="B467" s="38">
        <v>42273.196411132798</v>
      </c>
      <c r="C467" s="39">
        <f t="shared" si="31"/>
        <v>7.3248392458147293E-4</v>
      </c>
      <c r="D467" s="38">
        <f>MAX($B$2:B467)</f>
        <v>44948.645019531301</v>
      </c>
      <c r="E467" s="40">
        <f t="shared" si="28"/>
        <v>-5.9522341713214133E-2</v>
      </c>
      <c r="F467" s="41">
        <f t="shared" si="29"/>
        <v>94.047765828678592</v>
      </c>
      <c r="G467" s="42" t="str">
        <f t="shared" si="30"/>
        <v>2023-11</v>
      </c>
    </row>
    <row r="468" spans="1:7" x14ac:dyDescent="0.25">
      <c r="A468" s="31">
        <v>45239</v>
      </c>
      <c r="B468" s="32">
        <v>41943.515014648401</v>
      </c>
      <c r="C468" s="33">
        <f t="shared" si="31"/>
        <v>-7.7988282049468172E-3</v>
      </c>
      <c r="D468" s="32">
        <f>MAX($B$2:B468)</f>
        <v>44948.645019531301</v>
      </c>
      <c r="E468" s="34">
        <f t="shared" si="28"/>
        <v>-6.6856965400783452E-2</v>
      </c>
      <c r="F468" s="35">
        <f t="shared" si="29"/>
        <v>93.314303459921661</v>
      </c>
      <c r="G468" s="36" t="str">
        <f t="shared" si="30"/>
        <v>2023-11</v>
      </c>
    </row>
    <row r="469" spans="1:7" x14ac:dyDescent="0.25">
      <c r="A469" s="37">
        <v>45240</v>
      </c>
      <c r="B469" s="38">
        <v>42598.031616210901</v>
      </c>
      <c r="C469" s="39">
        <f t="shared" si="31"/>
        <v>1.5604715087276677E-2</v>
      </c>
      <c r="D469" s="38">
        <f>MAX($B$2:B469)</f>
        <v>44948.645019531301</v>
      </c>
      <c r="E469" s="40">
        <f t="shared" si="28"/>
        <v>-5.2295534210185846E-2</v>
      </c>
      <c r="F469" s="41">
        <f t="shared" si="29"/>
        <v>94.770446578981421</v>
      </c>
      <c r="G469" s="42" t="str">
        <f t="shared" si="30"/>
        <v>2023-11</v>
      </c>
    </row>
    <row r="470" spans="1:7" x14ac:dyDescent="0.25">
      <c r="A470" s="31">
        <v>45243</v>
      </c>
      <c r="B470" s="32">
        <v>42557.431030273401</v>
      </c>
      <c r="C470" s="33">
        <f t="shared" si="31"/>
        <v>-9.5310943715176677E-4</v>
      </c>
      <c r="D470" s="32">
        <f>MAX($B$2:B470)</f>
        <v>44948.645019531301</v>
      </c>
      <c r="E470" s="34">
        <f t="shared" si="28"/>
        <v>-5.3198800280160996E-2</v>
      </c>
      <c r="F470" s="35">
        <f t="shared" si="29"/>
        <v>94.680119971983899</v>
      </c>
      <c r="G470" s="36" t="str">
        <f t="shared" si="30"/>
        <v>2023-11</v>
      </c>
    </row>
    <row r="471" spans="1:7" x14ac:dyDescent="0.25">
      <c r="A471" s="37">
        <v>45244</v>
      </c>
      <c r="B471" s="38">
        <v>43383.071899414099</v>
      </c>
      <c r="C471" s="39">
        <f t="shared" si="31"/>
        <v>1.9400627555581806E-2</v>
      </c>
      <c r="D471" s="38">
        <f>MAX($B$2:B471)</f>
        <v>44948.645019531301</v>
      </c>
      <c r="E471" s="40">
        <f t="shared" si="28"/>
        <v>-3.4830262835218284E-2</v>
      </c>
      <c r="F471" s="41">
        <f t="shared" si="29"/>
        <v>96.516973716478176</v>
      </c>
      <c r="G471" s="42" t="str">
        <f t="shared" si="30"/>
        <v>2023-11</v>
      </c>
    </row>
    <row r="472" spans="1:7" x14ac:dyDescent="0.25">
      <c r="A472" s="31">
        <v>45245</v>
      </c>
      <c r="B472" s="32">
        <v>43474.9267578125</v>
      </c>
      <c r="C472" s="33">
        <f t="shared" si="31"/>
        <v>2.1172972400702594E-3</v>
      </c>
      <c r="D472" s="32">
        <f>MAX($B$2:B472)</f>
        <v>44948.645019531301</v>
      </c>
      <c r="E472" s="34">
        <f t="shared" si="28"/>
        <v>-3.2786711614519959E-2</v>
      </c>
      <c r="F472" s="35">
        <f t="shared" si="29"/>
        <v>96.721328838548004</v>
      </c>
      <c r="G472" s="36" t="str">
        <f t="shared" si="30"/>
        <v>2023-11</v>
      </c>
    </row>
    <row r="473" spans="1:7" x14ac:dyDescent="0.25">
      <c r="A473" s="37">
        <v>45246</v>
      </c>
      <c r="B473" s="38">
        <v>43528.091430664099</v>
      </c>
      <c r="C473" s="39">
        <f t="shared" si="31"/>
        <v>1.2228812517101062E-3</v>
      </c>
      <c r="D473" s="38">
        <f>MAX($B$2:B473)</f>
        <v>44948.645019531301</v>
      </c>
      <c r="E473" s="40">
        <f t="shared" si="28"/>
        <v>-3.1603924617748413E-2</v>
      </c>
      <c r="F473" s="41">
        <f t="shared" si="29"/>
        <v>96.839607538225152</v>
      </c>
      <c r="G473" s="42" t="str">
        <f t="shared" si="30"/>
        <v>2023-11</v>
      </c>
    </row>
    <row r="474" spans="1:7" x14ac:dyDescent="0.25">
      <c r="A474" s="31">
        <v>45247</v>
      </c>
      <c r="B474" s="32">
        <v>43582.235717773401</v>
      </c>
      <c r="C474" s="33">
        <f t="shared" si="31"/>
        <v>1.2438929741624971E-3</v>
      </c>
      <c r="D474" s="32">
        <f>MAX($B$2:B474)</f>
        <v>44948.645019531301</v>
      </c>
      <c r="E474" s="34">
        <f t="shared" si="28"/>
        <v>-3.0399343543374036E-2</v>
      </c>
      <c r="F474" s="35">
        <f t="shared" si="29"/>
        <v>96.960065645662596</v>
      </c>
      <c r="G474" s="36" t="str">
        <f t="shared" si="30"/>
        <v>2023-11</v>
      </c>
    </row>
    <row r="475" spans="1:7" x14ac:dyDescent="0.25">
      <c r="A475" s="37">
        <v>45250</v>
      </c>
      <c r="B475" s="38">
        <v>43917.715454101599</v>
      </c>
      <c r="C475" s="39">
        <f t="shared" si="31"/>
        <v>7.6976256679595068E-3</v>
      </c>
      <c r="D475" s="38">
        <f>MAX($B$2:B475)</f>
        <v>44948.645019531301</v>
      </c>
      <c r="E475" s="40">
        <f t="shared" si="28"/>
        <v>-2.2935720642562996E-2</v>
      </c>
      <c r="F475" s="41">
        <f t="shared" si="29"/>
        <v>97.706427935743704</v>
      </c>
      <c r="G475" s="42" t="str">
        <f t="shared" si="30"/>
        <v>2023-11</v>
      </c>
    </row>
    <row r="476" spans="1:7" x14ac:dyDescent="0.25">
      <c r="A476" s="31">
        <v>45251</v>
      </c>
      <c r="B476" s="32">
        <v>43822.000122070298</v>
      </c>
      <c r="C476" s="33">
        <f t="shared" si="31"/>
        <v>-2.1794242036868861E-3</v>
      </c>
      <c r="D476" s="32">
        <f>MAX($B$2:B476)</f>
        <v>44948.645019531301</v>
      </c>
      <c r="E476" s="34">
        <f t="shared" si="28"/>
        <v>-2.5065158181552527E-2</v>
      </c>
      <c r="F476" s="35">
        <f t="shared" si="29"/>
        <v>97.49348418184475</v>
      </c>
      <c r="G476" s="36" t="str">
        <f t="shared" si="30"/>
        <v>2023-11</v>
      </c>
    </row>
    <row r="477" spans="1:7" x14ac:dyDescent="0.25">
      <c r="A477" s="37">
        <v>45252</v>
      </c>
      <c r="B477" s="38">
        <v>43991.1865234375</v>
      </c>
      <c r="C477" s="39">
        <f t="shared" si="31"/>
        <v>3.8607640202619198E-3</v>
      </c>
      <c r="D477" s="38">
        <f>MAX($B$2:B477)</f>
        <v>44948.645019531301</v>
      </c>
      <c r="E477" s="40">
        <f t="shared" si="28"/>
        <v>-2.1301164822160046E-2</v>
      </c>
      <c r="F477" s="41">
        <f t="shared" si="29"/>
        <v>97.86988351778399</v>
      </c>
      <c r="G477" s="42" t="str">
        <f t="shared" si="30"/>
        <v>2023-11</v>
      </c>
    </row>
    <row r="478" spans="1:7" x14ac:dyDescent="0.25">
      <c r="A478" s="31">
        <v>45254</v>
      </c>
      <c r="B478" s="32">
        <v>44018.255615234397</v>
      </c>
      <c r="C478" s="33">
        <f t="shared" si="31"/>
        <v>6.1532988619150686E-4</v>
      </c>
      <c r="D478" s="32">
        <f>MAX($B$2:B478)</f>
        <v>44948.645019531301</v>
      </c>
      <c r="E478" s="34">
        <f t="shared" si="28"/>
        <v>-2.0698942179294355E-2</v>
      </c>
      <c r="F478" s="35">
        <f t="shared" si="29"/>
        <v>97.930105782070569</v>
      </c>
      <c r="G478" s="36" t="str">
        <f t="shared" si="30"/>
        <v>2023-11</v>
      </c>
    </row>
    <row r="479" spans="1:7" x14ac:dyDescent="0.25">
      <c r="A479" s="37">
        <v>45257</v>
      </c>
      <c r="B479" s="38">
        <v>43938.983154296897</v>
      </c>
      <c r="C479" s="39">
        <f t="shared" si="31"/>
        <v>-1.8008996456021498E-3</v>
      </c>
      <c r="D479" s="38">
        <f>MAX($B$2:B479)</f>
        <v>44948.645019531301</v>
      </c>
      <c r="E479" s="40">
        <f t="shared" si="28"/>
        <v>-2.2462565107261412E-2</v>
      </c>
      <c r="F479" s="41">
        <f t="shared" si="29"/>
        <v>97.753743489273859</v>
      </c>
      <c r="G479" s="42" t="str">
        <f t="shared" si="30"/>
        <v>2023-11</v>
      </c>
    </row>
    <row r="480" spans="1:7" x14ac:dyDescent="0.25">
      <c r="A480" s="31">
        <v>45258</v>
      </c>
      <c r="B480" s="32">
        <v>43982.485961914099</v>
      </c>
      <c r="C480" s="33">
        <f t="shared" si="31"/>
        <v>9.9007315359211923E-4</v>
      </c>
      <c r="D480" s="32">
        <f>MAX($B$2:B480)</f>
        <v>44948.645019531301</v>
      </c>
      <c r="E480" s="34">
        <f t="shared" si="28"/>
        <v>-2.1494731536342959E-2</v>
      </c>
      <c r="F480" s="35">
        <f t="shared" si="29"/>
        <v>97.85052684636571</v>
      </c>
      <c r="G480" s="36" t="str">
        <f t="shared" si="30"/>
        <v>2023-11</v>
      </c>
    </row>
    <row r="481" spans="1:7" x14ac:dyDescent="0.25">
      <c r="A481" s="37">
        <v>45259</v>
      </c>
      <c r="B481" s="38">
        <v>43951.547241210901</v>
      </c>
      <c r="C481" s="39">
        <f t="shared" si="31"/>
        <v>-7.0343274206896567E-4</v>
      </c>
      <c r="D481" s="38">
        <f>MAX($B$2:B481)</f>
        <v>44948.645019531301</v>
      </c>
      <c r="E481" s="40">
        <f t="shared" si="28"/>
        <v>-2.2183044180467237E-2</v>
      </c>
      <c r="F481" s="41">
        <f t="shared" si="29"/>
        <v>97.781695581953272</v>
      </c>
      <c r="G481" s="42" t="str">
        <f t="shared" si="30"/>
        <v>2023-11</v>
      </c>
    </row>
    <row r="482" spans="1:7" x14ac:dyDescent="0.25">
      <c r="A482" s="31">
        <v>45260</v>
      </c>
      <c r="B482" s="32">
        <v>44124.609375</v>
      </c>
      <c r="C482" s="33">
        <f t="shared" si="31"/>
        <v>3.9375663577738695E-3</v>
      </c>
      <c r="D482" s="32">
        <f>MAX($B$2:B482)</f>
        <v>44948.645019531301</v>
      </c>
      <c r="E482" s="34">
        <f t="shared" si="28"/>
        <v>-1.8332825031171396E-2</v>
      </c>
      <c r="F482" s="35">
        <f t="shared" si="29"/>
        <v>98.166717496882853</v>
      </c>
      <c r="G482" s="36" t="str">
        <f t="shared" si="30"/>
        <v>2023-11</v>
      </c>
    </row>
    <row r="483" spans="1:7" x14ac:dyDescent="0.25">
      <c r="A483" s="37">
        <v>45261</v>
      </c>
      <c r="B483" s="38">
        <v>44385.641479492202</v>
      </c>
      <c r="C483" s="39">
        <f t="shared" si="31"/>
        <v>5.9157941155643101E-3</v>
      </c>
      <c r="D483" s="38">
        <f>MAX($B$2:B483)</f>
        <v>44948.645019531301</v>
      </c>
      <c r="E483" s="40">
        <f t="shared" si="28"/>
        <v>-1.2525484134048082E-2</v>
      </c>
      <c r="F483" s="41">
        <f t="shared" si="29"/>
        <v>98.74745158659519</v>
      </c>
      <c r="G483" s="42" t="str">
        <f t="shared" si="30"/>
        <v>2023-12</v>
      </c>
    </row>
    <row r="484" spans="1:7" x14ac:dyDescent="0.25">
      <c r="A484" s="31">
        <v>45264</v>
      </c>
      <c r="B484" s="32">
        <v>44152.648925781301</v>
      </c>
      <c r="C484" s="33">
        <f t="shared" si="31"/>
        <v>-5.249277602950797E-3</v>
      </c>
      <c r="D484" s="32">
        <f>MAX($B$2:B484)</f>
        <v>44948.645019531301</v>
      </c>
      <c r="E484" s="34">
        <f t="shared" si="28"/>
        <v>-1.7709011993667922E-2</v>
      </c>
      <c r="F484" s="35">
        <f t="shared" si="29"/>
        <v>98.22909880063321</v>
      </c>
      <c r="G484" s="36" t="str">
        <f t="shared" si="30"/>
        <v>2023-12</v>
      </c>
    </row>
    <row r="485" spans="1:7" x14ac:dyDescent="0.25">
      <c r="A485" s="37">
        <v>45265</v>
      </c>
      <c r="B485" s="38">
        <v>44143.939208984397</v>
      </c>
      <c r="C485" s="39">
        <f t="shared" si="31"/>
        <v>-1.9726374314588124E-4</v>
      </c>
      <c r="D485" s="38">
        <f>MAX($B$2:B485)</f>
        <v>44948.645019531301</v>
      </c>
      <c r="E485" s="40">
        <f t="shared" si="28"/>
        <v>-1.7902782390820438E-2</v>
      </c>
      <c r="F485" s="41">
        <f t="shared" si="29"/>
        <v>98.209721760917958</v>
      </c>
      <c r="G485" s="42" t="str">
        <f t="shared" si="30"/>
        <v>2023-12</v>
      </c>
    </row>
    <row r="486" spans="1:7" x14ac:dyDescent="0.25">
      <c r="A486" s="31">
        <v>45266</v>
      </c>
      <c r="B486" s="32">
        <v>43966.055297851599</v>
      </c>
      <c r="C486" s="33">
        <f t="shared" si="31"/>
        <v>-4.0296338369502083E-3</v>
      </c>
      <c r="D486" s="32">
        <f>MAX($B$2:B486)</f>
        <v>44948.645019531301</v>
      </c>
      <c r="E486" s="34">
        <f t="shared" si="28"/>
        <v>-2.1860274570073113E-2</v>
      </c>
      <c r="F486" s="35">
        <f t="shared" si="29"/>
        <v>97.813972542992687</v>
      </c>
      <c r="G486" s="36" t="str">
        <f t="shared" si="30"/>
        <v>2023-12</v>
      </c>
    </row>
    <row r="487" spans="1:7" x14ac:dyDescent="0.25">
      <c r="A487" s="37">
        <v>45267</v>
      </c>
      <c r="B487" s="38">
        <v>44301.531982421897</v>
      </c>
      <c r="C487" s="39">
        <f t="shared" si="31"/>
        <v>7.6303566989939231E-3</v>
      </c>
      <c r="D487" s="38">
        <f>MAX($B$2:B487)</f>
        <v>44948.645019531301</v>
      </c>
      <c r="E487" s="40">
        <f t="shared" si="28"/>
        <v>-1.4396719563586791E-2</v>
      </c>
      <c r="F487" s="41">
        <f t="shared" si="29"/>
        <v>98.56032804364132</v>
      </c>
      <c r="G487" s="42" t="str">
        <f t="shared" si="30"/>
        <v>2023-12</v>
      </c>
    </row>
    <row r="488" spans="1:7" x14ac:dyDescent="0.25">
      <c r="A488" s="31">
        <v>45268</v>
      </c>
      <c r="B488" s="32">
        <v>44491.9921875</v>
      </c>
      <c r="C488" s="33">
        <f t="shared" si="31"/>
        <v>4.2991787542172588E-3</v>
      </c>
      <c r="D488" s="32">
        <f>MAX($B$2:B488)</f>
        <v>44948.645019531301</v>
      </c>
      <c r="E488" s="34">
        <f t="shared" si="28"/>
        <v>-1.0159434880247731E-2</v>
      </c>
      <c r="F488" s="35">
        <f t="shared" si="29"/>
        <v>98.984056511975226</v>
      </c>
      <c r="G488" s="36" t="str">
        <f t="shared" si="30"/>
        <v>2023-12</v>
      </c>
    </row>
    <row r="489" spans="1:7" x14ac:dyDescent="0.25">
      <c r="A489" s="37">
        <v>45271</v>
      </c>
      <c r="B489" s="38">
        <v>44665.042114257798</v>
      </c>
      <c r="C489" s="39">
        <f t="shared" si="31"/>
        <v>3.8894623110721227E-3</v>
      </c>
      <c r="D489" s="38">
        <f>MAX($B$2:B489)</f>
        <v>44948.645019531301</v>
      </c>
      <c r="E489" s="40">
        <f t="shared" si="28"/>
        <v>-6.3094873082440994E-3</v>
      </c>
      <c r="F489" s="41">
        <f t="shared" si="29"/>
        <v>99.369051269175586</v>
      </c>
      <c r="G489" s="42" t="str">
        <f t="shared" si="30"/>
        <v>2023-12</v>
      </c>
    </row>
    <row r="490" spans="1:7" x14ac:dyDescent="0.25">
      <c r="A490" s="31">
        <v>45272</v>
      </c>
      <c r="B490" s="32">
        <v>44869.039916992202</v>
      </c>
      <c r="C490" s="33">
        <f t="shared" si="31"/>
        <v>4.5672811012369419E-3</v>
      </c>
      <c r="D490" s="32">
        <f>MAX($B$2:B490)</f>
        <v>44948.645019531301</v>
      </c>
      <c r="E490" s="34">
        <f t="shared" si="28"/>
        <v>-1.7710234091485866E-3</v>
      </c>
      <c r="F490" s="35">
        <f t="shared" si="29"/>
        <v>99.822897659085143</v>
      </c>
      <c r="G490" s="36" t="str">
        <f t="shared" si="30"/>
        <v>2023-12</v>
      </c>
    </row>
    <row r="491" spans="1:7" x14ac:dyDescent="0.25">
      <c r="A491" s="37">
        <v>45273</v>
      </c>
      <c r="B491" s="38">
        <v>45487.786865234397</v>
      </c>
      <c r="C491" s="39">
        <f t="shared" si="31"/>
        <v>1.3790064360344578E-2</v>
      </c>
      <c r="D491" s="38">
        <f>MAX($B$2:B491)</f>
        <v>45487.786865234397</v>
      </c>
      <c r="E491" s="40">
        <f t="shared" si="28"/>
        <v>0</v>
      </c>
      <c r="F491" s="41">
        <f t="shared" si="29"/>
        <v>101.19946184244002</v>
      </c>
      <c r="G491" s="42" t="str">
        <f t="shared" si="30"/>
        <v>2023-12</v>
      </c>
    </row>
    <row r="492" spans="1:7" x14ac:dyDescent="0.25">
      <c r="A492" s="31">
        <v>45274</v>
      </c>
      <c r="B492" s="32">
        <v>45633.776855468801</v>
      </c>
      <c r="C492" s="33">
        <f t="shared" si="31"/>
        <v>3.2094326916130012E-3</v>
      </c>
      <c r="D492" s="32">
        <f>MAX($B$2:B492)</f>
        <v>45633.776855468801</v>
      </c>
      <c r="E492" s="34">
        <f t="shared" si="28"/>
        <v>0</v>
      </c>
      <c r="F492" s="35">
        <f t="shared" si="29"/>
        <v>101.52425470365078</v>
      </c>
      <c r="G492" s="36" t="str">
        <f t="shared" si="30"/>
        <v>2023-12</v>
      </c>
    </row>
    <row r="493" spans="1:7" x14ac:dyDescent="0.25">
      <c r="A493" s="37">
        <v>45275</v>
      </c>
      <c r="B493" s="38">
        <v>45558.639526367202</v>
      </c>
      <c r="C493" s="39">
        <f t="shared" si="31"/>
        <v>-1.6465288275299139E-3</v>
      </c>
      <c r="D493" s="38">
        <f>MAX($B$2:B493)</f>
        <v>45633.776855468801</v>
      </c>
      <c r="E493" s="40">
        <f t="shared" si="28"/>
        <v>-1.6465288275299139E-3</v>
      </c>
      <c r="F493" s="41">
        <f t="shared" si="29"/>
        <v>101.35709209158772</v>
      </c>
      <c r="G493" s="42" t="str">
        <f t="shared" si="30"/>
        <v>2023-12</v>
      </c>
    </row>
    <row r="494" spans="1:7" x14ac:dyDescent="0.25">
      <c r="A494" s="31">
        <v>45278</v>
      </c>
      <c r="B494" s="32">
        <v>45814.913940429702</v>
      </c>
      <c r="C494" s="33">
        <f t="shared" si="31"/>
        <v>5.6251551127679544E-3</v>
      </c>
      <c r="D494" s="32">
        <f>MAX($B$2:B494)</f>
        <v>45814.913940429702</v>
      </c>
      <c r="E494" s="34">
        <f t="shared" si="28"/>
        <v>0</v>
      </c>
      <c r="F494" s="35">
        <f t="shared" si="29"/>
        <v>101.92724145638203</v>
      </c>
      <c r="G494" s="36" t="str">
        <f t="shared" si="30"/>
        <v>2023-12</v>
      </c>
    </row>
    <row r="495" spans="1:7" x14ac:dyDescent="0.25">
      <c r="A495" s="37">
        <v>45279</v>
      </c>
      <c r="B495" s="38">
        <v>46093.502807617202</v>
      </c>
      <c r="C495" s="39">
        <f t="shared" si="31"/>
        <v>6.0807462729217665E-3</v>
      </c>
      <c r="D495" s="38">
        <f>MAX($B$2:B495)</f>
        <v>46093.502807617202</v>
      </c>
      <c r="E495" s="40">
        <f t="shared" si="28"/>
        <v>0</v>
      </c>
      <c r="F495" s="41">
        <f t="shared" si="29"/>
        <v>102.54703514997712</v>
      </c>
      <c r="G495" s="42" t="str">
        <f t="shared" si="30"/>
        <v>2023-12</v>
      </c>
    </row>
    <row r="496" spans="1:7" x14ac:dyDescent="0.25">
      <c r="A496" s="31">
        <v>45280</v>
      </c>
      <c r="B496" s="32">
        <v>45454.772949218801</v>
      </c>
      <c r="C496" s="33">
        <f t="shared" si="31"/>
        <v>-1.3857264462288743E-2</v>
      </c>
      <c r="D496" s="32">
        <f>MAX($B$2:B496)</f>
        <v>46093.502807617202</v>
      </c>
      <c r="E496" s="34">
        <f t="shared" si="28"/>
        <v>-1.3857264462288743E-2</v>
      </c>
      <c r="F496" s="35">
        <f t="shared" si="29"/>
        <v>101.12601376408026</v>
      </c>
      <c r="G496" s="36" t="str">
        <f t="shared" si="30"/>
        <v>2023-12</v>
      </c>
    </row>
    <row r="497" spans="1:7" x14ac:dyDescent="0.25">
      <c r="A497" s="37">
        <v>45281</v>
      </c>
      <c r="B497" s="38">
        <v>45885.772705078103</v>
      </c>
      <c r="C497" s="39">
        <f t="shared" si="31"/>
        <v>9.4819471728702087E-3</v>
      </c>
      <c r="D497" s="38">
        <f>MAX($B$2:B497)</f>
        <v>46093.502807617202</v>
      </c>
      <c r="E497" s="40">
        <f t="shared" si="28"/>
        <v>-4.5067111390104664E-3</v>
      </c>
      <c r="F497" s="41">
        <f t="shared" si="29"/>
        <v>102.0848852843942</v>
      </c>
      <c r="G497" s="42" t="str">
        <f t="shared" si="30"/>
        <v>2023-12</v>
      </c>
    </row>
    <row r="498" spans="1:7" x14ac:dyDescent="0.25">
      <c r="A498" s="31">
        <v>45282</v>
      </c>
      <c r="B498" s="32">
        <v>45977.993774414099</v>
      </c>
      <c r="C498" s="33">
        <f t="shared" si="31"/>
        <v>2.0097965861602951E-3</v>
      </c>
      <c r="D498" s="32">
        <f>MAX($B$2:B498)</f>
        <v>46093.502807617202</v>
      </c>
      <c r="E498" s="34">
        <f t="shared" si="28"/>
        <v>-2.5059721255120682E-3</v>
      </c>
      <c r="F498" s="35">
        <f t="shared" si="29"/>
        <v>102.29005513833735</v>
      </c>
      <c r="G498" s="36" t="str">
        <f t="shared" si="30"/>
        <v>2023-12</v>
      </c>
    </row>
    <row r="499" spans="1:7" x14ac:dyDescent="0.25">
      <c r="A499" s="37">
        <v>45286</v>
      </c>
      <c r="B499" s="38">
        <v>46172.134399414099</v>
      </c>
      <c r="C499" s="39">
        <f t="shared" si="31"/>
        <v>4.2224683824294562E-3</v>
      </c>
      <c r="D499" s="38">
        <f>MAX($B$2:B499)</f>
        <v>46172.134399414099</v>
      </c>
      <c r="E499" s="40">
        <f t="shared" si="28"/>
        <v>0</v>
      </c>
      <c r="F499" s="41">
        <f t="shared" si="29"/>
        <v>102.72197166199595</v>
      </c>
      <c r="G499" s="42" t="str">
        <f t="shared" si="30"/>
        <v>2023-12</v>
      </c>
    </row>
    <row r="500" spans="1:7" x14ac:dyDescent="0.25">
      <c r="A500" s="31">
        <v>45287</v>
      </c>
      <c r="B500" s="32">
        <v>46255.618286132798</v>
      </c>
      <c r="C500" s="33">
        <f t="shared" si="31"/>
        <v>1.8081010939741127E-3</v>
      </c>
      <c r="D500" s="32">
        <f>MAX($B$2:B500)</f>
        <v>46255.618286132798</v>
      </c>
      <c r="E500" s="34">
        <f t="shared" si="28"/>
        <v>0</v>
      </c>
      <c r="F500" s="35">
        <f t="shared" si="29"/>
        <v>102.9077033713332</v>
      </c>
      <c r="G500" s="36" t="str">
        <f t="shared" si="30"/>
        <v>2023-12</v>
      </c>
    </row>
    <row r="501" spans="1:7" x14ac:dyDescent="0.25">
      <c r="A501" s="37">
        <v>45288</v>
      </c>
      <c r="B501" s="38">
        <v>46273.089599609397</v>
      </c>
      <c r="C501" s="39">
        <f t="shared" si="31"/>
        <v>3.7771224607840992E-4</v>
      </c>
      <c r="D501" s="38">
        <f>MAX($B$2:B501)</f>
        <v>46273.089599609397</v>
      </c>
      <c r="E501" s="40">
        <f t="shared" si="28"/>
        <v>0</v>
      </c>
      <c r="F501" s="41">
        <f t="shared" si="29"/>
        <v>102.94657287111232</v>
      </c>
      <c r="G501" s="42" t="str">
        <f t="shared" si="30"/>
        <v>2023-12</v>
      </c>
    </row>
    <row r="502" spans="1:7" x14ac:dyDescent="0.25">
      <c r="A502" s="31">
        <v>45289</v>
      </c>
      <c r="B502" s="32">
        <v>46139.132690429702</v>
      </c>
      <c r="C502" s="33">
        <f t="shared" si="31"/>
        <v>-2.8949203595176609E-3</v>
      </c>
      <c r="D502" s="32">
        <f>MAX($B$2:B502)</f>
        <v>46273.089599609397</v>
      </c>
      <c r="E502" s="34">
        <f t="shared" si="28"/>
        <v>-2.8949203595176609E-3</v>
      </c>
      <c r="F502" s="35">
        <f t="shared" si="29"/>
        <v>102.64855074136518</v>
      </c>
      <c r="G502" s="36" t="str">
        <f t="shared" si="30"/>
        <v>2023-12</v>
      </c>
    </row>
    <row r="503" spans="1:7" x14ac:dyDescent="0.25">
      <c r="A503" s="37">
        <v>45293</v>
      </c>
      <c r="B503" s="38">
        <v>45880.920410156301</v>
      </c>
      <c r="C503" s="39">
        <f t="shared" si="31"/>
        <v>-5.5963834865704332E-3</v>
      </c>
      <c r="D503" s="38">
        <f>MAX($B$2:B503)</f>
        <v>46273.089599609397</v>
      </c>
      <c r="E503" s="40">
        <f t="shared" si="28"/>
        <v>-8.475102761593134E-3</v>
      </c>
      <c r="F503" s="41">
        <f t="shared" si="29"/>
        <v>102.07409008707582</v>
      </c>
      <c r="G503" s="42" t="str">
        <f t="shared" si="30"/>
        <v>2024-01</v>
      </c>
    </row>
    <row r="504" spans="1:7" x14ac:dyDescent="0.25">
      <c r="A504" s="31">
        <v>45294</v>
      </c>
      <c r="B504" s="32">
        <v>45506.2255859375</v>
      </c>
      <c r="C504" s="33">
        <f t="shared" si="31"/>
        <v>-8.166680634764667E-3</v>
      </c>
      <c r="D504" s="32">
        <f>MAX($B$2:B504)</f>
        <v>46273.089599609397</v>
      </c>
      <c r="E504" s="34">
        <f t="shared" si="28"/>
        <v>-1.6572569938756998E-2</v>
      </c>
      <c r="F504" s="35">
        <f t="shared" si="29"/>
        <v>101.24048359225048</v>
      </c>
      <c r="G504" s="36" t="str">
        <f t="shared" si="30"/>
        <v>2024-01</v>
      </c>
    </row>
    <row r="505" spans="1:7" x14ac:dyDescent="0.25">
      <c r="A505" s="37">
        <v>45295</v>
      </c>
      <c r="B505" s="38">
        <v>45359.6435546875</v>
      </c>
      <c r="C505" s="39">
        <f t="shared" si="31"/>
        <v>-3.2211423681619555E-3</v>
      </c>
      <c r="D505" s="38">
        <f>MAX($B$2:B505)</f>
        <v>46273.089599609397</v>
      </c>
      <c r="E505" s="40">
        <f t="shared" si="28"/>
        <v>-1.9740329699739934E-2</v>
      </c>
      <c r="F505" s="41">
        <f t="shared" si="29"/>
        <v>100.91437358117827</v>
      </c>
      <c r="G505" s="42" t="str">
        <f t="shared" si="30"/>
        <v>2024-01</v>
      </c>
    </row>
    <row r="506" spans="1:7" x14ac:dyDescent="0.25">
      <c r="A506" s="31">
        <v>45296</v>
      </c>
      <c r="B506" s="32">
        <v>45421.774291992202</v>
      </c>
      <c r="C506" s="33">
        <f t="shared" si="31"/>
        <v>1.3697360128015479E-3</v>
      </c>
      <c r="D506" s="32">
        <f>MAX($B$2:B506)</f>
        <v>46273.089599609397</v>
      </c>
      <c r="E506" s="34">
        <f t="shared" si="28"/>
        <v>-1.8397632727432556E-2</v>
      </c>
      <c r="F506" s="35">
        <f t="shared" si="29"/>
        <v>101.05259963288174</v>
      </c>
      <c r="G506" s="36" t="str">
        <f t="shared" si="30"/>
        <v>2024-01</v>
      </c>
    </row>
    <row r="507" spans="1:7" x14ac:dyDescent="0.25">
      <c r="A507" s="37">
        <v>45299</v>
      </c>
      <c r="B507" s="38">
        <v>46070.21484375</v>
      </c>
      <c r="C507" s="39">
        <f t="shared" si="31"/>
        <v>1.4275984632157401E-2</v>
      </c>
      <c r="D507" s="38">
        <f>MAX($B$2:B507)</f>
        <v>46273.089599609397</v>
      </c>
      <c r="E507" s="40">
        <f t="shared" si="28"/>
        <v>-4.3842924173601583E-3</v>
      </c>
      <c r="F507" s="41">
        <f t="shared" si="29"/>
        <v>102.4952249922803</v>
      </c>
      <c r="G507" s="42" t="str">
        <f t="shared" si="30"/>
        <v>2024-01</v>
      </c>
    </row>
    <row r="508" spans="1:7" x14ac:dyDescent="0.25">
      <c r="A508" s="31">
        <v>45300</v>
      </c>
      <c r="B508" s="32">
        <v>46000.3173828125</v>
      </c>
      <c r="C508" s="33">
        <f t="shared" si="31"/>
        <v>-1.5171941605777173E-3</v>
      </c>
      <c r="D508" s="32">
        <f>MAX($B$2:B508)</f>
        <v>46273.089599609397</v>
      </c>
      <c r="E508" s="34">
        <f t="shared" si="28"/>
        <v>-5.8948347550841218E-3</v>
      </c>
      <c r="F508" s="35">
        <f t="shared" si="29"/>
        <v>102.33971983543491</v>
      </c>
      <c r="G508" s="36" t="str">
        <f t="shared" si="30"/>
        <v>2024-01</v>
      </c>
    </row>
    <row r="509" spans="1:7" x14ac:dyDescent="0.25">
      <c r="A509" s="37">
        <v>45301</v>
      </c>
      <c r="B509" s="38">
        <v>46260.470581054702</v>
      </c>
      <c r="C509" s="39">
        <f t="shared" si="31"/>
        <v>5.6554652890157264E-3</v>
      </c>
      <c r="D509" s="38">
        <f>MAX($B$2:B509)</f>
        <v>46273.089599609397</v>
      </c>
      <c r="E509" s="40">
        <f t="shared" si="28"/>
        <v>-2.7270749941021855E-4</v>
      </c>
      <c r="F509" s="41">
        <f t="shared" si="29"/>
        <v>102.91849856865181</v>
      </c>
      <c r="G509" s="42" t="str">
        <f t="shared" si="30"/>
        <v>2024-01</v>
      </c>
    </row>
    <row r="510" spans="1:7" x14ac:dyDescent="0.25">
      <c r="A510" s="31">
        <v>45302</v>
      </c>
      <c r="B510" s="32">
        <v>46240.081787109397</v>
      </c>
      <c r="C510" s="33">
        <f t="shared" si="31"/>
        <v>-4.4073900868735194E-4</v>
      </c>
      <c r="D510" s="32">
        <f>MAX($B$2:B510)</f>
        <v>46273.089599609397</v>
      </c>
      <c r="E510" s="34">
        <f t="shared" si="28"/>
        <v>-7.1332631526466184E-4</v>
      </c>
      <c r="F510" s="35">
        <f t="shared" si="29"/>
        <v>102.87313837161707</v>
      </c>
      <c r="G510" s="36" t="str">
        <f t="shared" si="30"/>
        <v>2024-01</v>
      </c>
    </row>
    <row r="511" spans="1:7" x14ac:dyDescent="0.25">
      <c r="A511" s="37">
        <v>45303</v>
      </c>
      <c r="B511" s="38">
        <v>46272.119140625</v>
      </c>
      <c r="C511" s="39">
        <f t="shared" si="31"/>
        <v>6.9284811525860412E-4</v>
      </c>
      <c r="D511" s="38">
        <f>MAX($B$2:B511)</f>
        <v>46273.089599609397</v>
      </c>
      <c r="E511" s="40">
        <f t="shared" si="28"/>
        <v>-2.0972426799104049E-5</v>
      </c>
      <c r="F511" s="41">
        <f t="shared" si="29"/>
        <v>102.94441383164859</v>
      </c>
      <c r="G511" s="42" t="str">
        <f t="shared" si="30"/>
        <v>2024-01</v>
      </c>
    </row>
    <row r="512" spans="1:7" x14ac:dyDescent="0.25">
      <c r="A512" s="31">
        <v>45307</v>
      </c>
      <c r="B512" s="32">
        <v>46102.249145507798</v>
      </c>
      <c r="C512" s="33">
        <f t="shared" si="31"/>
        <v>-3.6711090451887474E-3</v>
      </c>
      <c r="D512" s="32">
        <f>MAX($B$2:B512)</f>
        <v>46273.089599609397</v>
      </c>
      <c r="E512" s="34">
        <f t="shared" si="28"/>
        <v>-3.6920044799222396E-3</v>
      </c>
      <c r="F512" s="35">
        <f t="shared" si="29"/>
        <v>102.56649366287955</v>
      </c>
      <c r="G512" s="36" t="str">
        <f t="shared" si="30"/>
        <v>2024-01</v>
      </c>
    </row>
    <row r="513" spans="1:7" x14ac:dyDescent="0.25">
      <c r="A513" s="37">
        <v>45308</v>
      </c>
      <c r="B513" s="38">
        <v>45845.977783203103</v>
      </c>
      <c r="C513" s="39">
        <f t="shared" si="31"/>
        <v>-5.5587605172114918E-3</v>
      </c>
      <c r="D513" s="38">
        <f>MAX($B$2:B513)</f>
        <v>46273.089599609397</v>
      </c>
      <c r="E513" s="40">
        <f t="shared" si="28"/>
        <v>-9.2302420284012809E-3</v>
      </c>
      <c r="F513" s="41">
        <f t="shared" si="29"/>
        <v>101.99635108751752</v>
      </c>
      <c r="G513" s="42" t="str">
        <f t="shared" si="30"/>
        <v>2024-01</v>
      </c>
    </row>
    <row r="514" spans="1:7" x14ac:dyDescent="0.25">
      <c r="A514" s="31">
        <v>45309</v>
      </c>
      <c r="B514" s="32">
        <v>46253.674316406301</v>
      </c>
      <c r="C514" s="33">
        <f t="shared" si="31"/>
        <v>8.8927437676455945E-3</v>
      </c>
      <c r="D514" s="32">
        <f>MAX($B$2:B514)</f>
        <v>46273.089599609397</v>
      </c>
      <c r="E514" s="34">
        <f t="shared" ref="E514:E577" si="32">B514/D514-1</f>
        <v>-4.1958043802758915E-4</v>
      </c>
      <c r="F514" s="35">
        <f t="shared" ref="F514:F577" si="33">B514/$B$2*100</f>
        <v>102.90337850297364</v>
      </c>
      <c r="G514" s="36" t="str">
        <f t="shared" ref="G514:G577" si="34">TEXT(A514,"YYYY-MM")</f>
        <v>2024-01</v>
      </c>
    </row>
    <row r="515" spans="1:7" x14ac:dyDescent="0.25">
      <c r="A515" s="37">
        <v>45310</v>
      </c>
      <c r="B515" s="38">
        <v>46830.279541015603</v>
      </c>
      <c r="C515" s="39">
        <f t="shared" ref="C515:C578" si="35">B515/B514-1</f>
        <v>1.2466149622296641E-2</v>
      </c>
      <c r="D515" s="38">
        <f>MAX($B$2:B515)</f>
        <v>46830.279541015603</v>
      </c>
      <c r="E515" s="40">
        <f t="shared" si="32"/>
        <v>0</v>
      </c>
      <c r="F515" s="41">
        <f t="shared" si="33"/>
        <v>104.18618741603154</v>
      </c>
      <c r="G515" s="42" t="str">
        <f t="shared" si="34"/>
        <v>2024-01</v>
      </c>
    </row>
    <row r="516" spans="1:7" x14ac:dyDescent="0.25">
      <c r="A516" s="31">
        <v>45313</v>
      </c>
      <c r="B516" s="32">
        <v>46929.296875</v>
      </c>
      <c r="C516" s="33">
        <f t="shared" si="35"/>
        <v>2.1143869939463933E-3</v>
      </c>
      <c r="D516" s="32">
        <f>MAX($B$2:B516)</f>
        <v>46929.296875</v>
      </c>
      <c r="E516" s="34">
        <f t="shared" si="32"/>
        <v>0</v>
      </c>
      <c r="F516" s="35">
        <f t="shared" si="33"/>
        <v>104.40647733565285</v>
      </c>
      <c r="G516" s="36" t="str">
        <f t="shared" si="34"/>
        <v>2024-01</v>
      </c>
    </row>
    <row r="517" spans="1:7" x14ac:dyDescent="0.25">
      <c r="A517" s="37">
        <v>45314</v>
      </c>
      <c r="B517" s="38">
        <v>47066.165161132798</v>
      </c>
      <c r="C517" s="39">
        <f t="shared" si="35"/>
        <v>2.9164785165514129E-3</v>
      </c>
      <c r="D517" s="38">
        <f>MAX($B$2:B517)</f>
        <v>47066.165161132798</v>
      </c>
      <c r="E517" s="40">
        <f t="shared" si="32"/>
        <v>0</v>
      </c>
      <c r="F517" s="41">
        <f t="shared" si="33"/>
        <v>104.71097658379109</v>
      </c>
      <c r="G517" s="42" t="str">
        <f t="shared" si="34"/>
        <v>2024-01</v>
      </c>
    </row>
    <row r="518" spans="1:7" x14ac:dyDescent="0.25">
      <c r="A518" s="31">
        <v>45315</v>
      </c>
      <c r="B518" s="32">
        <v>47117.617797851599</v>
      </c>
      <c r="C518" s="33">
        <f t="shared" si="35"/>
        <v>1.0931979808137537E-3</v>
      </c>
      <c r="D518" s="32">
        <f>MAX($B$2:B518)</f>
        <v>47117.617797851599</v>
      </c>
      <c r="E518" s="34">
        <f t="shared" si="32"/>
        <v>0</v>
      </c>
      <c r="F518" s="35">
        <f t="shared" si="33"/>
        <v>104.82544641196152</v>
      </c>
      <c r="G518" s="36" t="str">
        <f t="shared" si="34"/>
        <v>2024-01</v>
      </c>
    </row>
    <row r="519" spans="1:7" x14ac:dyDescent="0.25">
      <c r="A519" s="37">
        <v>45316</v>
      </c>
      <c r="B519" s="38">
        <v>47373.886108398401</v>
      </c>
      <c r="C519" s="39">
        <f t="shared" si="35"/>
        <v>5.4389063480728694E-3</v>
      </c>
      <c r="D519" s="38">
        <f>MAX($B$2:B519)</f>
        <v>47373.886108398401</v>
      </c>
      <c r="E519" s="40">
        <f t="shared" si="32"/>
        <v>0</v>
      </c>
      <c r="F519" s="41">
        <f t="shared" si="33"/>
        <v>105.39558219789112</v>
      </c>
      <c r="G519" s="42" t="str">
        <f t="shared" si="34"/>
        <v>2024-01</v>
      </c>
    </row>
    <row r="520" spans="1:7" x14ac:dyDescent="0.25">
      <c r="A520" s="31">
        <v>45317</v>
      </c>
      <c r="B520" s="32">
        <v>47313.699340820298</v>
      </c>
      <c r="C520" s="33">
        <f t="shared" si="35"/>
        <v>-1.2704629601292261E-3</v>
      </c>
      <c r="D520" s="32">
        <f>MAX($B$2:B520)</f>
        <v>47373.886108398401</v>
      </c>
      <c r="E520" s="34">
        <f t="shared" si="32"/>
        <v>-1.2704629601292261E-3</v>
      </c>
      <c r="F520" s="35">
        <f t="shared" si="33"/>
        <v>105.26168101454742</v>
      </c>
      <c r="G520" s="36" t="str">
        <f t="shared" si="34"/>
        <v>2024-01</v>
      </c>
    </row>
    <row r="521" spans="1:7" x14ac:dyDescent="0.25">
      <c r="A521" s="37">
        <v>45320</v>
      </c>
      <c r="B521" s="38">
        <v>47688.394165039099</v>
      </c>
      <c r="C521" s="39">
        <f t="shared" si="35"/>
        <v>7.9193728125064311E-3</v>
      </c>
      <c r="D521" s="38">
        <f>MAX($B$2:B521)</f>
        <v>47688.394165039099</v>
      </c>
      <c r="E521" s="40">
        <f t="shared" si="32"/>
        <v>0</v>
      </c>
      <c r="F521" s="41">
        <f t="shared" si="33"/>
        <v>106.09528750937278</v>
      </c>
      <c r="G521" s="42" t="str">
        <f t="shared" si="34"/>
        <v>2024-01</v>
      </c>
    </row>
    <row r="522" spans="1:7" x14ac:dyDescent="0.25">
      <c r="A522" s="31">
        <v>45321</v>
      </c>
      <c r="B522" s="32">
        <v>47651.510620117202</v>
      </c>
      <c r="C522" s="33">
        <f t="shared" si="35"/>
        <v>-7.7342811742098228E-4</v>
      </c>
      <c r="D522" s="32">
        <f>MAX($B$2:B522)</f>
        <v>47688.394165039099</v>
      </c>
      <c r="E522" s="34">
        <f t="shared" si="32"/>
        <v>-7.7342811742098228E-4</v>
      </c>
      <c r="F522" s="35">
        <f t="shared" si="33"/>
        <v>106.01323043088715</v>
      </c>
      <c r="G522" s="36" t="str">
        <f t="shared" si="34"/>
        <v>2024-01</v>
      </c>
    </row>
    <row r="523" spans="1:7" x14ac:dyDescent="0.25">
      <c r="A523" s="37">
        <v>45322</v>
      </c>
      <c r="B523" s="38">
        <v>46873.959350585901</v>
      </c>
      <c r="C523" s="39">
        <f t="shared" si="35"/>
        <v>-1.6317452676999467E-2</v>
      </c>
      <c r="D523" s="38">
        <f>MAX($B$2:B523)</f>
        <v>47688.394165039099</v>
      </c>
      <c r="E523" s="40">
        <f t="shared" si="32"/>
        <v>-1.707826041771543E-2</v>
      </c>
      <c r="F523" s="41">
        <f t="shared" si="33"/>
        <v>104.28336456019531</v>
      </c>
      <c r="G523" s="42" t="str">
        <f t="shared" si="34"/>
        <v>2024-01</v>
      </c>
    </row>
    <row r="524" spans="1:7" x14ac:dyDescent="0.25">
      <c r="A524" s="31">
        <v>45323</v>
      </c>
      <c r="B524" s="32">
        <v>47487.454223632798</v>
      </c>
      <c r="C524" s="33">
        <f t="shared" si="35"/>
        <v>1.3088181189439663E-2</v>
      </c>
      <c r="D524" s="32">
        <f>MAX($B$2:B524)</f>
        <v>47688.394165039099</v>
      </c>
      <c r="E524" s="34">
        <f t="shared" si="32"/>
        <v>-4.2136025950232359E-3</v>
      </c>
      <c r="F524" s="35">
        <f t="shared" si="33"/>
        <v>105.64824413060354</v>
      </c>
      <c r="G524" s="36" t="str">
        <f t="shared" si="34"/>
        <v>2024-02</v>
      </c>
    </row>
    <row r="525" spans="1:7" x14ac:dyDescent="0.25">
      <c r="A525" s="37">
        <v>45324</v>
      </c>
      <c r="B525" s="38">
        <v>47987.374877929702</v>
      </c>
      <c r="C525" s="39">
        <f t="shared" si="35"/>
        <v>1.052742587426625E-2</v>
      </c>
      <c r="D525" s="38">
        <f>MAX($B$2:B525)</f>
        <v>47987.374877929702</v>
      </c>
      <c r="E525" s="40">
        <f t="shared" si="32"/>
        <v>0</v>
      </c>
      <c r="F525" s="41">
        <f t="shared" si="33"/>
        <v>106.76044818943484</v>
      </c>
      <c r="G525" s="42" t="str">
        <f t="shared" si="34"/>
        <v>2024-02</v>
      </c>
    </row>
    <row r="526" spans="1:7" x14ac:dyDescent="0.25">
      <c r="A526" s="31">
        <v>45327</v>
      </c>
      <c r="B526" s="32">
        <v>47812.646484375</v>
      </c>
      <c r="C526" s="33">
        <f t="shared" si="35"/>
        <v>-3.641132568705352E-3</v>
      </c>
      <c r="D526" s="32">
        <f>MAX($B$2:B526)</f>
        <v>47987.374877929702</v>
      </c>
      <c r="E526" s="34">
        <f t="shared" si="32"/>
        <v>-3.641132568705352E-3</v>
      </c>
      <c r="F526" s="35">
        <f t="shared" si="33"/>
        <v>106.37171924448272</v>
      </c>
      <c r="G526" s="36" t="str">
        <f t="shared" si="34"/>
        <v>2024-02</v>
      </c>
    </row>
    <row r="527" spans="1:7" x14ac:dyDescent="0.25">
      <c r="A527" s="37">
        <v>45328</v>
      </c>
      <c r="B527" s="38">
        <v>47951.461791992202</v>
      </c>
      <c r="C527" s="39">
        <f t="shared" si="35"/>
        <v>2.9033178002930704E-3</v>
      </c>
      <c r="D527" s="38">
        <f>MAX($B$2:B527)</f>
        <v>47987.374877929702</v>
      </c>
      <c r="E527" s="40">
        <f t="shared" si="32"/>
        <v>-7.4838613341232652E-4</v>
      </c>
      <c r="F527" s="41">
        <f t="shared" si="33"/>
        <v>106.680550150413</v>
      </c>
      <c r="G527" s="42" t="str">
        <f t="shared" si="34"/>
        <v>2024-02</v>
      </c>
    </row>
    <row r="528" spans="1:7" x14ac:dyDescent="0.25">
      <c r="A528" s="31">
        <v>45329</v>
      </c>
      <c r="B528" s="32">
        <v>48351.397705078103</v>
      </c>
      <c r="C528" s="33">
        <f t="shared" si="35"/>
        <v>8.3404321399163095E-3</v>
      </c>
      <c r="D528" s="32">
        <f>MAX($B$2:B528)</f>
        <v>48351.397705078103</v>
      </c>
      <c r="E528" s="34">
        <f t="shared" si="32"/>
        <v>0</v>
      </c>
      <c r="F528" s="35">
        <f t="shared" si="33"/>
        <v>107.57031203959144</v>
      </c>
      <c r="G528" s="36" t="str">
        <f t="shared" si="34"/>
        <v>2024-02</v>
      </c>
    </row>
    <row r="529" spans="1:7" x14ac:dyDescent="0.25">
      <c r="A529" s="37">
        <v>45330</v>
      </c>
      <c r="B529" s="38">
        <v>48372.750854492202</v>
      </c>
      <c r="C529" s="39">
        <f t="shared" si="35"/>
        <v>4.4162424309512893E-4</v>
      </c>
      <c r="D529" s="38">
        <f>MAX($B$2:B529)</f>
        <v>48372.750854492202</v>
      </c>
      <c r="E529" s="40">
        <f t="shared" si="32"/>
        <v>0</v>
      </c>
      <c r="F529" s="41">
        <f t="shared" si="33"/>
        <v>107.61781769722545</v>
      </c>
      <c r="G529" s="42" t="str">
        <f t="shared" si="34"/>
        <v>2024-02</v>
      </c>
    </row>
    <row r="530" spans="1:7" x14ac:dyDescent="0.25">
      <c r="A530" s="31">
        <v>45331</v>
      </c>
      <c r="B530" s="32">
        <v>48652.3193359375</v>
      </c>
      <c r="C530" s="33">
        <f t="shared" si="35"/>
        <v>5.7794621249938061E-3</v>
      </c>
      <c r="D530" s="32">
        <f>MAX($B$2:B530)</f>
        <v>48652.3193359375</v>
      </c>
      <c r="E530" s="34">
        <f t="shared" si="32"/>
        <v>0</v>
      </c>
      <c r="F530" s="35">
        <f t="shared" si="33"/>
        <v>108.23979079858105</v>
      </c>
      <c r="G530" s="36" t="str">
        <f t="shared" si="34"/>
        <v>2024-02</v>
      </c>
    </row>
    <row r="531" spans="1:7" x14ac:dyDescent="0.25">
      <c r="A531" s="37">
        <v>45334</v>
      </c>
      <c r="B531" s="38">
        <v>48630.963134765603</v>
      </c>
      <c r="C531" s="39">
        <f t="shared" si="35"/>
        <v>-4.3895545913108514E-4</v>
      </c>
      <c r="D531" s="38">
        <f>MAX($B$2:B531)</f>
        <v>48652.3193359375</v>
      </c>
      <c r="E531" s="40">
        <f t="shared" si="32"/>
        <v>-4.3895545913108514E-4</v>
      </c>
      <c r="F531" s="41">
        <f t="shared" si="33"/>
        <v>108.19227835151482</v>
      </c>
      <c r="G531" s="42" t="str">
        <f t="shared" si="34"/>
        <v>2024-02</v>
      </c>
    </row>
    <row r="532" spans="1:7" x14ac:dyDescent="0.25">
      <c r="A532" s="31">
        <v>45335</v>
      </c>
      <c r="B532" s="32">
        <v>47961.160278320298</v>
      </c>
      <c r="C532" s="33">
        <f t="shared" si="35"/>
        <v>-1.3773176866539782E-2</v>
      </c>
      <c r="D532" s="32">
        <f>MAX($B$2:B532)</f>
        <v>48652.3193359375</v>
      </c>
      <c r="E532" s="34">
        <f t="shared" si="32"/>
        <v>-1.420608651449573E-2</v>
      </c>
      <c r="F532" s="35">
        <f t="shared" si="33"/>
        <v>106.70212696618549</v>
      </c>
      <c r="G532" s="36" t="str">
        <f t="shared" si="34"/>
        <v>2024-02</v>
      </c>
    </row>
    <row r="533" spans="1:7" x14ac:dyDescent="0.25">
      <c r="A533" s="37">
        <v>45336</v>
      </c>
      <c r="B533" s="38">
        <v>48397.018432617202</v>
      </c>
      <c r="C533" s="39">
        <f t="shared" si="35"/>
        <v>9.0877316513529038E-3</v>
      </c>
      <c r="D533" s="38">
        <f>MAX($B$2:B533)</f>
        <v>48652.3193359375</v>
      </c>
      <c r="E533" s="40">
        <f t="shared" si="32"/>
        <v>-5.2474559652023745E-3</v>
      </c>
      <c r="F533" s="41">
        <f t="shared" si="33"/>
        <v>107.67180726268278</v>
      </c>
      <c r="G533" s="42" t="str">
        <f t="shared" si="34"/>
        <v>2024-02</v>
      </c>
    </row>
    <row r="534" spans="1:7" x14ac:dyDescent="0.25">
      <c r="A534" s="31">
        <v>45337</v>
      </c>
      <c r="B534" s="32">
        <v>48730.944824218801</v>
      </c>
      <c r="C534" s="33">
        <f t="shared" si="35"/>
        <v>6.8997306531708436E-3</v>
      </c>
      <c r="D534" s="32">
        <f>MAX($B$2:B534)</f>
        <v>48730.944824218801</v>
      </c>
      <c r="E534" s="34">
        <f t="shared" si="32"/>
        <v>0</v>
      </c>
      <c r="F534" s="35">
        <f t="shared" si="33"/>
        <v>108.41471373173539</v>
      </c>
      <c r="G534" s="36" t="str">
        <f t="shared" si="34"/>
        <v>2024-02</v>
      </c>
    </row>
    <row r="535" spans="1:7" x14ac:dyDescent="0.25">
      <c r="A535" s="37">
        <v>45338</v>
      </c>
      <c r="B535" s="38">
        <v>48488.265991210901</v>
      </c>
      <c r="C535" s="39">
        <f t="shared" si="35"/>
        <v>-4.9799738930423887E-3</v>
      </c>
      <c r="D535" s="38">
        <f>MAX($B$2:B535)</f>
        <v>48730.944824218801</v>
      </c>
      <c r="E535" s="40">
        <f t="shared" si="32"/>
        <v>-4.9799738930423887E-3</v>
      </c>
      <c r="F535" s="41">
        <f t="shared" si="33"/>
        <v>107.87481128772968</v>
      </c>
      <c r="G535" s="42" t="str">
        <f t="shared" si="34"/>
        <v>2024-02</v>
      </c>
    </row>
    <row r="536" spans="1:7" x14ac:dyDescent="0.25">
      <c r="A536" s="31">
        <v>45342</v>
      </c>
      <c r="B536" s="32">
        <v>48221.319580078103</v>
      </c>
      <c r="C536" s="33">
        <f t="shared" si="35"/>
        <v>-5.5053816769027319E-3</v>
      </c>
      <c r="D536" s="32">
        <f>MAX($B$2:B536)</f>
        <v>48730.944824218801</v>
      </c>
      <c r="E536" s="34">
        <f t="shared" si="32"/>
        <v>-1.0457938912922904E-2</v>
      </c>
      <c r="F536" s="35">
        <f t="shared" si="33"/>
        <v>107.28091927826688</v>
      </c>
      <c r="G536" s="36" t="str">
        <f t="shared" si="34"/>
        <v>2024-02</v>
      </c>
    </row>
    <row r="537" spans="1:7" x14ac:dyDescent="0.25">
      <c r="A537" s="37">
        <v>45343</v>
      </c>
      <c r="B537" s="38">
        <v>48264.999389648401</v>
      </c>
      <c r="C537" s="39">
        <f t="shared" si="35"/>
        <v>9.0581945808776432E-4</v>
      </c>
      <c r="D537" s="38">
        <f>MAX($B$2:B537)</f>
        <v>48730.944824218801</v>
      </c>
      <c r="E537" s="40">
        <f t="shared" si="32"/>
        <v>-9.5615924593941415E-3</v>
      </c>
      <c r="F537" s="41">
        <f t="shared" si="33"/>
        <v>107.37809642243067</v>
      </c>
      <c r="G537" s="42" t="str">
        <f t="shared" si="34"/>
        <v>2024-02</v>
      </c>
    </row>
    <row r="538" spans="1:7" x14ac:dyDescent="0.25">
      <c r="A538" s="31">
        <v>45344</v>
      </c>
      <c r="B538" s="32">
        <v>49263.873291015603</v>
      </c>
      <c r="C538" s="33">
        <f t="shared" si="35"/>
        <v>2.0695616160754327E-2</v>
      </c>
      <c r="D538" s="32">
        <f>MAX($B$2:B538)</f>
        <v>49263.873291015603</v>
      </c>
      <c r="E538" s="34">
        <f t="shared" si="32"/>
        <v>0</v>
      </c>
      <c r="F538" s="35">
        <f t="shared" si="33"/>
        <v>109.60035229006175</v>
      </c>
      <c r="G538" s="36" t="str">
        <f t="shared" si="34"/>
        <v>2024-02</v>
      </c>
    </row>
    <row r="539" spans="1:7" x14ac:dyDescent="0.25">
      <c r="A539" s="37">
        <v>45345</v>
      </c>
      <c r="B539" s="38">
        <v>49297.845458984397</v>
      </c>
      <c r="C539" s="39">
        <f t="shared" si="35"/>
        <v>6.895959594592771E-4</v>
      </c>
      <c r="D539" s="38">
        <f>MAX($B$2:B539)</f>
        <v>49297.845458984397</v>
      </c>
      <c r="E539" s="40">
        <f t="shared" si="32"/>
        <v>0</v>
      </c>
      <c r="F539" s="41">
        <f t="shared" si="33"/>
        <v>109.67593225015628</v>
      </c>
      <c r="G539" s="42" t="str">
        <f t="shared" si="34"/>
        <v>2024-02</v>
      </c>
    </row>
    <row r="540" spans="1:7" x14ac:dyDescent="0.25">
      <c r="A540" s="31">
        <v>45348</v>
      </c>
      <c r="B540" s="32">
        <v>49117.291259765603</v>
      </c>
      <c r="C540" s="33">
        <f t="shared" si="35"/>
        <v>-3.6625170438536747E-3</v>
      </c>
      <c r="D540" s="32">
        <f>MAX($B$2:B540)</f>
        <v>49297.845458984397</v>
      </c>
      <c r="E540" s="34">
        <f t="shared" si="32"/>
        <v>-3.6625170438536747E-3</v>
      </c>
      <c r="F540" s="35">
        <f t="shared" si="33"/>
        <v>109.27424227898955</v>
      </c>
      <c r="G540" s="36" t="str">
        <f t="shared" si="34"/>
        <v>2024-02</v>
      </c>
    </row>
    <row r="541" spans="1:7" x14ac:dyDescent="0.25">
      <c r="A541" s="37">
        <v>45349</v>
      </c>
      <c r="B541" s="38">
        <v>49208.538818359397</v>
      </c>
      <c r="C541" s="39">
        <f t="shared" si="35"/>
        <v>1.857748183042407E-3</v>
      </c>
      <c r="D541" s="38">
        <f>MAX($B$2:B541)</f>
        <v>49297.845458984397</v>
      </c>
      <c r="E541" s="40">
        <f t="shared" si="32"/>
        <v>-1.8115728951948462E-3</v>
      </c>
      <c r="F541" s="41">
        <f t="shared" si="33"/>
        <v>109.47724630403668</v>
      </c>
      <c r="G541" s="42" t="str">
        <f t="shared" si="34"/>
        <v>2024-02</v>
      </c>
    </row>
    <row r="542" spans="1:7" x14ac:dyDescent="0.25">
      <c r="A542" s="31">
        <v>45350</v>
      </c>
      <c r="B542" s="32">
        <v>49143.502807617202</v>
      </c>
      <c r="C542" s="33">
        <f t="shared" si="35"/>
        <v>-1.3216407620282311E-3</v>
      </c>
      <c r="D542" s="32">
        <f>MAX($B$2:B542)</f>
        <v>49297.845458984397</v>
      </c>
      <c r="E542" s="34">
        <f t="shared" si="32"/>
        <v>-3.1308194086414609E-3</v>
      </c>
      <c r="F542" s="35">
        <f t="shared" si="33"/>
        <v>109.33255671280666</v>
      </c>
      <c r="G542" s="36" t="str">
        <f t="shared" si="34"/>
        <v>2024-02</v>
      </c>
    </row>
    <row r="543" spans="1:7" x14ac:dyDescent="0.25">
      <c r="A543" s="37">
        <v>45351</v>
      </c>
      <c r="B543" s="38">
        <v>49320.169067382798</v>
      </c>
      <c r="C543" s="39">
        <f t="shared" si="35"/>
        <v>3.5949057285800112E-3</v>
      </c>
      <c r="D543" s="38">
        <f>MAX($B$2:B543)</f>
        <v>49320.169067382798</v>
      </c>
      <c r="E543" s="40">
        <f t="shared" si="32"/>
        <v>0</v>
      </c>
      <c r="F543" s="41">
        <f t="shared" si="33"/>
        <v>109.72559694725383</v>
      </c>
      <c r="G543" s="42" t="str">
        <f t="shared" si="34"/>
        <v>2024-02</v>
      </c>
    </row>
    <row r="544" spans="1:7" x14ac:dyDescent="0.25">
      <c r="A544" s="31">
        <v>45352</v>
      </c>
      <c r="B544" s="32">
        <v>49783.200073242202</v>
      </c>
      <c r="C544" s="33">
        <f t="shared" si="35"/>
        <v>9.3882688282516114E-3</v>
      </c>
      <c r="D544" s="32">
        <f>MAX($B$2:B544)</f>
        <v>49783.200073242202</v>
      </c>
      <c r="E544" s="34">
        <f t="shared" si="32"/>
        <v>0</v>
      </c>
      <c r="F544" s="35">
        <f t="shared" si="33"/>
        <v>110.75573034873503</v>
      </c>
      <c r="G544" s="36" t="str">
        <f t="shared" si="34"/>
        <v>2024-03</v>
      </c>
    </row>
    <row r="545" spans="1:7" x14ac:dyDescent="0.25">
      <c r="A545" s="37">
        <v>45355</v>
      </c>
      <c r="B545" s="38">
        <v>49729.815673828103</v>
      </c>
      <c r="C545" s="39">
        <f t="shared" si="35"/>
        <v>-1.0723376427300702E-3</v>
      </c>
      <c r="D545" s="38">
        <f>MAX($B$2:B545)</f>
        <v>49783.200073242202</v>
      </c>
      <c r="E545" s="40">
        <f t="shared" si="32"/>
        <v>-1.0723376427300702E-3</v>
      </c>
      <c r="F545" s="41">
        <f t="shared" si="33"/>
        <v>110.63696280993402</v>
      </c>
      <c r="G545" s="42" t="str">
        <f t="shared" si="34"/>
        <v>2024-03</v>
      </c>
    </row>
    <row r="546" spans="1:7" x14ac:dyDescent="0.25">
      <c r="A546" s="31">
        <v>45356</v>
      </c>
      <c r="B546" s="32">
        <v>49232.806396484397</v>
      </c>
      <c r="C546" s="33">
        <f t="shared" si="35"/>
        <v>-9.9941910222135499E-3</v>
      </c>
      <c r="D546" s="32">
        <f>MAX($B$2:B546)</f>
        <v>49783.200073242202</v>
      </c>
      <c r="E546" s="34">
        <f t="shared" si="32"/>
        <v>-1.1055811517701852E-2</v>
      </c>
      <c r="F546" s="35">
        <f t="shared" si="33"/>
        <v>109.531235869494</v>
      </c>
      <c r="G546" s="36" t="str">
        <f t="shared" si="34"/>
        <v>2024-03</v>
      </c>
    </row>
    <row r="547" spans="1:7" x14ac:dyDescent="0.25">
      <c r="A547" s="37">
        <v>45357</v>
      </c>
      <c r="B547" s="38">
        <v>49482.275390625</v>
      </c>
      <c r="C547" s="39">
        <f t="shared" si="35"/>
        <v>5.0671292660338096E-3</v>
      </c>
      <c r="D547" s="38">
        <f>MAX($B$2:B547)</f>
        <v>49783.200073242202</v>
      </c>
      <c r="E547" s="40">
        <f t="shared" si="32"/>
        <v>-6.0447034777690867E-3</v>
      </c>
      <c r="F547" s="41">
        <f t="shared" si="33"/>
        <v>110.08624480031317</v>
      </c>
      <c r="G547" s="42" t="str">
        <f t="shared" si="34"/>
        <v>2024-03</v>
      </c>
    </row>
    <row r="548" spans="1:7" x14ac:dyDescent="0.25">
      <c r="A548" s="31">
        <v>45358</v>
      </c>
      <c r="B548" s="32">
        <v>49973.4619140625</v>
      </c>
      <c r="C548" s="33">
        <f t="shared" si="35"/>
        <v>9.9265144854385756E-3</v>
      </c>
      <c r="D548" s="32">
        <f>MAX($B$2:B548)</f>
        <v>49973.4619140625</v>
      </c>
      <c r="E548" s="34">
        <f t="shared" si="32"/>
        <v>0</v>
      </c>
      <c r="F548" s="35">
        <f t="shared" si="33"/>
        <v>111.17901750397101</v>
      </c>
      <c r="G548" s="36" t="str">
        <f t="shared" si="34"/>
        <v>2024-03</v>
      </c>
    </row>
    <row r="549" spans="1:7" x14ac:dyDescent="0.25">
      <c r="A549" s="37">
        <v>45359</v>
      </c>
      <c r="B549" s="38">
        <v>49673.513793945298</v>
      </c>
      <c r="C549" s="39">
        <f t="shared" si="35"/>
        <v>-6.002148112792538E-3</v>
      </c>
      <c r="D549" s="38">
        <f>MAX($B$2:B549)</f>
        <v>49973.4619140625</v>
      </c>
      <c r="E549" s="40">
        <f t="shared" si="32"/>
        <v>-6.002148112792538E-3</v>
      </c>
      <c r="F549" s="41">
        <f t="shared" si="33"/>
        <v>110.51170457387742</v>
      </c>
      <c r="G549" s="42" t="str">
        <f t="shared" si="34"/>
        <v>2024-03</v>
      </c>
    </row>
    <row r="550" spans="1:7" x14ac:dyDescent="0.25">
      <c r="A550" s="31">
        <v>45362</v>
      </c>
      <c r="B550" s="32">
        <v>49630.801391601599</v>
      </c>
      <c r="C550" s="33">
        <f t="shared" si="35"/>
        <v>-8.5986271317306517E-4</v>
      </c>
      <c r="D550" s="32">
        <f>MAX($B$2:B550)</f>
        <v>49973.4619140625</v>
      </c>
      <c r="E550" s="34">
        <f t="shared" si="32"/>
        <v>-6.8568498026044811E-3</v>
      </c>
      <c r="F550" s="35">
        <f t="shared" si="33"/>
        <v>110.41667967974516</v>
      </c>
      <c r="G550" s="36" t="str">
        <f t="shared" si="34"/>
        <v>2024-03</v>
      </c>
    </row>
    <row r="551" spans="1:7" x14ac:dyDescent="0.25">
      <c r="A551" s="37">
        <v>45363</v>
      </c>
      <c r="B551" s="38">
        <v>50164.694213867202</v>
      </c>
      <c r="C551" s="39">
        <f t="shared" si="35"/>
        <v>1.0757287960213135E-2</v>
      </c>
      <c r="D551" s="38">
        <f>MAX($B$2:B551)</f>
        <v>50164.694213867202</v>
      </c>
      <c r="E551" s="40">
        <f t="shared" si="32"/>
        <v>0</v>
      </c>
      <c r="F551" s="41">
        <f t="shared" si="33"/>
        <v>111.60446369867078</v>
      </c>
      <c r="G551" s="42" t="str">
        <f t="shared" si="34"/>
        <v>2024-03</v>
      </c>
    </row>
    <row r="552" spans="1:7" x14ac:dyDescent="0.25">
      <c r="A552" s="31">
        <v>45364</v>
      </c>
      <c r="B552" s="32">
        <v>50086.068725585901</v>
      </c>
      <c r="C552" s="33">
        <f t="shared" si="35"/>
        <v>-1.567347105637662E-3</v>
      </c>
      <c r="D552" s="32">
        <f>MAX($B$2:B552)</f>
        <v>50164.694213867202</v>
      </c>
      <c r="E552" s="34">
        <f t="shared" si="32"/>
        <v>-1.567347105637662E-3</v>
      </c>
      <c r="F552" s="35">
        <f t="shared" si="33"/>
        <v>111.42954076551644</v>
      </c>
      <c r="G552" s="36" t="str">
        <f t="shared" si="34"/>
        <v>2024-03</v>
      </c>
    </row>
    <row r="553" spans="1:7" x14ac:dyDescent="0.25">
      <c r="A553" s="37">
        <v>45365</v>
      </c>
      <c r="B553" s="38">
        <v>49987.048339843801</v>
      </c>
      <c r="C553" s="39">
        <f t="shared" si="35"/>
        <v>-1.9770045496008137E-3</v>
      </c>
      <c r="D553" s="38">
        <f>MAX($B$2:B553)</f>
        <v>50164.694213867202</v>
      </c>
      <c r="E553" s="40">
        <f t="shared" si="32"/>
        <v>-3.541253002879774E-3</v>
      </c>
      <c r="F553" s="41">
        <f t="shared" si="33"/>
        <v>111.20924405646309</v>
      </c>
      <c r="G553" s="42" t="str">
        <f t="shared" si="34"/>
        <v>2024-03</v>
      </c>
    </row>
    <row r="554" spans="1:7" x14ac:dyDescent="0.25">
      <c r="A554" s="31">
        <v>45366</v>
      </c>
      <c r="B554" s="32">
        <v>49643.811035156301</v>
      </c>
      <c r="C554" s="33">
        <f t="shared" si="35"/>
        <v>-6.8665247516507266E-3</v>
      </c>
      <c r="D554" s="32">
        <f>MAX($B$2:B554)</f>
        <v>50164.694213867202</v>
      </c>
      <c r="E554" s="34">
        <f t="shared" si="32"/>
        <v>-1.0383461653134307E-2</v>
      </c>
      <c r="F554" s="35">
        <f t="shared" si="33"/>
        <v>110.445623029537</v>
      </c>
      <c r="G554" s="36" t="str">
        <f t="shared" si="34"/>
        <v>2024-03</v>
      </c>
    </row>
    <row r="555" spans="1:7" x14ac:dyDescent="0.25">
      <c r="A555" s="37">
        <v>45369</v>
      </c>
      <c r="B555" s="38">
        <v>49938.851928710901</v>
      </c>
      <c r="C555" s="39">
        <f t="shared" si="35"/>
        <v>5.9431555999127639E-3</v>
      </c>
      <c r="D555" s="38">
        <f>MAX($B$2:B555)</f>
        <v>50164.694213867202</v>
      </c>
      <c r="E555" s="40">
        <f t="shared" si="32"/>
        <v>-4.5020165814918522E-3</v>
      </c>
      <c r="F555" s="41">
        <f t="shared" si="33"/>
        <v>111.10201855253085</v>
      </c>
      <c r="G555" s="42" t="str">
        <f t="shared" si="34"/>
        <v>2024-03</v>
      </c>
    </row>
    <row r="556" spans="1:7" x14ac:dyDescent="0.25">
      <c r="A556" s="31">
        <v>45370</v>
      </c>
      <c r="B556" s="32">
        <v>50216.369628906301</v>
      </c>
      <c r="C556" s="33">
        <f t="shared" si="35"/>
        <v>5.5571501842206494E-3</v>
      </c>
      <c r="D556" s="32">
        <f>MAX($B$2:B556)</f>
        <v>50216.369628906301</v>
      </c>
      <c r="E556" s="34">
        <f t="shared" si="32"/>
        <v>0</v>
      </c>
      <c r="F556" s="35">
        <f t="shared" si="33"/>
        <v>111.71942915539732</v>
      </c>
      <c r="G556" s="36" t="str">
        <f t="shared" si="34"/>
        <v>2024-03</v>
      </c>
    </row>
    <row r="557" spans="1:7" x14ac:dyDescent="0.25">
      <c r="A557" s="37">
        <v>45371</v>
      </c>
      <c r="B557" s="38">
        <v>50680.8349609375</v>
      </c>
      <c r="C557" s="39">
        <f t="shared" si="35"/>
        <v>9.2492813690745468E-3</v>
      </c>
      <c r="D557" s="38">
        <f>MAX($B$2:B557)</f>
        <v>50680.8349609375</v>
      </c>
      <c r="E557" s="40">
        <f t="shared" si="32"/>
        <v>0</v>
      </c>
      <c r="F557" s="41">
        <f t="shared" si="33"/>
        <v>112.75275359004797</v>
      </c>
      <c r="G557" s="42" t="str">
        <f t="shared" si="34"/>
        <v>2024-03</v>
      </c>
    </row>
    <row r="558" spans="1:7" x14ac:dyDescent="0.25">
      <c r="A558" s="31">
        <v>45372</v>
      </c>
      <c r="B558" s="32">
        <v>50848.324584960901</v>
      </c>
      <c r="C558" s="33">
        <f t="shared" si="35"/>
        <v>3.3047921201869723E-3</v>
      </c>
      <c r="D558" s="32">
        <f>MAX($B$2:B558)</f>
        <v>50848.324584960901</v>
      </c>
      <c r="E558" s="34">
        <f t="shared" si="32"/>
        <v>0</v>
      </c>
      <c r="F558" s="35">
        <f t="shared" si="33"/>
        <v>113.12537800164175</v>
      </c>
      <c r="G558" s="36" t="str">
        <f t="shared" si="34"/>
        <v>2024-03</v>
      </c>
    </row>
    <row r="559" spans="1:7" x14ac:dyDescent="0.25">
      <c r="A559" s="37">
        <v>45373</v>
      </c>
      <c r="B559" s="38">
        <v>50751.922607421897</v>
      </c>
      <c r="C559" s="39">
        <f t="shared" si="35"/>
        <v>-1.8958732333044237E-3</v>
      </c>
      <c r="D559" s="38">
        <f>MAX($B$2:B559)</f>
        <v>50848.324584960901</v>
      </c>
      <c r="E559" s="40">
        <f t="shared" si="32"/>
        <v>-1.8958732333044237E-3</v>
      </c>
      <c r="F559" s="41">
        <f t="shared" si="33"/>
        <v>112.91090662548098</v>
      </c>
      <c r="G559" s="42" t="str">
        <f t="shared" si="34"/>
        <v>2024-03</v>
      </c>
    </row>
    <row r="560" spans="1:7" x14ac:dyDescent="0.25">
      <c r="A560" s="31">
        <v>45376</v>
      </c>
      <c r="B560" s="32">
        <v>50611.703491210901</v>
      </c>
      <c r="C560" s="33">
        <f t="shared" si="35"/>
        <v>-2.7628335835792051E-3</v>
      </c>
      <c r="D560" s="32">
        <f>MAX($B$2:B560)</f>
        <v>50848.324584960901</v>
      </c>
      <c r="E560" s="34">
        <f t="shared" si="32"/>
        <v>-4.6534688346444586E-3</v>
      </c>
      <c r="F560" s="35">
        <f t="shared" si="33"/>
        <v>112.59895258070374</v>
      </c>
      <c r="G560" s="36" t="str">
        <f t="shared" si="34"/>
        <v>2024-03</v>
      </c>
    </row>
    <row r="561" spans="1:7" x14ac:dyDescent="0.25">
      <c r="A561" s="37">
        <v>45377</v>
      </c>
      <c r="B561" s="38">
        <v>50518.228149414099</v>
      </c>
      <c r="C561" s="39">
        <f t="shared" si="35"/>
        <v>-1.8469115905777045E-3</v>
      </c>
      <c r="D561" s="38">
        <f>MAX($B$2:B561)</f>
        <v>50848.324584960901</v>
      </c>
      <c r="E561" s="40">
        <f t="shared" si="32"/>
        <v>-6.4917858796951222E-3</v>
      </c>
      <c r="F561" s="41">
        <f t="shared" si="33"/>
        <v>112.39099227009552</v>
      </c>
      <c r="G561" s="42" t="str">
        <f t="shared" si="34"/>
        <v>2024-03</v>
      </c>
    </row>
    <row r="562" spans="1:7" x14ac:dyDescent="0.25">
      <c r="A562" s="31">
        <v>45378</v>
      </c>
      <c r="B562" s="32">
        <v>50942.767333984397</v>
      </c>
      <c r="C562" s="33">
        <f t="shared" si="35"/>
        <v>8.403683187673705E-3</v>
      </c>
      <c r="D562" s="32">
        <f>MAX($B$2:B562)</f>
        <v>50942.767333984397</v>
      </c>
      <c r="E562" s="34">
        <f t="shared" si="32"/>
        <v>0</v>
      </c>
      <c r="F562" s="35">
        <f t="shared" si="33"/>
        <v>113.33549056228169</v>
      </c>
      <c r="G562" s="36" t="str">
        <f t="shared" si="34"/>
        <v>2024-03</v>
      </c>
    </row>
    <row r="563" spans="1:7" x14ac:dyDescent="0.25">
      <c r="A563" s="37">
        <v>45379</v>
      </c>
      <c r="B563" s="38">
        <v>50933.035278320298</v>
      </c>
      <c r="C563" s="39">
        <f t="shared" si="35"/>
        <v>-1.9103900658345996E-4</v>
      </c>
      <c r="D563" s="38">
        <f>MAX($B$2:B563)</f>
        <v>50942.767333984397</v>
      </c>
      <c r="E563" s="40">
        <f t="shared" si="32"/>
        <v>-1.9103900658345996E-4</v>
      </c>
      <c r="F563" s="41">
        <f t="shared" si="33"/>
        <v>113.31383906275403</v>
      </c>
      <c r="G563" s="42" t="str">
        <f t="shared" si="34"/>
        <v>2024-03</v>
      </c>
    </row>
    <row r="564" spans="1:7" x14ac:dyDescent="0.25">
      <c r="A564" s="31">
        <v>45383</v>
      </c>
      <c r="B564" s="32">
        <v>50844.424438476599</v>
      </c>
      <c r="C564" s="33">
        <f t="shared" si="35"/>
        <v>-1.7397518007613577E-3</v>
      </c>
      <c r="D564" s="32">
        <f>MAX($B$2:B564)</f>
        <v>50942.767333984397</v>
      </c>
      <c r="E564" s="34">
        <f t="shared" si="32"/>
        <v>-1.9304584468891051E-3</v>
      </c>
      <c r="F564" s="35">
        <f t="shared" si="33"/>
        <v>113.11670110719341</v>
      </c>
      <c r="G564" s="36" t="str">
        <f t="shared" si="34"/>
        <v>2024-04</v>
      </c>
    </row>
    <row r="565" spans="1:7" x14ac:dyDescent="0.25">
      <c r="A565" s="37">
        <v>45384</v>
      </c>
      <c r="B565" s="38">
        <v>50521.151733398401</v>
      </c>
      <c r="C565" s="39">
        <f t="shared" si="35"/>
        <v>-6.3580758096567491E-3</v>
      </c>
      <c r="D565" s="38">
        <f>MAX($B$2:B565)</f>
        <v>50942.767333984397</v>
      </c>
      <c r="E565" s="40">
        <f t="shared" si="32"/>
        <v>-8.2762602553931863E-3</v>
      </c>
      <c r="F565" s="41">
        <f t="shared" si="33"/>
        <v>112.39749654621561</v>
      </c>
      <c r="G565" s="42" t="str">
        <f t="shared" si="34"/>
        <v>2024-04</v>
      </c>
    </row>
    <row r="566" spans="1:7" x14ac:dyDescent="0.25">
      <c r="A566" s="31">
        <v>45385</v>
      </c>
      <c r="B566" s="32">
        <v>50576.647949218801</v>
      </c>
      <c r="C566" s="33">
        <f t="shared" si="35"/>
        <v>1.0984748747069339E-3</v>
      </c>
      <c r="D566" s="32">
        <f>MAX($B$2:B566)</f>
        <v>50942.767333984397</v>
      </c>
      <c r="E566" s="34">
        <f t="shared" si="32"/>
        <v>-7.1868766446332444E-3</v>
      </c>
      <c r="F566" s="35">
        <f t="shared" si="33"/>
        <v>112.52096237215159</v>
      </c>
      <c r="G566" s="36" t="str">
        <f t="shared" si="34"/>
        <v>2024-04</v>
      </c>
    </row>
    <row r="567" spans="1:7" x14ac:dyDescent="0.25">
      <c r="A567" s="37">
        <v>45386</v>
      </c>
      <c r="B567" s="38">
        <v>49959.3017578125</v>
      </c>
      <c r="C567" s="39">
        <f t="shared" si="35"/>
        <v>-1.2206150791688408E-2</v>
      </c>
      <c r="D567" s="38">
        <f>MAX($B$2:B567)</f>
        <v>50942.767333984397</v>
      </c>
      <c r="E567" s="40">
        <f t="shared" si="32"/>
        <v>-1.9305303336275892E-2</v>
      </c>
      <c r="F567" s="41">
        <f t="shared" si="33"/>
        <v>111.14751453821121</v>
      </c>
      <c r="G567" s="42" t="str">
        <f t="shared" si="34"/>
        <v>2024-04</v>
      </c>
    </row>
    <row r="568" spans="1:7" x14ac:dyDescent="0.25">
      <c r="A568" s="31">
        <v>45387</v>
      </c>
      <c r="B568" s="32">
        <v>50481.2255859375</v>
      </c>
      <c r="C568" s="33">
        <f t="shared" si="35"/>
        <v>1.044698003697353E-2</v>
      </c>
      <c r="D568" s="32">
        <f>MAX($B$2:B568)</f>
        <v>50942.767333984397</v>
      </c>
      <c r="E568" s="34">
        <f t="shared" si="32"/>
        <v>-9.0600054178642253E-3</v>
      </c>
      <c r="F568" s="35">
        <f t="shared" si="33"/>
        <v>112.30867040375112</v>
      </c>
      <c r="G568" s="36" t="str">
        <f t="shared" si="34"/>
        <v>2024-04</v>
      </c>
    </row>
    <row r="569" spans="1:7" x14ac:dyDescent="0.25">
      <c r="A569" s="37">
        <v>45390</v>
      </c>
      <c r="B569" s="38">
        <v>50509.457397460901</v>
      </c>
      <c r="C569" s="39">
        <f t="shared" si="35"/>
        <v>5.5925368680553866E-4</v>
      </c>
      <c r="D569" s="38">
        <f>MAX($B$2:B569)</f>
        <v>50942.767333984397</v>
      </c>
      <c r="E569" s="40">
        <f t="shared" si="32"/>
        <v>-8.5058185724911084E-3</v>
      </c>
      <c r="F569" s="41">
        <f t="shared" si="33"/>
        <v>112.37147944173465</v>
      </c>
      <c r="G569" s="42" t="str">
        <f t="shared" si="34"/>
        <v>2024-04</v>
      </c>
    </row>
    <row r="570" spans="1:7" x14ac:dyDescent="0.25">
      <c r="A570" s="31">
        <v>45391</v>
      </c>
      <c r="B570" s="32">
        <v>50567.880249023401</v>
      </c>
      <c r="C570" s="33">
        <f t="shared" si="35"/>
        <v>1.1566715338628963E-3</v>
      </c>
      <c r="D570" s="32">
        <f>MAX($B$2:B570)</f>
        <v>50942.767333984397</v>
      </c>
      <c r="E570" s="34">
        <f t="shared" si="32"/>
        <v>-7.3589854768432161E-3</v>
      </c>
      <c r="F570" s="35">
        <f t="shared" si="33"/>
        <v>112.50145633322295</v>
      </c>
      <c r="G570" s="36" t="str">
        <f t="shared" si="34"/>
        <v>2024-04</v>
      </c>
    </row>
    <row r="571" spans="1:7" x14ac:dyDescent="0.25">
      <c r="A571" s="37">
        <v>45392</v>
      </c>
      <c r="B571" s="38">
        <v>50061.544799804702</v>
      </c>
      <c r="C571" s="39">
        <f t="shared" si="35"/>
        <v>-1.0012985450946976E-2</v>
      </c>
      <c r="D571" s="38">
        <f>MAX($B$2:B571)</f>
        <v>50942.767333984397</v>
      </c>
      <c r="E571" s="40">
        <f t="shared" si="32"/>
        <v>-1.7298285513276834E-2</v>
      </c>
      <c r="F571" s="41">
        <f t="shared" si="33"/>
        <v>111.37498088774804</v>
      </c>
      <c r="G571" s="42" t="str">
        <f t="shared" si="34"/>
        <v>2024-04</v>
      </c>
    </row>
    <row r="572" spans="1:7" x14ac:dyDescent="0.25">
      <c r="A572" s="31">
        <v>45393</v>
      </c>
      <c r="B572" s="32">
        <v>50439.346313476599</v>
      </c>
      <c r="C572" s="33">
        <f t="shared" si="35"/>
        <v>7.5467410201326413E-3</v>
      </c>
      <c r="D572" s="32">
        <f>MAX($B$2:B572)</f>
        <v>50942.767333984397</v>
      </c>
      <c r="E572" s="34">
        <f t="shared" si="32"/>
        <v>-9.8820901740052092E-3</v>
      </c>
      <c r="F572" s="35">
        <f t="shared" si="33"/>
        <v>112.21549902463011</v>
      </c>
      <c r="G572" s="36" t="str">
        <f t="shared" si="34"/>
        <v>2024-04</v>
      </c>
    </row>
    <row r="573" spans="1:7" x14ac:dyDescent="0.25">
      <c r="A573" s="37">
        <v>45394</v>
      </c>
      <c r="B573" s="38">
        <v>49743.133544921897</v>
      </c>
      <c r="C573" s="39">
        <f t="shared" si="35"/>
        <v>-1.3802969694091449E-2</v>
      </c>
      <c r="D573" s="38">
        <f>MAX($B$2:B573)</f>
        <v>50942.767333984397</v>
      </c>
      <c r="E573" s="40">
        <f t="shared" si="32"/>
        <v>-2.3548657676910612E-2</v>
      </c>
      <c r="F573" s="41">
        <f t="shared" si="33"/>
        <v>110.6665918923858</v>
      </c>
      <c r="G573" s="42" t="str">
        <f t="shared" si="34"/>
        <v>2024-04</v>
      </c>
    </row>
    <row r="574" spans="1:7" x14ac:dyDescent="0.25">
      <c r="A574" s="31">
        <v>45397</v>
      </c>
      <c r="B574" s="32">
        <v>49119.949340820298</v>
      </c>
      <c r="C574" s="33">
        <f t="shared" si="35"/>
        <v>-1.2528044771019764E-2</v>
      </c>
      <c r="D574" s="32">
        <f>MAX($B$2:B574)</f>
        <v>50942.767333984397</v>
      </c>
      <c r="E574" s="34">
        <f t="shared" si="32"/>
        <v>-3.5781683810256593E-2</v>
      </c>
      <c r="F574" s="35">
        <f t="shared" si="33"/>
        <v>109.28015587450179</v>
      </c>
      <c r="G574" s="36" t="str">
        <f t="shared" si="34"/>
        <v>2024-04</v>
      </c>
    </row>
    <row r="575" spans="1:7" x14ac:dyDescent="0.25">
      <c r="A575" s="37">
        <v>45398</v>
      </c>
      <c r="B575" s="38">
        <v>49030.361938476599</v>
      </c>
      <c r="C575" s="39">
        <f t="shared" si="35"/>
        <v>-1.8238496485836198E-3</v>
      </c>
      <c r="D575" s="38">
        <f>MAX($B$2:B575)</f>
        <v>50942.767333984397</v>
      </c>
      <c r="E575" s="40">
        <f t="shared" si="32"/>
        <v>-3.7540273047397155E-2</v>
      </c>
      <c r="F575" s="41">
        <f t="shared" si="33"/>
        <v>109.08084530061292</v>
      </c>
      <c r="G575" s="42" t="str">
        <f t="shared" si="34"/>
        <v>2024-04</v>
      </c>
    </row>
    <row r="576" spans="1:7" x14ac:dyDescent="0.25">
      <c r="A576" s="31">
        <v>45399</v>
      </c>
      <c r="B576" s="32">
        <v>48740.182495117202</v>
      </c>
      <c r="C576" s="33">
        <f t="shared" si="35"/>
        <v>-5.9183622532404945E-3</v>
      </c>
      <c r="D576" s="32">
        <f>MAX($B$2:B576)</f>
        <v>50942.767333984397</v>
      </c>
      <c r="E576" s="34">
        <f t="shared" si="32"/>
        <v>-4.3236458365657482E-2</v>
      </c>
      <c r="F576" s="35">
        <f t="shared" si="33"/>
        <v>108.43526534323422</v>
      </c>
      <c r="G576" s="36" t="str">
        <f t="shared" si="34"/>
        <v>2024-04</v>
      </c>
    </row>
    <row r="577" spans="1:7" x14ac:dyDescent="0.25">
      <c r="A577" s="37">
        <v>45400</v>
      </c>
      <c r="B577" s="38">
        <v>48639.892578125</v>
      </c>
      <c r="C577" s="39">
        <f t="shared" si="35"/>
        <v>-2.0576434444464775E-3</v>
      </c>
      <c r="D577" s="38">
        <f>MAX($B$2:B577)</f>
        <v>50942.767333984397</v>
      </c>
      <c r="E577" s="40">
        <f t="shared" si="32"/>
        <v>-4.5205136594986817E-2</v>
      </c>
      <c r="F577" s="41">
        <f t="shared" si="33"/>
        <v>108.2121442303539</v>
      </c>
      <c r="G577" s="42" t="str">
        <f t="shared" si="34"/>
        <v>2024-04</v>
      </c>
    </row>
    <row r="578" spans="1:7" x14ac:dyDescent="0.25">
      <c r="A578" s="31">
        <v>45401</v>
      </c>
      <c r="B578" s="32">
        <v>48215.350341796897</v>
      </c>
      <c r="C578" s="33">
        <f t="shared" si="35"/>
        <v>-8.7282724904502729E-3</v>
      </c>
      <c r="D578" s="32">
        <f>MAX($B$2:B578)</f>
        <v>50942.767333984397</v>
      </c>
      <c r="E578" s="34">
        <f t="shared" ref="E578:E641" si="36">B578/D578-1</f>
        <v>-5.3538846335267953E-2</v>
      </c>
      <c r="F578" s="35">
        <f t="shared" ref="F578:F641" si="37">B578/$B$2*100</f>
        <v>107.26763914873547</v>
      </c>
      <c r="G578" s="36" t="str">
        <f t="shared" ref="G578:G641" si="38">TEXT(A578,"YYYY-MM")</f>
        <v>2024-04</v>
      </c>
    </row>
    <row r="579" spans="1:7" x14ac:dyDescent="0.25">
      <c r="A579" s="37">
        <v>45404</v>
      </c>
      <c r="B579" s="38">
        <v>48659.368896484397</v>
      </c>
      <c r="C579" s="39">
        <f t="shared" ref="C579:C642" si="39">B579/B578-1</f>
        <v>9.2090703798659579E-3</v>
      </c>
      <c r="D579" s="38">
        <f>MAX($B$2:B579)</f>
        <v>50942.767333984397</v>
      </c>
      <c r="E579" s="40">
        <f t="shared" si="36"/>
        <v>-4.4822818959360355E-2</v>
      </c>
      <c r="F579" s="41">
        <f t="shared" si="37"/>
        <v>108.25547438713825</v>
      </c>
      <c r="G579" s="42" t="str">
        <f t="shared" si="38"/>
        <v>2024-04</v>
      </c>
    </row>
    <row r="580" spans="1:7" x14ac:dyDescent="0.25">
      <c r="A580" s="31">
        <v>45405</v>
      </c>
      <c r="B580" s="32">
        <v>49236.795043945298</v>
      </c>
      <c r="C580" s="33">
        <f t="shared" si="39"/>
        <v>1.1866700299572042E-2</v>
      </c>
      <c r="D580" s="32">
        <f>MAX($B$2:B580)</f>
        <v>50942.767333984397</v>
      </c>
      <c r="E580" s="34">
        <f t="shared" si="36"/>
        <v>-3.3488017618960919E-2</v>
      </c>
      <c r="F580" s="35">
        <f t="shared" si="37"/>
        <v>109.54010965747842</v>
      </c>
      <c r="G580" s="36" t="str">
        <f t="shared" si="38"/>
        <v>2024-04</v>
      </c>
    </row>
    <row r="581" spans="1:7" x14ac:dyDescent="0.25">
      <c r="A581" s="37">
        <v>45406</v>
      </c>
      <c r="B581" s="38">
        <v>49213.421630859397</v>
      </c>
      <c r="C581" s="39">
        <f t="shared" si="39"/>
        <v>-4.7471434858914474E-4</v>
      </c>
      <c r="D581" s="38">
        <f>MAX($B$2:B581)</f>
        <v>50942.767333984397</v>
      </c>
      <c r="E581" s="40">
        <f t="shared" si="36"/>
        <v>-3.3946834725080532E-2</v>
      </c>
      <c r="F581" s="41">
        <f t="shared" si="37"/>
        <v>109.48810939567799</v>
      </c>
      <c r="G581" s="42" t="str">
        <f t="shared" si="38"/>
        <v>2024-04</v>
      </c>
    </row>
    <row r="582" spans="1:7" x14ac:dyDescent="0.25">
      <c r="A582" s="31">
        <v>45407</v>
      </c>
      <c r="B582" s="32">
        <v>49026.46484375</v>
      </c>
      <c r="C582" s="33">
        <f t="shared" si="39"/>
        <v>-3.7988983678420851E-3</v>
      </c>
      <c r="D582" s="32">
        <f>MAX($B$2:B582)</f>
        <v>50942.767333984397</v>
      </c>
      <c r="E582" s="34">
        <f t="shared" si="36"/>
        <v>-3.7616772517892083E-2</v>
      </c>
      <c r="F582" s="35">
        <f t="shared" si="37"/>
        <v>109.07217519559663</v>
      </c>
      <c r="G582" s="36" t="str">
        <f t="shared" si="38"/>
        <v>2024-04</v>
      </c>
    </row>
    <row r="583" spans="1:7" x14ac:dyDescent="0.25">
      <c r="A583" s="37">
        <v>45408</v>
      </c>
      <c r="B583" s="38">
        <v>49490.9423828125</v>
      </c>
      <c r="C583" s="39">
        <f t="shared" si="39"/>
        <v>9.4740165447950719E-3</v>
      </c>
      <c r="D583" s="38">
        <f>MAX($B$2:B583)</f>
        <v>50942.767333984397</v>
      </c>
      <c r="E583" s="40">
        <f t="shared" si="36"/>
        <v>-2.8499137898293392E-2</v>
      </c>
      <c r="F583" s="41">
        <f t="shared" si="37"/>
        <v>110.10552678797649</v>
      </c>
      <c r="G583" s="42" t="str">
        <f t="shared" si="38"/>
        <v>2024-04</v>
      </c>
    </row>
    <row r="584" spans="1:7" x14ac:dyDescent="0.25">
      <c r="A584" s="31">
        <v>45411</v>
      </c>
      <c r="B584" s="32">
        <v>49666.207885742202</v>
      </c>
      <c r="C584" s="33">
        <f t="shared" si="39"/>
        <v>3.5413652375826388E-3</v>
      </c>
      <c r="D584" s="32">
        <f>MAX($B$2:B584)</f>
        <v>50942.767333984397</v>
      </c>
      <c r="E584" s="34">
        <f t="shared" si="36"/>
        <v>-2.5058698516964739E-2</v>
      </c>
      <c r="F584" s="35">
        <f t="shared" si="37"/>
        <v>110.49545067300916</v>
      </c>
      <c r="G584" s="36" t="str">
        <f t="shared" si="38"/>
        <v>2024-04</v>
      </c>
    </row>
    <row r="585" spans="1:7" x14ac:dyDescent="0.25">
      <c r="A585" s="37">
        <v>45412</v>
      </c>
      <c r="B585" s="38">
        <v>48879.434204101599</v>
      </c>
      <c r="C585" s="39">
        <f t="shared" si="39"/>
        <v>-1.5841227166982219E-2</v>
      </c>
      <c r="D585" s="38">
        <f>MAX($B$2:B585)</f>
        <v>50942.767333984397</v>
      </c>
      <c r="E585" s="40">
        <f t="shared" si="36"/>
        <v>-4.0502965148230707E-2</v>
      </c>
      <c r="F585" s="41">
        <f t="shared" si="37"/>
        <v>108.74506713797996</v>
      </c>
      <c r="G585" s="42" t="str">
        <f t="shared" si="38"/>
        <v>2024-04</v>
      </c>
    </row>
    <row r="586" spans="1:7" x14ac:dyDescent="0.25">
      <c r="A586" s="31">
        <v>45413</v>
      </c>
      <c r="B586" s="32">
        <v>48720.718383789099</v>
      </c>
      <c r="C586" s="33">
        <f t="shared" si="39"/>
        <v>-3.2470879194256286E-3</v>
      </c>
      <c r="D586" s="32">
        <f>MAX($B$2:B586)</f>
        <v>50942.767333984397</v>
      </c>
      <c r="E586" s="34">
        <f t="shared" si="36"/>
        <v>-4.3618536378822625E-2</v>
      </c>
      <c r="F586" s="35">
        <f t="shared" si="37"/>
        <v>108.39196234417909</v>
      </c>
      <c r="G586" s="36" t="str">
        <f t="shared" si="38"/>
        <v>2024-05</v>
      </c>
    </row>
    <row r="587" spans="1:7" x14ac:dyDescent="0.25">
      <c r="A587" s="37">
        <v>45414</v>
      </c>
      <c r="B587" s="38">
        <v>49176.422119140603</v>
      </c>
      <c r="C587" s="39">
        <f t="shared" si="39"/>
        <v>9.3533870285280596E-3</v>
      </c>
      <c r="D587" s="38">
        <f>MAX($B$2:B587)</f>
        <v>50942.767333984397</v>
      </c>
      <c r="E587" s="40">
        <f t="shared" si="36"/>
        <v>-3.4673130402663621E-2</v>
      </c>
      <c r="F587" s="41">
        <f t="shared" si="37"/>
        <v>109.40579431876584</v>
      </c>
      <c r="G587" s="42" t="str">
        <f t="shared" si="38"/>
        <v>2024-05</v>
      </c>
    </row>
    <row r="588" spans="1:7" x14ac:dyDescent="0.25">
      <c r="A588" s="31">
        <v>45415</v>
      </c>
      <c r="B588" s="32">
        <v>49785.980224609397</v>
      </c>
      <c r="C588" s="33">
        <f t="shared" si="39"/>
        <v>1.2395332543551074E-2</v>
      </c>
      <c r="D588" s="32">
        <f>MAX($B$2:B588)</f>
        <v>50942.767333984397</v>
      </c>
      <c r="E588" s="34">
        <f t="shared" si="36"/>
        <v>-2.2707582840779339E-2</v>
      </c>
      <c r="F588" s="35">
        <f t="shared" si="37"/>
        <v>110.76191552153831</v>
      </c>
      <c r="G588" s="36" t="str">
        <f t="shared" si="38"/>
        <v>2024-05</v>
      </c>
    </row>
    <row r="589" spans="1:7" x14ac:dyDescent="0.25">
      <c r="A589" s="37">
        <v>45418</v>
      </c>
      <c r="B589" s="38">
        <v>50300.109863281301</v>
      </c>
      <c r="C589" s="39">
        <f t="shared" si="39"/>
        <v>1.0326795542689116E-2</v>
      </c>
      <c r="D589" s="38">
        <f>MAX($B$2:B589)</f>
        <v>50942.767333984397</v>
      </c>
      <c r="E589" s="40">
        <f t="shared" si="36"/>
        <v>-1.2615283863355642E-2</v>
      </c>
      <c r="F589" s="41">
        <f t="shared" si="37"/>
        <v>111.90573117704584</v>
      </c>
      <c r="G589" s="42" t="str">
        <f t="shared" si="38"/>
        <v>2024-05</v>
      </c>
    </row>
    <row r="590" spans="1:7" x14ac:dyDescent="0.25">
      <c r="A590" s="31">
        <v>45419</v>
      </c>
      <c r="B590" s="32">
        <v>50355.606079101599</v>
      </c>
      <c r="C590" s="33">
        <f t="shared" si="39"/>
        <v>1.1033020796802351E-3</v>
      </c>
      <c r="D590" s="32">
        <f>MAX($B$2:B590)</f>
        <v>50942.767333984397</v>
      </c>
      <c r="E590" s="34">
        <f t="shared" si="36"/>
        <v>-1.1525900252597698E-2</v>
      </c>
      <c r="F590" s="35">
        <f t="shared" si="37"/>
        <v>112.02919700298159</v>
      </c>
      <c r="G590" s="36" t="str">
        <f t="shared" si="38"/>
        <v>2024-05</v>
      </c>
    </row>
    <row r="591" spans="1:7" x14ac:dyDescent="0.25">
      <c r="A591" s="37">
        <v>45420</v>
      </c>
      <c r="B591" s="38">
        <v>50360.482788085901</v>
      </c>
      <c r="C591" s="39">
        <f t="shared" si="39"/>
        <v>9.6845403402490149E-5</v>
      </c>
      <c r="D591" s="38">
        <f>MAX($B$2:B591)</f>
        <v>50942.767333984397</v>
      </c>
      <c r="E591" s="40">
        <f t="shared" si="36"/>
        <v>-1.1430171079654827E-2</v>
      </c>
      <c r="F591" s="41">
        <f t="shared" si="37"/>
        <v>112.04004651575821</v>
      </c>
      <c r="G591" s="42" t="str">
        <f t="shared" si="38"/>
        <v>2024-05</v>
      </c>
    </row>
    <row r="592" spans="1:7" x14ac:dyDescent="0.25">
      <c r="A592" s="31">
        <v>45421</v>
      </c>
      <c r="B592" s="32">
        <v>50650.646972656301</v>
      </c>
      <c r="C592" s="33">
        <f t="shared" si="39"/>
        <v>5.761743504155703E-3</v>
      </c>
      <c r="D592" s="32">
        <f>MAX($B$2:B592)</f>
        <v>50942.767333984397</v>
      </c>
      <c r="E592" s="34">
        <f t="shared" si="36"/>
        <v>-5.7342852894687324E-3</v>
      </c>
      <c r="F592" s="35">
        <f t="shared" si="37"/>
        <v>112.68559252597568</v>
      </c>
      <c r="G592" s="36" t="str">
        <f t="shared" si="38"/>
        <v>2024-05</v>
      </c>
    </row>
    <row r="593" spans="1:7" x14ac:dyDescent="0.25">
      <c r="A593" s="37">
        <v>45422</v>
      </c>
      <c r="B593" s="38">
        <v>50715.884399414099</v>
      </c>
      <c r="C593" s="39">
        <f t="shared" si="39"/>
        <v>1.2879880249707654E-3</v>
      </c>
      <c r="D593" s="38">
        <f>MAX($B$2:B593)</f>
        <v>50942.767333984397</v>
      </c>
      <c r="E593" s="40">
        <f t="shared" si="36"/>
        <v>-4.4536829552827006E-3</v>
      </c>
      <c r="F593" s="41">
        <f t="shared" si="37"/>
        <v>112.83073021973587</v>
      </c>
      <c r="G593" s="42" t="str">
        <f t="shared" si="38"/>
        <v>2024-05</v>
      </c>
    </row>
    <row r="594" spans="1:7" x14ac:dyDescent="0.25">
      <c r="A594" s="31">
        <v>45425</v>
      </c>
      <c r="B594" s="32">
        <v>50722.702026367202</v>
      </c>
      <c r="C594" s="33">
        <f t="shared" si="39"/>
        <v>1.3442784314698919E-4</v>
      </c>
      <c r="D594" s="32">
        <f>MAX($B$2:B594)</f>
        <v>50942.767333984397</v>
      </c>
      <c r="E594" s="34">
        <f t="shared" si="36"/>
        <v>-4.319853811129426E-3</v>
      </c>
      <c r="F594" s="35">
        <f t="shared" si="37"/>
        <v>112.84589781143998</v>
      </c>
      <c r="G594" s="36" t="str">
        <f t="shared" si="38"/>
        <v>2024-05</v>
      </c>
    </row>
    <row r="595" spans="1:7" x14ac:dyDescent="0.25">
      <c r="A595" s="37">
        <v>45426</v>
      </c>
      <c r="B595" s="38">
        <v>50955.435180664099</v>
      </c>
      <c r="C595" s="39">
        <f t="shared" si="39"/>
        <v>4.5883429904012285E-3</v>
      </c>
      <c r="D595" s="38">
        <f>MAX($B$2:B595)</f>
        <v>50955.435180664099</v>
      </c>
      <c r="E595" s="40">
        <f t="shared" si="36"/>
        <v>0</v>
      </c>
      <c r="F595" s="41">
        <f t="shared" si="37"/>
        <v>113.36367349565866</v>
      </c>
      <c r="G595" s="42" t="str">
        <f t="shared" si="38"/>
        <v>2024-05</v>
      </c>
    </row>
    <row r="596" spans="1:7" x14ac:dyDescent="0.25">
      <c r="A596" s="31">
        <v>45427</v>
      </c>
      <c r="B596" s="32">
        <v>51586.413574218801</v>
      </c>
      <c r="C596" s="33">
        <f t="shared" si="39"/>
        <v>1.2382945829381153E-2</v>
      </c>
      <c r="D596" s="32">
        <f>MAX($B$2:B596)</f>
        <v>51586.413574218801</v>
      </c>
      <c r="E596" s="34">
        <f t="shared" si="36"/>
        <v>0</v>
      </c>
      <c r="F596" s="35">
        <f t="shared" si="37"/>
        <v>114.76744972357504</v>
      </c>
      <c r="G596" s="36" t="str">
        <f t="shared" si="38"/>
        <v>2024-05</v>
      </c>
    </row>
    <row r="597" spans="1:7" x14ac:dyDescent="0.25">
      <c r="A597" s="37">
        <v>45428</v>
      </c>
      <c r="B597" s="38">
        <v>51480.267333984397</v>
      </c>
      <c r="C597" s="39">
        <f t="shared" si="39"/>
        <v>-2.0576394612447091E-3</v>
      </c>
      <c r="D597" s="38">
        <f>MAX($B$2:B597)</f>
        <v>51586.413574218801</v>
      </c>
      <c r="E597" s="40">
        <f t="shared" si="36"/>
        <v>-2.0576394612447091E-3</v>
      </c>
      <c r="F597" s="41">
        <f t="shared" si="37"/>
        <v>114.53129969015738</v>
      </c>
      <c r="G597" s="42" t="str">
        <f t="shared" si="38"/>
        <v>2024-05</v>
      </c>
    </row>
    <row r="598" spans="1:7" x14ac:dyDescent="0.25">
      <c r="A598" s="31">
        <v>45429</v>
      </c>
      <c r="B598" s="32">
        <v>51554.278564453103</v>
      </c>
      <c r="C598" s="33">
        <f t="shared" si="39"/>
        <v>1.4376621237910392E-3</v>
      </c>
      <c r="D598" s="32">
        <f>MAX($B$2:B598)</f>
        <v>51586.413574218801</v>
      </c>
      <c r="E598" s="34">
        <f t="shared" si="36"/>
        <v>-6.2293552777159533E-4</v>
      </c>
      <c r="F598" s="35">
        <f t="shared" si="37"/>
        <v>114.6959570017105</v>
      </c>
      <c r="G598" s="36" t="str">
        <f t="shared" si="38"/>
        <v>2024-05</v>
      </c>
    </row>
    <row r="599" spans="1:7" x14ac:dyDescent="0.25">
      <c r="A599" s="37">
        <v>45432</v>
      </c>
      <c r="B599" s="38">
        <v>51613.677978515603</v>
      </c>
      <c r="C599" s="39">
        <f t="shared" si="39"/>
        <v>1.1521723456615618E-3</v>
      </c>
      <c r="D599" s="38">
        <f>MAX($B$2:B599)</f>
        <v>51613.677978515603</v>
      </c>
      <c r="E599" s="40">
        <f t="shared" si="36"/>
        <v>0</v>
      </c>
      <c r="F599" s="41">
        <f t="shared" si="37"/>
        <v>114.82810651152707</v>
      </c>
      <c r="G599" s="42" t="str">
        <f t="shared" si="38"/>
        <v>2024-05</v>
      </c>
    </row>
    <row r="600" spans="1:7" x14ac:dyDescent="0.25">
      <c r="A600" s="31">
        <v>45433</v>
      </c>
      <c r="B600" s="32">
        <v>51740.264892578103</v>
      </c>
      <c r="C600" s="33">
        <f t="shared" si="39"/>
        <v>2.4525846446206145E-3</v>
      </c>
      <c r="D600" s="32">
        <f>MAX($B$2:B600)</f>
        <v>51740.264892578103</v>
      </c>
      <c r="E600" s="34">
        <f t="shared" si="36"/>
        <v>0</v>
      </c>
      <c r="F600" s="35">
        <f t="shared" si="37"/>
        <v>115.1097321623281</v>
      </c>
      <c r="G600" s="36" t="str">
        <f t="shared" si="38"/>
        <v>2024-05</v>
      </c>
    </row>
    <row r="601" spans="1:7" x14ac:dyDescent="0.25">
      <c r="A601" s="37">
        <v>45434</v>
      </c>
      <c r="B601" s="38">
        <v>51591.278076171897</v>
      </c>
      <c r="C601" s="39">
        <f t="shared" si="39"/>
        <v>-2.8795139861678143E-3</v>
      </c>
      <c r="D601" s="38">
        <f>MAX($B$2:B601)</f>
        <v>51740.264892578103</v>
      </c>
      <c r="E601" s="40">
        <f t="shared" si="36"/>
        <v>-2.8795139861678143E-3</v>
      </c>
      <c r="F601" s="41">
        <f t="shared" si="37"/>
        <v>114.77827207862263</v>
      </c>
      <c r="G601" s="42" t="str">
        <f t="shared" si="38"/>
        <v>2024-05</v>
      </c>
    </row>
    <row r="602" spans="1:7" x14ac:dyDescent="0.25">
      <c r="A602" s="31">
        <v>45435</v>
      </c>
      <c r="B602" s="32">
        <v>51214.453125</v>
      </c>
      <c r="C602" s="33">
        <f t="shared" si="39"/>
        <v>-7.3040437303284467E-3</v>
      </c>
      <c r="D602" s="32">
        <f>MAX($B$2:B602)</f>
        <v>51740.264892578103</v>
      </c>
      <c r="E602" s="34">
        <f t="shared" si="36"/>
        <v>-1.0162525620419194E-2</v>
      </c>
      <c r="F602" s="35">
        <f t="shared" si="37"/>
        <v>113.93992656006884</v>
      </c>
      <c r="G602" s="36" t="str">
        <f t="shared" si="38"/>
        <v>2024-05</v>
      </c>
    </row>
    <row r="603" spans="1:7" x14ac:dyDescent="0.25">
      <c r="A603" s="37">
        <v>45436</v>
      </c>
      <c r="B603" s="38">
        <v>51553.302001953103</v>
      </c>
      <c r="C603" s="39">
        <f t="shared" si="39"/>
        <v>6.6162744357742831E-3</v>
      </c>
      <c r="D603" s="38">
        <f>MAX($B$2:B603)</f>
        <v>51740.264892578103</v>
      </c>
      <c r="E603" s="40">
        <f t="shared" si="36"/>
        <v>-3.6134892431101129E-3</v>
      </c>
      <c r="F603" s="41">
        <f t="shared" si="37"/>
        <v>114.69378438338222</v>
      </c>
      <c r="G603" s="42" t="str">
        <f t="shared" si="38"/>
        <v>2024-05</v>
      </c>
    </row>
    <row r="604" spans="1:7" x14ac:dyDescent="0.25">
      <c r="A604" s="31">
        <v>45440</v>
      </c>
      <c r="B604" s="32">
        <v>51589.3310546875</v>
      </c>
      <c r="C604" s="33">
        <f t="shared" si="39"/>
        <v>6.9886993335610548E-4</v>
      </c>
      <c r="D604" s="32">
        <f>MAX($B$2:B604)</f>
        <v>51740.264892578103</v>
      </c>
      <c r="E604" s="34">
        <f t="shared" si="36"/>
        <v>-2.9171446687404901E-3</v>
      </c>
      <c r="F604" s="35">
        <f t="shared" si="37"/>
        <v>114.7739404208306</v>
      </c>
      <c r="G604" s="36" t="str">
        <f t="shared" si="38"/>
        <v>2024-05</v>
      </c>
    </row>
    <row r="605" spans="1:7" x14ac:dyDescent="0.25">
      <c r="A605" s="37">
        <v>45441</v>
      </c>
      <c r="B605" s="38">
        <v>51228.076171875</v>
      </c>
      <c r="C605" s="39">
        <f t="shared" si="39"/>
        <v>-7.0025114772189756E-3</v>
      </c>
      <c r="D605" s="38">
        <f>MAX($B$2:B605)</f>
        <v>51740.264892578103</v>
      </c>
      <c r="E605" s="40">
        <f t="shared" si="36"/>
        <v>-9.8992288069359446E-3</v>
      </c>
      <c r="F605" s="41">
        <f t="shared" si="37"/>
        <v>113.97023458574809</v>
      </c>
      <c r="G605" s="42" t="str">
        <f t="shared" si="38"/>
        <v>2024-05</v>
      </c>
    </row>
    <row r="606" spans="1:7" x14ac:dyDescent="0.25">
      <c r="A606" s="31">
        <v>45442</v>
      </c>
      <c r="B606" s="32">
        <v>50888.238525390603</v>
      </c>
      <c r="C606" s="33">
        <f t="shared" si="39"/>
        <v>-6.6338162952715996E-3</v>
      </c>
      <c r="D606" s="32">
        <f>MAX($B$2:B606)</f>
        <v>51740.264892578103</v>
      </c>
      <c r="E606" s="34">
        <f t="shared" si="36"/>
        <v>-1.6467375436837406E-2</v>
      </c>
      <c r="F606" s="35">
        <f t="shared" si="37"/>
        <v>113.21417698637724</v>
      </c>
      <c r="G606" s="36" t="str">
        <f t="shared" si="38"/>
        <v>2024-05</v>
      </c>
    </row>
    <row r="607" spans="1:7" x14ac:dyDescent="0.25">
      <c r="A607" s="37">
        <v>45443</v>
      </c>
      <c r="B607" s="38">
        <v>51351.745605468801</v>
      </c>
      <c r="C607" s="39">
        <f t="shared" si="39"/>
        <v>9.1083341359305958E-3</v>
      </c>
      <c r="D607" s="38">
        <f>MAX($B$2:B607)</f>
        <v>51740.264892578103</v>
      </c>
      <c r="E607" s="40">
        <f t="shared" si="36"/>
        <v>-7.5090316587271833E-3</v>
      </c>
      <c r="F607" s="41">
        <f t="shared" si="37"/>
        <v>114.24536953929356</v>
      </c>
      <c r="G607" s="42" t="str">
        <f t="shared" si="38"/>
        <v>2024-05</v>
      </c>
    </row>
    <row r="608" spans="1:7" x14ac:dyDescent="0.25">
      <c r="A608" s="31">
        <v>45446</v>
      </c>
      <c r="B608" s="32">
        <v>51393.609619140603</v>
      </c>
      <c r="C608" s="33">
        <f t="shared" si="39"/>
        <v>8.1524032295687832E-4</v>
      </c>
      <c r="D608" s="32">
        <f>MAX($B$2:B608)</f>
        <v>51740.264892578103</v>
      </c>
      <c r="E608" s="34">
        <f t="shared" si="36"/>
        <v>-6.6999130011649033E-3</v>
      </c>
      <c r="F608" s="35">
        <f t="shared" si="37"/>
        <v>114.3385069712531</v>
      </c>
      <c r="G608" s="36" t="str">
        <f t="shared" si="38"/>
        <v>2024-06</v>
      </c>
    </row>
    <row r="609" spans="1:7" x14ac:dyDescent="0.25">
      <c r="A609" s="37">
        <v>45447</v>
      </c>
      <c r="B609" s="38">
        <v>51451.055908203103</v>
      </c>
      <c r="C609" s="39">
        <f t="shared" si="39"/>
        <v>1.1177710514636008E-3</v>
      </c>
      <c r="D609" s="38">
        <f>MAX($B$2:B609)</f>
        <v>51740.264892578103</v>
      </c>
      <c r="E609" s="40">
        <f t="shared" si="36"/>
        <v>-5.5896309185012871E-3</v>
      </c>
      <c r="F609" s="41">
        <f t="shared" si="37"/>
        <v>114.46631124441313</v>
      </c>
      <c r="G609" s="42" t="str">
        <f t="shared" si="38"/>
        <v>2024-06</v>
      </c>
    </row>
    <row r="610" spans="1:7" x14ac:dyDescent="0.25">
      <c r="A610" s="31">
        <v>45448</v>
      </c>
      <c r="B610" s="32">
        <v>52062.561035156301</v>
      </c>
      <c r="C610" s="33">
        <f t="shared" si="39"/>
        <v>1.1885181288489477E-2</v>
      </c>
      <c r="D610" s="32">
        <f>MAX($B$2:B610)</f>
        <v>52062.561035156301</v>
      </c>
      <c r="E610" s="34">
        <f t="shared" si="36"/>
        <v>0</v>
      </c>
      <c r="F610" s="35">
        <f t="shared" si="37"/>
        <v>115.82676410497763</v>
      </c>
      <c r="G610" s="36" t="str">
        <f t="shared" si="38"/>
        <v>2024-06</v>
      </c>
    </row>
    <row r="611" spans="1:7" x14ac:dyDescent="0.25">
      <c r="A611" s="37">
        <v>45449</v>
      </c>
      <c r="B611" s="38">
        <v>52061.590576171897</v>
      </c>
      <c r="C611" s="39">
        <f t="shared" si="39"/>
        <v>-1.8640246755241563E-5</v>
      </c>
      <c r="D611" s="38">
        <f>MAX($B$2:B611)</f>
        <v>52062.561035156301</v>
      </c>
      <c r="E611" s="40">
        <f t="shared" si="36"/>
        <v>-1.8640246755241563E-5</v>
      </c>
      <c r="F611" s="41">
        <f t="shared" si="37"/>
        <v>115.82460506551386</v>
      </c>
      <c r="G611" s="42" t="str">
        <f t="shared" si="38"/>
        <v>2024-06</v>
      </c>
    </row>
    <row r="612" spans="1:7" x14ac:dyDescent="0.25">
      <c r="A612" s="31">
        <v>45450</v>
      </c>
      <c r="B612" s="32">
        <v>51998.297119140603</v>
      </c>
      <c r="C612" s="33">
        <f t="shared" si="39"/>
        <v>-1.2157418997540415E-3</v>
      </c>
      <c r="D612" s="32">
        <f>MAX($B$2:B612)</f>
        <v>52062.561035156301</v>
      </c>
      <c r="E612" s="34">
        <f t="shared" si="36"/>
        <v>-1.2343594847802342E-3</v>
      </c>
      <c r="F612" s="35">
        <f t="shared" si="37"/>
        <v>115.68379224011325</v>
      </c>
      <c r="G612" s="36" t="str">
        <f t="shared" si="38"/>
        <v>2024-06</v>
      </c>
    </row>
    <row r="613" spans="1:7" x14ac:dyDescent="0.25">
      <c r="A613" s="37">
        <v>45453</v>
      </c>
      <c r="B613" s="38">
        <v>52158.966064453103</v>
      </c>
      <c r="C613" s="39">
        <f t="shared" si="39"/>
        <v>3.0898885966279543E-3</v>
      </c>
      <c r="D613" s="38">
        <f>MAX($B$2:B613)</f>
        <v>52158.966064453103</v>
      </c>
      <c r="E613" s="40">
        <f t="shared" si="36"/>
        <v>0</v>
      </c>
      <c r="F613" s="41">
        <f t="shared" si="37"/>
        <v>116.04124227057065</v>
      </c>
      <c r="G613" s="42" t="str">
        <f t="shared" si="38"/>
        <v>2024-06</v>
      </c>
    </row>
    <row r="614" spans="1:7" x14ac:dyDescent="0.25">
      <c r="A614" s="31">
        <v>45454</v>
      </c>
      <c r="B614" s="32">
        <v>52284.582519531301</v>
      </c>
      <c r="C614" s="33">
        <f t="shared" si="39"/>
        <v>2.4083386722615341E-3</v>
      </c>
      <c r="D614" s="32">
        <f>MAX($B$2:B614)</f>
        <v>52284.582519531301</v>
      </c>
      <c r="E614" s="34">
        <f t="shared" si="36"/>
        <v>0</v>
      </c>
      <c r="F614" s="35">
        <f t="shared" si="37"/>
        <v>116.32070888190813</v>
      </c>
      <c r="G614" s="36" t="str">
        <f t="shared" si="38"/>
        <v>2024-06</v>
      </c>
    </row>
    <row r="615" spans="1:7" x14ac:dyDescent="0.25">
      <c r="A615" s="37">
        <v>45455</v>
      </c>
      <c r="B615" s="38">
        <v>52713.977050781301</v>
      </c>
      <c r="C615" s="39">
        <f t="shared" si="39"/>
        <v>8.2126414816374727E-3</v>
      </c>
      <c r="D615" s="38">
        <f>MAX($B$2:B615)</f>
        <v>52713.977050781301</v>
      </c>
      <c r="E615" s="40">
        <f t="shared" si="36"/>
        <v>0</v>
      </c>
      <c r="F615" s="41">
        <f t="shared" si="37"/>
        <v>117.27600916084515</v>
      </c>
      <c r="G615" s="42" t="str">
        <f t="shared" si="38"/>
        <v>2024-06</v>
      </c>
    </row>
    <row r="616" spans="1:7" x14ac:dyDescent="0.25">
      <c r="A616" s="31">
        <v>45456</v>
      </c>
      <c r="B616" s="32">
        <v>52820.129394531301</v>
      </c>
      <c r="C616" s="33">
        <f t="shared" si="39"/>
        <v>2.0137418895131987E-3</v>
      </c>
      <c r="D616" s="32">
        <f>MAX($B$2:B616)</f>
        <v>52820.129394531301</v>
      </c>
      <c r="E616" s="34">
        <f t="shared" si="36"/>
        <v>0</v>
      </c>
      <c r="F616" s="35">
        <f t="shared" si="37"/>
        <v>117.51217277312729</v>
      </c>
      <c r="G616" s="36" t="str">
        <f t="shared" si="38"/>
        <v>2024-06</v>
      </c>
    </row>
    <row r="617" spans="1:7" x14ac:dyDescent="0.25">
      <c r="A617" s="37">
        <v>45457</v>
      </c>
      <c r="B617" s="38">
        <v>52852.276611328103</v>
      </c>
      <c r="C617" s="39">
        <f t="shared" si="39"/>
        <v>6.0861677480339438E-4</v>
      </c>
      <c r="D617" s="38">
        <f>MAX($B$2:B617)</f>
        <v>52852.276611328103</v>
      </c>
      <c r="E617" s="40">
        <f t="shared" si="36"/>
        <v>0</v>
      </c>
      <c r="F617" s="41">
        <f t="shared" si="37"/>
        <v>117.58369265272064</v>
      </c>
      <c r="G617" s="42" t="str">
        <f t="shared" si="38"/>
        <v>2024-06</v>
      </c>
    </row>
    <row r="618" spans="1:7" x14ac:dyDescent="0.25">
      <c r="A618" s="31">
        <v>45460</v>
      </c>
      <c r="B618" s="32">
        <v>53272.918701171897</v>
      </c>
      <c r="C618" s="33">
        <f t="shared" si="39"/>
        <v>7.9588263139005466E-3</v>
      </c>
      <c r="D618" s="32">
        <f>MAX($B$2:B618)</f>
        <v>53272.918701171897</v>
      </c>
      <c r="E618" s="34">
        <f t="shared" si="36"/>
        <v>0</v>
      </c>
      <c r="F618" s="35">
        <f t="shared" si="37"/>
        <v>118.5195208398907</v>
      </c>
      <c r="G618" s="36" t="str">
        <f t="shared" si="38"/>
        <v>2024-06</v>
      </c>
    </row>
    <row r="619" spans="1:7" x14ac:dyDescent="0.25">
      <c r="A619" s="37">
        <v>45461</v>
      </c>
      <c r="B619" s="38">
        <v>53408.258056640603</v>
      </c>
      <c r="C619" s="39">
        <f t="shared" si="39"/>
        <v>2.5404907177675184E-3</v>
      </c>
      <c r="D619" s="38">
        <f>MAX($B$2:B619)</f>
        <v>53408.258056640603</v>
      </c>
      <c r="E619" s="40">
        <f t="shared" si="36"/>
        <v>0</v>
      </c>
      <c r="F619" s="41">
        <f t="shared" si="37"/>
        <v>118.82061858245869</v>
      </c>
      <c r="G619" s="42" t="str">
        <f t="shared" si="38"/>
        <v>2024-06</v>
      </c>
    </row>
    <row r="620" spans="1:7" x14ac:dyDescent="0.25">
      <c r="A620" s="31">
        <v>45463</v>
      </c>
      <c r="B620" s="32">
        <v>53263.177490234397</v>
      </c>
      <c r="C620" s="33">
        <f t="shared" si="39"/>
        <v>-2.7164444541954991E-3</v>
      </c>
      <c r="D620" s="32">
        <f>MAX($B$2:B620)</f>
        <v>53408.258056640603</v>
      </c>
      <c r="E620" s="34">
        <f t="shared" si="36"/>
        <v>-2.7164444541954991E-3</v>
      </c>
      <c r="F620" s="35">
        <f t="shared" si="37"/>
        <v>118.49784897206629</v>
      </c>
      <c r="G620" s="36" t="str">
        <f t="shared" si="38"/>
        <v>2024-06</v>
      </c>
    </row>
    <row r="621" spans="1:7" x14ac:dyDescent="0.25">
      <c r="A621" s="37">
        <v>45464</v>
      </c>
      <c r="B621" s="38">
        <v>53191.760253906301</v>
      </c>
      <c r="C621" s="39">
        <f t="shared" si="39"/>
        <v>-1.3408369476490822E-3</v>
      </c>
      <c r="D621" s="38">
        <f>MAX($B$2:B621)</f>
        <v>53408.258056640603</v>
      </c>
      <c r="E621" s="40">
        <f t="shared" si="36"/>
        <v>-4.0536390927541355E-3</v>
      </c>
      <c r="F621" s="41">
        <f t="shared" si="37"/>
        <v>118.33896267794761</v>
      </c>
      <c r="G621" s="42" t="str">
        <f t="shared" si="38"/>
        <v>2024-06</v>
      </c>
    </row>
    <row r="622" spans="1:7" x14ac:dyDescent="0.25">
      <c r="A622" s="31">
        <v>45467</v>
      </c>
      <c r="B622" s="32">
        <v>53018.865966796897</v>
      </c>
      <c r="C622" s="33">
        <f t="shared" si="39"/>
        <v>-3.2503960441261359E-3</v>
      </c>
      <c r="D622" s="32">
        <f>MAX($B$2:B622)</f>
        <v>53408.258056640603</v>
      </c>
      <c r="E622" s="34">
        <f t="shared" si="36"/>
        <v>-7.2908592044089726E-3</v>
      </c>
      <c r="F622" s="35">
        <f t="shared" si="37"/>
        <v>117.95431418179321</v>
      </c>
      <c r="G622" s="36" t="str">
        <f t="shared" si="38"/>
        <v>2024-06</v>
      </c>
    </row>
    <row r="623" spans="1:7" x14ac:dyDescent="0.25">
      <c r="A623" s="37">
        <v>45468</v>
      </c>
      <c r="B623" s="38">
        <v>53223.034667968801</v>
      </c>
      <c r="C623" s="39">
        <f t="shared" si="39"/>
        <v>3.8508688831588866E-3</v>
      </c>
      <c r="D623" s="38">
        <f>MAX($B$2:B623)</f>
        <v>53408.258056640603</v>
      </c>
      <c r="E623" s="40">
        <f t="shared" si="36"/>
        <v>-3.4680664640919234E-3</v>
      </c>
      <c r="F623" s="41">
        <f t="shared" si="37"/>
        <v>118.40854077991021</v>
      </c>
      <c r="G623" s="42" t="str">
        <f t="shared" si="38"/>
        <v>2024-06</v>
      </c>
    </row>
    <row r="624" spans="1:7" x14ac:dyDescent="0.25">
      <c r="A624" s="31">
        <v>45469</v>
      </c>
      <c r="B624" s="32">
        <v>53289.459228515603</v>
      </c>
      <c r="C624" s="33">
        <f t="shared" si="39"/>
        <v>1.2480415850240067E-3</v>
      </c>
      <c r="D624" s="32">
        <f>MAX($B$2:B624)</f>
        <v>53408.258056640603</v>
      </c>
      <c r="E624" s="34">
        <f t="shared" si="36"/>
        <v>-2.2243531702347275E-3</v>
      </c>
      <c r="F624" s="35">
        <f t="shared" si="37"/>
        <v>118.55631956282555</v>
      </c>
      <c r="G624" s="36" t="str">
        <f t="shared" si="38"/>
        <v>2024-06</v>
      </c>
    </row>
    <row r="625" spans="1:7" x14ac:dyDescent="0.25">
      <c r="A625" s="37">
        <v>45470</v>
      </c>
      <c r="B625" s="38">
        <v>53373.468017578103</v>
      </c>
      <c r="C625" s="39">
        <f t="shared" si="39"/>
        <v>1.5764616544944321E-3</v>
      </c>
      <c r="D625" s="38">
        <f>MAX($B$2:B625)</f>
        <v>53408.258056640603</v>
      </c>
      <c r="E625" s="40">
        <f t="shared" si="36"/>
        <v>-6.5139812321912682E-4</v>
      </c>
      <c r="F625" s="41">
        <f t="shared" si="37"/>
        <v>118.74321905451436</v>
      </c>
      <c r="G625" s="42" t="str">
        <f t="shared" si="38"/>
        <v>2024-06</v>
      </c>
    </row>
    <row r="626" spans="1:7" x14ac:dyDescent="0.25">
      <c r="A626" s="31">
        <v>45471</v>
      </c>
      <c r="B626" s="32">
        <v>53163.433837890603</v>
      </c>
      <c r="C626" s="33">
        <f t="shared" si="39"/>
        <v>-3.9351795468551831E-3</v>
      </c>
      <c r="D626" s="32">
        <f>MAX($B$2:B626)</f>
        <v>53408.258056640603</v>
      </c>
      <c r="E626" s="34">
        <f t="shared" si="36"/>
        <v>-4.5840143015029033E-3</v>
      </c>
      <c r="F626" s="35">
        <f t="shared" si="37"/>
        <v>118.27594316756327</v>
      </c>
      <c r="G626" s="36" t="str">
        <f t="shared" si="38"/>
        <v>2024-06</v>
      </c>
    </row>
    <row r="627" spans="1:7" x14ac:dyDescent="0.25">
      <c r="A627" s="37">
        <v>45474</v>
      </c>
      <c r="B627" s="38">
        <v>53272.857666015603</v>
      </c>
      <c r="C627" s="39">
        <f t="shared" si="39"/>
        <v>2.0582535819386738E-3</v>
      </c>
      <c r="D627" s="38">
        <f>MAX($B$2:B627)</f>
        <v>53408.258056640603</v>
      </c>
      <c r="E627" s="40">
        <f t="shared" si="36"/>
        <v>-2.5351957834199856E-3</v>
      </c>
      <c r="F627" s="41">
        <f t="shared" si="37"/>
        <v>118.51938505124508</v>
      </c>
      <c r="G627" s="42" t="str">
        <f t="shared" si="38"/>
        <v>2024-07</v>
      </c>
    </row>
    <row r="628" spans="1:7" x14ac:dyDescent="0.25">
      <c r="A628" s="31">
        <v>45475</v>
      </c>
      <c r="B628" s="32">
        <v>53631.359863281301</v>
      </c>
      <c r="C628" s="33">
        <f t="shared" si="39"/>
        <v>6.7295469582890899E-3</v>
      </c>
      <c r="D628" s="32">
        <f>MAX($B$2:B628)</f>
        <v>53631.359863281301</v>
      </c>
      <c r="E628" s="34">
        <f t="shared" si="36"/>
        <v>0</v>
      </c>
      <c r="F628" s="35">
        <f t="shared" si="37"/>
        <v>119.316966818415</v>
      </c>
      <c r="G628" s="36" t="str">
        <f t="shared" si="38"/>
        <v>2024-07</v>
      </c>
    </row>
    <row r="629" spans="1:7" x14ac:dyDescent="0.25">
      <c r="A629" s="37">
        <v>45476</v>
      </c>
      <c r="B629" s="38">
        <v>53870.709228515603</v>
      </c>
      <c r="C629" s="39">
        <f t="shared" si="39"/>
        <v>4.4628621359679155E-3</v>
      </c>
      <c r="D629" s="38">
        <f>MAX($B$2:B629)</f>
        <v>53870.709228515603</v>
      </c>
      <c r="E629" s="40">
        <f t="shared" si="36"/>
        <v>0</v>
      </c>
      <c r="F629" s="41">
        <f t="shared" si="37"/>
        <v>119.84946199180742</v>
      </c>
      <c r="G629" s="42" t="str">
        <f t="shared" si="38"/>
        <v>2024-07</v>
      </c>
    </row>
    <row r="630" spans="1:7" x14ac:dyDescent="0.25">
      <c r="A630" s="31">
        <v>45478</v>
      </c>
      <c r="B630" s="32">
        <v>54181.341552734397</v>
      </c>
      <c r="C630" s="33">
        <f t="shared" si="39"/>
        <v>5.7662564437590547E-3</v>
      </c>
      <c r="D630" s="32">
        <f>MAX($B$2:B630)</f>
        <v>54181.341552734397</v>
      </c>
      <c r="E630" s="34">
        <f t="shared" si="36"/>
        <v>0</v>
      </c>
      <c r="F630" s="35">
        <f t="shared" si="37"/>
        <v>120.54054472429871</v>
      </c>
      <c r="G630" s="36" t="str">
        <f t="shared" si="38"/>
        <v>2024-07</v>
      </c>
    </row>
    <row r="631" spans="1:7" x14ac:dyDescent="0.25">
      <c r="A631" s="37">
        <v>45481</v>
      </c>
      <c r="B631" s="38">
        <v>54243.8720703125</v>
      </c>
      <c r="C631" s="39">
        <f t="shared" si="39"/>
        <v>1.1540968862360224E-3</v>
      </c>
      <c r="D631" s="38">
        <f>MAX($B$2:B631)</f>
        <v>54243.8720703125</v>
      </c>
      <c r="E631" s="40">
        <f t="shared" si="36"/>
        <v>0</v>
      </c>
      <c r="F631" s="41">
        <f t="shared" si="37"/>
        <v>120.67966019163023</v>
      </c>
      <c r="G631" s="42" t="str">
        <f t="shared" si="38"/>
        <v>2024-07</v>
      </c>
    </row>
    <row r="632" spans="1:7" x14ac:dyDescent="0.25">
      <c r="A632" s="31">
        <v>45482</v>
      </c>
      <c r="B632" s="32">
        <v>54296.612548828103</v>
      </c>
      <c r="C632" s="33">
        <f t="shared" si="39"/>
        <v>9.7228454575004619E-4</v>
      </c>
      <c r="D632" s="32">
        <f>MAX($B$2:B632)</f>
        <v>54296.612548828103</v>
      </c>
      <c r="E632" s="34">
        <f t="shared" si="36"/>
        <v>0</v>
      </c>
      <c r="F632" s="35">
        <f t="shared" si="37"/>
        <v>120.79699516022092</v>
      </c>
      <c r="G632" s="36" t="str">
        <f t="shared" si="38"/>
        <v>2024-07</v>
      </c>
    </row>
    <row r="633" spans="1:7" x14ac:dyDescent="0.25">
      <c r="A633" s="37">
        <v>45483</v>
      </c>
      <c r="B633" s="38">
        <v>54833.898925781301</v>
      </c>
      <c r="C633" s="39">
        <f t="shared" si="39"/>
        <v>9.8953940537271912E-3</v>
      </c>
      <c r="D633" s="38">
        <f>MAX($B$2:B633)</f>
        <v>54833.898925781301</v>
      </c>
      <c r="E633" s="40">
        <f t="shared" si="36"/>
        <v>0</v>
      </c>
      <c r="F633" s="41">
        <f t="shared" si="37"/>
        <v>121.99232902783746</v>
      </c>
      <c r="G633" s="42" t="str">
        <f t="shared" si="38"/>
        <v>2024-07</v>
      </c>
    </row>
    <row r="634" spans="1:7" x14ac:dyDescent="0.25">
      <c r="A634" s="31">
        <v>45484</v>
      </c>
      <c r="B634" s="32">
        <v>54361.071777343801</v>
      </c>
      <c r="C634" s="33">
        <f t="shared" si="39"/>
        <v>-8.6228985664047464E-3</v>
      </c>
      <c r="D634" s="32">
        <f>MAX($B$2:B634)</f>
        <v>54833.898925781301</v>
      </c>
      <c r="E634" s="34">
        <f t="shared" si="36"/>
        <v>-8.6228985664047464E-3</v>
      </c>
      <c r="F634" s="35">
        <f t="shared" si="37"/>
        <v>120.94040154875094</v>
      </c>
      <c r="G634" s="36" t="str">
        <f t="shared" si="38"/>
        <v>2024-07</v>
      </c>
    </row>
    <row r="635" spans="1:7" x14ac:dyDescent="0.25">
      <c r="A635" s="37">
        <v>45485</v>
      </c>
      <c r="B635" s="38">
        <v>54703.9794921875</v>
      </c>
      <c r="C635" s="39">
        <f t="shared" si="39"/>
        <v>6.3079645715633514E-3</v>
      </c>
      <c r="D635" s="38">
        <f>MAX($B$2:B635)</f>
        <v>54833.898925781301</v>
      </c>
      <c r="E635" s="40">
        <f t="shared" si="36"/>
        <v>-2.3693269335023359E-3</v>
      </c>
      <c r="F635" s="41">
        <f t="shared" si="37"/>
        <v>121.70328931699113</v>
      </c>
      <c r="G635" s="42" t="str">
        <f t="shared" si="38"/>
        <v>2024-07</v>
      </c>
    </row>
    <row r="636" spans="1:7" x14ac:dyDescent="0.25">
      <c r="A636" s="31">
        <v>45488</v>
      </c>
      <c r="B636" s="32">
        <v>54854.412841796897</v>
      </c>
      <c r="C636" s="33">
        <f t="shared" si="39"/>
        <v>2.7499525812537673E-3</v>
      </c>
      <c r="D636" s="32">
        <f>MAX($B$2:B636)</f>
        <v>54854.412841796897</v>
      </c>
      <c r="E636" s="34">
        <f t="shared" si="36"/>
        <v>0</v>
      </c>
      <c r="F636" s="35">
        <f t="shared" si="37"/>
        <v>122.03796759159546</v>
      </c>
      <c r="G636" s="36" t="str">
        <f t="shared" si="38"/>
        <v>2024-07</v>
      </c>
    </row>
    <row r="637" spans="1:7" x14ac:dyDescent="0.25">
      <c r="A637" s="37">
        <v>45489</v>
      </c>
      <c r="B637" s="38">
        <v>55179.7119140625</v>
      </c>
      <c r="C637" s="39">
        <f t="shared" si="39"/>
        <v>5.9302261279103874E-3</v>
      </c>
      <c r="D637" s="38">
        <f>MAX($B$2:B637)</f>
        <v>55179.7119140625</v>
      </c>
      <c r="E637" s="40">
        <f t="shared" si="36"/>
        <v>0</v>
      </c>
      <c r="F637" s="41">
        <f t="shared" si="37"/>
        <v>122.76168033560421</v>
      </c>
      <c r="G637" s="42" t="str">
        <f t="shared" si="38"/>
        <v>2024-07</v>
      </c>
    </row>
    <row r="638" spans="1:7" x14ac:dyDescent="0.25">
      <c r="A638" s="31">
        <v>45490</v>
      </c>
      <c r="B638" s="32">
        <v>54406.024169921897</v>
      </c>
      <c r="C638" s="33">
        <f t="shared" si="39"/>
        <v>-1.402123565533564E-2</v>
      </c>
      <c r="D638" s="32">
        <f>MAX($B$2:B638)</f>
        <v>55179.7119140625</v>
      </c>
      <c r="E638" s="34">
        <f t="shared" si="36"/>
        <v>-1.402123565533564E-2</v>
      </c>
      <c r="F638" s="35">
        <f t="shared" si="37"/>
        <v>121.04040988617373</v>
      </c>
      <c r="G638" s="36" t="str">
        <f t="shared" si="38"/>
        <v>2024-07</v>
      </c>
    </row>
    <row r="639" spans="1:7" x14ac:dyDescent="0.25">
      <c r="A639" s="37">
        <v>45491</v>
      </c>
      <c r="B639" s="38">
        <v>53987.921142578103</v>
      </c>
      <c r="C639" s="39">
        <f t="shared" si="39"/>
        <v>-7.6848664044621984E-3</v>
      </c>
      <c r="D639" s="38">
        <f>MAX($B$2:B639)</f>
        <v>55179.7119140625</v>
      </c>
      <c r="E639" s="40">
        <f t="shared" si="36"/>
        <v>-2.1598350736961147E-2</v>
      </c>
      <c r="F639" s="41">
        <f t="shared" si="37"/>
        <v>120.11023050665712</v>
      </c>
      <c r="G639" s="42" t="str">
        <f t="shared" si="38"/>
        <v>2024-07</v>
      </c>
    </row>
    <row r="640" spans="1:7" x14ac:dyDescent="0.25">
      <c r="A640" s="31">
        <v>45492</v>
      </c>
      <c r="B640" s="32">
        <v>53629.406738281301</v>
      </c>
      <c r="C640" s="33">
        <f t="shared" si="39"/>
        <v>-6.6406410306111274E-3</v>
      </c>
      <c r="D640" s="32">
        <f>MAX($B$2:B640)</f>
        <v>55179.7119140625</v>
      </c>
      <c r="E640" s="34">
        <f t="shared" si="36"/>
        <v>-2.8095564873474865E-2</v>
      </c>
      <c r="F640" s="35">
        <f t="shared" si="37"/>
        <v>119.31262158175846</v>
      </c>
      <c r="G640" s="36" t="str">
        <f t="shared" si="38"/>
        <v>2024-07</v>
      </c>
    </row>
    <row r="641" spans="1:7" x14ac:dyDescent="0.25">
      <c r="A641" s="37">
        <v>45495</v>
      </c>
      <c r="B641" s="38">
        <v>54182.330322265603</v>
      </c>
      <c r="C641" s="39">
        <f t="shared" si="39"/>
        <v>1.0310082054098446E-2</v>
      </c>
      <c r="D641" s="38">
        <f>MAX($B$2:B641)</f>
        <v>55179.7119140625</v>
      </c>
      <c r="E641" s="40">
        <f t="shared" si="36"/>
        <v>-1.807515039857821E-2</v>
      </c>
      <c r="F641" s="41">
        <f t="shared" si="37"/>
        <v>120.54274450035598</v>
      </c>
      <c r="G641" s="42" t="str">
        <f t="shared" si="38"/>
        <v>2024-07</v>
      </c>
    </row>
    <row r="642" spans="1:7" x14ac:dyDescent="0.25">
      <c r="A642" s="31">
        <v>45496</v>
      </c>
      <c r="B642" s="32">
        <v>54097.3388671875</v>
      </c>
      <c r="C642" s="33">
        <f t="shared" si="39"/>
        <v>-1.5686194110254847E-3</v>
      </c>
      <c r="D642" s="32">
        <f>MAX($B$2:B642)</f>
        <v>55179.7119140625</v>
      </c>
      <c r="E642" s="34">
        <f t="shared" ref="E642:E705" si="40">B642/D642-1</f>
        <v>-1.9615416777831296E-2</v>
      </c>
      <c r="F642" s="35">
        <f t="shared" ref="F642:F705" si="41">B642/$B$2*100</f>
        <v>120.35365881147445</v>
      </c>
      <c r="G642" s="36" t="str">
        <f t="shared" ref="G642:G705" si="42">TEXT(A642,"YYYY-MM")</f>
        <v>2024-07</v>
      </c>
    </row>
    <row r="643" spans="1:7" x14ac:dyDescent="0.25">
      <c r="A643" s="37">
        <v>45497</v>
      </c>
      <c r="B643" s="38">
        <v>52871.356201171897</v>
      </c>
      <c r="C643" s="39">
        <f t="shared" ref="C643:C706" si="43">B643/B642-1</f>
        <v>-2.2662531867334024E-2</v>
      </c>
      <c r="D643" s="38">
        <f>MAX($B$2:B643)</f>
        <v>55179.7119140625</v>
      </c>
      <c r="E643" s="40">
        <f t="shared" si="40"/>
        <v>-4.1833413637346717E-2</v>
      </c>
      <c r="F643" s="41">
        <f t="shared" si="41"/>
        <v>117.62614018330915</v>
      </c>
      <c r="G643" s="42" t="str">
        <f t="shared" si="42"/>
        <v>2024-07</v>
      </c>
    </row>
    <row r="644" spans="1:7" x14ac:dyDescent="0.25">
      <c r="A644" s="31">
        <v>45498</v>
      </c>
      <c r="B644" s="32">
        <v>52595.867919921897</v>
      </c>
      <c r="C644" s="33">
        <f t="shared" si="43"/>
        <v>-5.2105393363049979E-3</v>
      </c>
      <c r="D644" s="32">
        <f>MAX($B$2:B644)</f>
        <v>55179.7119140625</v>
      </c>
      <c r="E644" s="34">
        <f t="shared" si="40"/>
        <v>-4.6825978326322404E-2</v>
      </c>
      <c r="F644" s="35">
        <f t="shared" si="41"/>
        <v>117.01324455290629</v>
      </c>
      <c r="G644" s="36" t="str">
        <f t="shared" si="42"/>
        <v>2024-07</v>
      </c>
    </row>
    <row r="645" spans="1:7" x14ac:dyDescent="0.25">
      <c r="A645" s="37">
        <v>45499</v>
      </c>
      <c r="B645" s="38">
        <v>53184.942626953103</v>
      </c>
      <c r="C645" s="39">
        <f t="shared" si="43"/>
        <v>1.1200018752957508E-2</v>
      </c>
      <c r="D645" s="38">
        <f>MAX($B$2:B645)</f>
        <v>55179.7119140625</v>
      </c>
      <c r="E645" s="40">
        <f t="shared" si="40"/>
        <v>-3.6150411408745198E-2</v>
      </c>
      <c r="F645" s="41">
        <f t="shared" si="41"/>
        <v>118.32379508624327</v>
      </c>
      <c r="G645" s="42" t="str">
        <f t="shared" si="42"/>
        <v>2024-07</v>
      </c>
    </row>
    <row r="646" spans="1:7" x14ac:dyDescent="0.25">
      <c r="A646" s="31">
        <v>45502</v>
      </c>
      <c r="B646" s="32">
        <v>53216.198730468801</v>
      </c>
      <c r="C646" s="33">
        <f t="shared" si="43"/>
        <v>5.8768707780565421E-4</v>
      </c>
      <c r="D646" s="32">
        <f>MAX($B$2:B646)</f>
        <v>55179.7119140625</v>
      </c>
      <c r="E646" s="34">
        <f t="shared" si="40"/>
        <v>-3.5583969460581732E-2</v>
      </c>
      <c r="F646" s="35">
        <f t="shared" si="41"/>
        <v>118.39333245161237</v>
      </c>
      <c r="G646" s="36" t="str">
        <f t="shared" si="42"/>
        <v>2024-07</v>
      </c>
    </row>
    <row r="647" spans="1:7" x14ac:dyDescent="0.25">
      <c r="A647" s="37">
        <v>45503</v>
      </c>
      <c r="B647" s="38">
        <v>52946.563720703103</v>
      </c>
      <c r="C647" s="39">
        <f t="shared" si="43"/>
        <v>-5.0667844791273398E-3</v>
      </c>
      <c r="D647" s="38">
        <f>MAX($B$2:B647)</f>
        <v>55179.7119140625</v>
      </c>
      <c r="E647" s="40">
        <f t="shared" si="40"/>
        <v>-4.0470457635540469E-2</v>
      </c>
      <c r="F647" s="41">
        <f t="shared" si="41"/>
        <v>117.79345895231437</v>
      </c>
      <c r="G647" s="42" t="str">
        <f t="shared" si="42"/>
        <v>2024-07</v>
      </c>
    </row>
    <row r="648" spans="1:7" x14ac:dyDescent="0.25">
      <c r="A648" s="31">
        <v>45504</v>
      </c>
      <c r="B648" s="32">
        <v>53807.196044921897</v>
      </c>
      <c r="C648" s="33">
        <f t="shared" si="43"/>
        <v>1.6254734278105198E-2</v>
      </c>
      <c r="D648" s="32">
        <f>MAX($B$2:B648)</f>
        <v>55179.7119140625</v>
      </c>
      <c r="E648" s="34">
        <f t="shared" si="40"/>
        <v>-2.4873559892414354E-2</v>
      </c>
      <c r="F648" s="35">
        <f t="shared" si="41"/>
        <v>119.70816032728312</v>
      </c>
      <c r="G648" s="36" t="str">
        <f t="shared" si="42"/>
        <v>2024-07</v>
      </c>
    </row>
    <row r="649" spans="1:7" x14ac:dyDescent="0.25">
      <c r="A649" s="37">
        <v>45505</v>
      </c>
      <c r="B649" s="38">
        <v>53045.2392578125</v>
      </c>
      <c r="C649" s="39">
        <f t="shared" si="43"/>
        <v>-1.4160871465468405E-2</v>
      </c>
      <c r="D649" s="38">
        <f>MAX($B$2:B649)</f>
        <v>55179.7119140625</v>
      </c>
      <c r="E649" s="40">
        <f t="shared" si="40"/>
        <v>-3.8682200073357653E-2</v>
      </c>
      <c r="F649" s="41">
        <f t="shared" si="41"/>
        <v>118.0129884555208</v>
      </c>
      <c r="G649" s="42" t="str">
        <f t="shared" si="42"/>
        <v>2024-08</v>
      </c>
    </row>
    <row r="650" spans="1:7" x14ac:dyDescent="0.25">
      <c r="A650" s="31">
        <v>45506</v>
      </c>
      <c r="B650" s="32">
        <v>52057.6171875</v>
      </c>
      <c r="C650" s="33">
        <f t="shared" si="43"/>
        <v>-1.8618486486834729E-2</v>
      </c>
      <c r="D650" s="32">
        <f>MAX($B$2:B650)</f>
        <v>55179.7119140625</v>
      </c>
      <c r="E650" s="34">
        <f t="shared" si="40"/>
        <v>-5.6580482540845578E-2</v>
      </c>
      <c r="F650" s="35">
        <f t="shared" si="41"/>
        <v>115.81576522469071</v>
      </c>
      <c r="G650" s="36" t="str">
        <f t="shared" si="42"/>
        <v>2024-08</v>
      </c>
    </row>
    <row r="651" spans="1:7" x14ac:dyDescent="0.25">
      <c r="A651" s="37">
        <v>45509</v>
      </c>
      <c r="B651" s="38">
        <v>50541.510009765603</v>
      </c>
      <c r="C651" s="39">
        <f t="shared" si="43"/>
        <v>-2.9123637608569619E-2</v>
      </c>
      <c r="D651" s="38">
        <f>MAX($B$2:B651)</f>
        <v>55179.7119140625</v>
      </c>
      <c r="E651" s="40">
        <f t="shared" si="40"/>
        <v>-8.4056290680177614E-2</v>
      </c>
      <c r="F651" s="41">
        <f t="shared" si="41"/>
        <v>112.44278884892762</v>
      </c>
      <c r="G651" s="42" t="str">
        <f t="shared" si="42"/>
        <v>2024-08</v>
      </c>
    </row>
    <row r="652" spans="1:7" x14ac:dyDescent="0.25">
      <c r="A652" s="31">
        <v>45510</v>
      </c>
      <c r="B652" s="32">
        <v>51007.489013671897</v>
      </c>
      <c r="C652" s="33">
        <f t="shared" si="43"/>
        <v>9.219728571945307E-3</v>
      </c>
      <c r="D652" s="32">
        <f>MAX($B$2:B652)</f>
        <v>55179.7119140625</v>
      </c>
      <c r="E652" s="34">
        <f t="shared" si="40"/>
        <v>-7.5611538293068103E-2</v>
      </c>
      <c r="F652" s="35">
        <f t="shared" si="41"/>
        <v>113.4794808419873</v>
      </c>
      <c r="G652" s="36" t="str">
        <f t="shared" si="42"/>
        <v>2024-08</v>
      </c>
    </row>
    <row r="653" spans="1:7" x14ac:dyDescent="0.25">
      <c r="A653" s="37">
        <v>45511</v>
      </c>
      <c r="B653" s="38">
        <v>50666.546630859397</v>
      </c>
      <c r="C653" s="39">
        <f t="shared" si="43"/>
        <v>-6.6841632357380609E-3</v>
      </c>
      <c r="D653" s="38">
        <f>MAX($B$2:B653)</f>
        <v>55179.7119140625</v>
      </c>
      <c r="E653" s="40">
        <f t="shared" si="40"/>
        <v>-8.1790301664350085E-2</v>
      </c>
      <c r="F653" s="41">
        <f t="shared" si="41"/>
        <v>112.72096546813263</v>
      </c>
      <c r="G653" s="42" t="str">
        <f t="shared" si="42"/>
        <v>2024-08</v>
      </c>
    </row>
    <row r="654" spans="1:7" x14ac:dyDescent="0.25">
      <c r="A654" s="31">
        <v>45512</v>
      </c>
      <c r="B654" s="32">
        <v>51837.8173828125</v>
      </c>
      <c r="C654" s="33">
        <f t="shared" si="43"/>
        <v>2.3117240661508109E-2</v>
      </c>
      <c r="D654" s="32">
        <f>MAX($B$2:B654)</f>
        <v>55179.7119140625</v>
      </c>
      <c r="E654" s="34">
        <f t="shared" si="40"/>
        <v>-6.0563827090194033E-2</v>
      </c>
      <c r="F654" s="35">
        <f t="shared" si="41"/>
        <v>115.326763154457</v>
      </c>
      <c r="G654" s="36" t="str">
        <f t="shared" si="42"/>
        <v>2024-08</v>
      </c>
    </row>
    <row r="655" spans="1:7" x14ac:dyDescent="0.25">
      <c r="A655" s="37">
        <v>45513</v>
      </c>
      <c r="B655" s="38">
        <v>52066.412353515603</v>
      </c>
      <c r="C655" s="39">
        <f t="shared" si="43"/>
        <v>4.4098108725330043E-3</v>
      </c>
      <c r="D655" s="38">
        <f>MAX($B$2:B655)</f>
        <v>55179.7119140625</v>
      </c>
      <c r="E655" s="40">
        <f t="shared" si="40"/>
        <v>-5.64210912408456E-2</v>
      </c>
      <c r="F655" s="41">
        <f t="shared" si="41"/>
        <v>115.83533236850955</v>
      </c>
      <c r="G655" s="42" t="str">
        <f t="shared" si="42"/>
        <v>2024-08</v>
      </c>
    </row>
    <row r="656" spans="1:7" x14ac:dyDescent="0.25">
      <c r="A656" s="31">
        <v>45516</v>
      </c>
      <c r="B656" s="32">
        <v>52093.768310546897</v>
      </c>
      <c r="C656" s="33">
        <f t="shared" si="43"/>
        <v>5.2540507007781123E-4</v>
      </c>
      <c r="D656" s="32">
        <f>MAX($B$2:B656)</f>
        <v>55179.7119140625</v>
      </c>
      <c r="E656" s="34">
        <f t="shared" si="40"/>
        <v>-5.5925330098165138E-2</v>
      </c>
      <c r="F656" s="35">
        <f t="shared" si="41"/>
        <v>115.89619283943011</v>
      </c>
      <c r="G656" s="36" t="str">
        <f t="shared" si="42"/>
        <v>2024-08</v>
      </c>
    </row>
    <row r="657" spans="1:7" x14ac:dyDescent="0.25">
      <c r="A657" s="37">
        <v>45517</v>
      </c>
      <c r="B657" s="38">
        <v>52950.4638671875</v>
      </c>
      <c r="C657" s="39">
        <f t="shared" si="43"/>
        <v>1.6445259853992145E-2</v>
      </c>
      <c r="D657" s="38">
        <f>MAX($B$2:B657)</f>
        <v>55179.7119140625</v>
      </c>
      <c r="E657" s="40">
        <f t="shared" si="40"/>
        <v>-4.0399776830057688E-2</v>
      </c>
      <c r="F657" s="41">
        <f t="shared" si="41"/>
        <v>117.80213584676294</v>
      </c>
      <c r="G657" s="42" t="str">
        <f t="shared" si="42"/>
        <v>2024-08</v>
      </c>
    </row>
    <row r="658" spans="1:7" x14ac:dyDescent="0.25">
      <c r="A658" s="31">
        <v>45518</v>
      </c>
      <c r="B658" s="32">
        <v>53117.523193359397</v>
      </c>
      <c r="C658" s="33">
        <f t="shared" si="43"/>
        <v>3.1550115706431292E-3</v>
      </c>
      <c r="D658" s="32">
        <f>MAX($B$2:B658)</f>
        <v>55179.7119140625</v>
      </c>
      <c r="E658" s="34">
        <f t="shared" si="40"/>
        <v>-3.737222702276477E-2</v>
      </c>
      <c r="F658" s="35">
        <f t="shared" si="41"/>
        <v>118.17380294840594</v>
      </c>
      <c r="G658" s="36" t="str">
        <f t="shared" si="42"/>
        <v>2024-08</v>
      </c>
    </row>
    <row r="659" spans="1:7" x14ac:dyDescent="0.25">
      <c r="A659" s="37">
        <v>45519</v>
      </c>
      <c r="B659" s="38">
        <v>54027.978515625</v>
      </c>
      <c r="C659" s="39">
        <f t="shared" si="43"/>
        <v>1.7140394874048281E-2</v>
      </c>
      <c r="D659" s="38">
        <f>MAX($B$2:B659)</f>
        <v>55179.7119140625</v>
      </c>
      <c r="E659" s="40">
        <f t="shared" si="40"/>
        <v>-2.0872406877209149E-2</v>
      </c>
      <c r="F659" s="41">
        <f t="shared" si="41"/>
        <v>120.1993485947096</v>
      </c>
      <c r="G659" s="42" t="str">
        <f t="shared" si="42"/>
        <v>2024-08</v>
      </c>
    </row>
    <row r="660" spans="1:7" x14ac:dyDescent="0.25">
      <c r="A660" s="31">
        <v>45520</v>
      </c>
      <c r="B660" s="32">
        <v>54149.108886718801</v>
      </c>
      <c r="C660" s="33">
        <f t="shared" si="43"/>
        <v>2.2419933971575823E-3</v>
      </c>
      <c r="D660" s="32">
        <f>MAX($B$2:B660)</f>
        <v>55179.7119140625</v>
      </c>
      <c r="E660" s="34">
        <f t="shared" si="40"/>
        <v>-1.8677209278453177E-2</v>
      </c>
      <c r="F660" s="35">
        <f t="shared" si="41"/>
        <v>120.46883474060157</v>
      </c>
      <c r="G660" s="36" t="str">
        <f t="shared" si="42"/>
        <v>2024-08</v>
      </c>
    </row>
    <row r="661" spans="1:7" x14ac:dyDescent="0.25">
      <c r="A661" s="37">
        <v>45523</v>
      </c>
      <c r="B661" s="38">
        <v>54666.839599609397</v>
      </c>
      <c r="C661" s="39">
        <f t="shared" si="43"/>
        <v>9.5612046723372313E-3</v>
      </c>
      <c r="D661" s="38">
        <f>MAX($B$2:B661)</f>
        <v>55179.7119140625</v>
      </c>
      <c r="E661" s="40">
        <f t="shared" si="40"/>
        <v>-9.2945812267352101E-3</v>
      </c>
      <c r="F661" s="41">
        <f t="shared" si="41"/>
        <v>121.62066192619443</v>
      </c>
      <c r="G661" s="42" t="str">
        <f t="shared" si="42"/>
        <v>2024-08</v>
      </c>
    </row>
    <row r="662" spans="1:7" x14ac:dyDescent="0.25">
      <c r="A662" s="31">
        <v>45524</v>
      </c>
      <c r="B662" s="32">
        <v>54577.947998046897</v>
      </c>
      <c r="C662" s="33">
        <f t="shared" si="43"/>
        <v>-1.6260607383481451E-3</v>
      </c>
      <c r="D662" s="32">
        <f>MAX($B$2:B662)</f>
        <v>55179.7119140625</v>
      </c>
      <c r="E662" s="34">
        <f t="shared" si="40"/>
        <v>-1.0905528411471188E-2</v>
      </c>
      <c r="F662" s="35">
        <f t="shared" si="41"/>
        <v>121.42289934286434</v>
      </c>
      <c r="G662" s="36" t="str">
        <f t="shared" si="42"/>
        <v>2024-08</v>
      </c>
    </row>
    <row r="663" spans="1:7" x14ac:dyDescent="0.25">
      <c r="A663" s="37">
        <v>45525</v>
      </c>
      <c r="B663" s="38">
        <v>54765.515136718801</v>
      </c>
      <c r="C663" s="39">
        <f t="shared" si="43"/>
        <v>3.436683597533241E-3</v>
      </c>
      <c r="D663" s="38">
        <f>MAX($B$2:B663)</f>
        <v>55179.7119140625</v>
      </c>
      <c r="E663" s="40">
        <f t="shared" si="40"/>
        <v>-7.5063236645521725E-3</v>
      </c>
      <c r="F663" s="41">
        <f t="shared" si="41"/>
        <v>121.84019142940087</v>
      </c>
      <c r="G663" s="42" t="str">
        <f t="shared" si="42"/>
        <v>2024-08</v>
      </c>
    </row>
    <row r="664" spans="1:7" x14ac:dyDescent="0.25">
      <c r="A664" s="31">
        <v>45526</v>
      </c>
      <c r="B664" s="32">
        <v>54335.687255859397</v>
      </c>
      <c r="C664" s="33">
        <f t="shared" si="43"/>
        <v>-7.8485134264940637E-3</v>
      </c>
      <c r="D664" s="32">
        <f>MAX($B$2:B664)</f>
        <v>55179.7119140625</v>
      </c>
      <c r="E664" s="34">
        <f t="shared" si="40"/>
        <v>-1.5295923608981465E-2</v>
      </c>
      <c r="F664" s="35">
        <f t="shared" si="41"/>
        <v>120.88392705108062</v>
      </c>
      <c r="G664" s="36" t="str">
        <f t="shared" si="42"/>
        <v>2024-08</v>
      </c>
    </row>
    <row r="665" spans="1:7" x14ac:dyDescent="0.25">
      <c r="A665" s="37">
        <v>45527</v>
      </c>
      <c r="B665" s="38">
        <v>54913.024902343801</v>
      </c>
      <c r="C665" s="39">
        <f t="shared" si="43"/>
        <v>1.0625385922990116E-2</v>
      </c>
      <c r="D665" s="38">
        <f>MAX($B$2:B665)</f>
        <v>55179.7119140625</v>
      </c>
      <c r="E665" s="40">
        <f t="shared" si="40"/>
        <v>-4.8330627773852664E-3</v>
      </c>
      <c r="F665" s="41">
        <f t="shared" si="41"/>
        <v>122.16836542788494</v>
      </c>
      <c r="G665" s="42" t="str">
        <f t="shared" si="42"/>
        <v>2024-08</v>
      </c>
    </row>
    <row r="666" spans="1:7" x14ac:dyDescent="0.25">
      <c r="A666" s="31">
        <v>45530</v>
      </c>
      <c r="B666" s="32">
        <v>54782.122802734397</v>
      </c>
      <c r="C666" s="33">
        <f t="shared" si="43"/>
        <v>-2.3838078459927914E-3</v>
      </c>
      <c r="D666" s="32">
        <f>MAX($B$2:B666)</f>
        <v>55179.7119140625</v>
      </c>
      <c r="E666" s="34">
        <f t="shared" si="40"/>
        <v>-7.2053495304091886E-3</v>
      </c>
      <c r="F666" s="35">
        <f t="shared" si="41"/>
        <v>121.87713951984583</v>
      </c>
      <c r="G666" s="36" t="str">
        <f t="shared" si="42"/>
        <v>2024-08</v>
      </c>
    </row>
    <row r="667" spans="1:7" x14ac:dyDescent="0.25">
      <c r="A667" s="37">
        <v>45531</v>
      </c>
      <c r="B667" s="38">
        <v>54857.336425781301</v>
      </c>
      <c r="C667" s="39">
        <f t="shared" si="43"/>
        <v>1.3729592647904187E-3</v>
      </c>
      <c r="D667" s="38">
        <f>MAX($B$2:B667)</f>
        <v>55179.7119140625</v>
      </c>
      <c r="E667" s="40">
        <f t="shared" si="40"/>
        <v>-5.8422829170124979E-3</v>
      </c>
      <c r="F667" s="41">
        <f t="shared" si="41"/>
        <v>122.04447186771577</v>
      </c>
      <c r="G667" s="42" t="str">
        <f t="shared" si="42"/>
        <v>2024-08</v>
      </c>
    </row>
    <row r="668" spans="1:7" x14ac:dyDescent="0.25">
      <c r="A668" s="31">
        <v>45532</v>
      </c>
      <c r="B668" s="32">
        <v>54538.885498046897</v>
      </c>
      <c r="C668" s="33">
        <f t="shared" si="43"/>
        <v>-5.8050745530682235E-3</v>
      </c>
      <c r="D668" s="32">
        <f>MAX($B$2:B668)</f>
        <v>55179.7119140625</v>
      </c>
      <c r="E668" s="34">
        <f t="shared" si="40"/>
        <v>-1.1613442582187328E-2</v>
      </c>
      <c r="F668" s="35">
        <f t="shared" si="41"/>
        <v>121.33599460973383</v>
      </c>
      <c r="G668" s="36" t="str">
        <f t="shared" si="42"/>
        <v>2024-08</v>
      </c>
    </row>
    <row r="669" spans="1:7" x14ac:dyDescent="0.25">
      <c r="A669" s="37">
        <v>45533</v>
      </c>
      <c r="B669" s="38">
        <v>54543.756103515603</v>
      </c>
      <c r="C669" s="39">
        <f t="shared" si="43"/>
        <v>8.9305188843313843E-5</v>
      </c>
      <c r="D669" s="38">
        <f>MAX($B$2:B669)</f>
        <v>55179.7119140625</v>
      </c>
      <c r="E669" s="40">
        <f t="shared" si="40"/>
        <v>-1.1525174534026905E-2</v>
      </c>
      <c r="F669" s="41">
        <f t="shared" si="41"/>
        <v>121.34683054364595</v>
      </c>
      <c r="G669" s="42" t="str">
        <f t="shared" si="42"/>
        <v>2024-08</v>
      </c>
    </row>
    <row r="670" spans="1:7" x14ac:dyDescent="0.25">
      <c r="A670" s="31">
        <v>45534</v>
      </c>
      <c r="B670" s="32">
        <v>55064.440917968801</v>
      </c>
      <c r="C670" s="33">
        <f t="shared" si="43"/>
        <v>9.5461855150755781E-3</v>
      </c>
      <c r="D670" s="32">
        <f>MAX($B$2:B670)</f>
        <v>55179.7119140625</v>
      </c>
      <c r="E670" s="34">
        <f t="shared" si="40"/>
        <v>-2.0890104731468018E-3</v>
      </c>
      <c r="F670" s="35">
        <f t="shared" si="41"/>
        <v>122.50522989968205</v>
      </c>
      <c r="G670" s="36" t="str">
        <f t="shared" si="42"/>
        <v>2024-08</v>
      </c>
    </row>
    <row r="671" spans="1:7" x14ac:dyDescent="0.25">
      <c r="A671" s="37">
        <v>45538</v>
      </c>
      <c r="B671" s="38">
        <v>53931.268310546897</v>
      </c>
      <c r="C671" s="39">
        <f t="shared" si="43"/>
        <v>-2.0579026837120318E-2</v>
      </c>
      <c r="D671" s="38">
        <f>MAX($B$2:B671)</f>
        <v>55179.7119140625</v>
      </c>
      <c r="E671" s="40">
        <f t="shared" si="40"/>
        <v>-2.2625047507677132E-2</v>
      </c>
      <c r="F671" s="41">
        <f t="shared" si="41"/>
        <v>119.9841914858889</v>
      </c>
      <c r="G671" s="42" t="str">
        <f t="shared" si="42"/>
        <v>2024-09</v>
      </c>
    </row>
    <row r="672" spans="1:7" x14ac:dyDescent="0.25">
      <c r="A672" s="31">
        <v>45539</v>
      </c>
      <c r="B672" s="32">
        <v>53820.8740234375</v>
      </c>
      <c r="C672" s="33">
        <f t="shared" si="43"/>
        <v>-2.0469440190749033E-3</v>
      </c>
      <c r="D672" s="32">
        <f>MAX($B$2:B672)</f>
        <v>55179.7119140625</v>
      </c>
      <c r="E672" s="34">
        <f t="shared" si="40"/>
        <v>-2.4625679321074956E-2</v>
      </c>
      <c r="F672" s="35">
        <f t="shared" si="41"/>
        <v>119.73859056274333</v>
      </c>
      <c r="G672" s="36" t="str">
        <f t="shared" si="42"/>
        <v>2024-09</v>
      </c>
    </row>
    <row r="673" spans="1:7" x14ac:dyDescent="0.25">
      <c r="A673" s="37">
        <v>45540</v>
      </c>
      <c r="B673" s="38">
        <v>53689.971923828103</v>
      </c>
      <c r="C673" s="39">
        <f t="shared" si="43"/>
        <v>-2.4321808589060634E-3</v>
      </c>
      <c r="D673" s="38">
        <f>MAX($B$2:B673)</f>
        <v>55179.7119140625</v>
      </c>
      <c r="E673" s="40">
        <f t="shared" si="40"/>
        <v>-2.6997966074098656E-2</v>
      </c>
      <c r="F673" s="41">
        <f t="shared" si="41"/>
        <v>119.44736465470423</v>
      </c>
      <c r="G673" s="42" t="str">
        <f t="shared" si="42"/>
        <v>2024-09</v>
      </c>
    </row>
    <row r="674" spans="1:7" x14ac:dyDescent="0.25">
      <c r="A674" s="31">
        <v>45541</v>
      </c>
      <c r="B674" s="32">
        <v>52786.364746093801</v>
      </c>
      <c r="C674" s="33">
        <f t="shared" si="43"/>
        <v>-1.6830092200761149E-2</v>
      </c>
      <c r="D674" s="32">
        <f>MAX($B$2:B674)</f>
        <v>55179.7119140625</v>
      </c>
      <c r="E674" s="34">
        <f t="shared" si="40"/>
        <v>-4.3373680016599692E-2</v>
      </c>
      <c r="F674" s="35">
        <f t="shared" si="41"/>
        <v>117.43705449442763</v>
      </c>
      <c r="G674" s="36" t="str">
        <f t="shared" si="42"/>
        <v>2024-09</v>
      </c>
    </row>
    <row r="675" spans="1:7" x14ac:dyDescent="0.25">
      <c r="A675" s="37">
        <v>45544</v>
      </c>
      <c r="B675" s="38">
        <v>53377.3681640625</v>
      </c>
      <c r="C675" s="39">
        <f t="shared" si="43"/>
        <v>1.1196137881656965E-2</v>
      </c>
      <c r="D675" s="38">
        <f>MAX($B$2:B675)</f>
        <v>55179.7119140625</v>
      </c>
      <c r="E675" s="40">
        <f t="shared" si="40"/>
        <v>-3.2663159836843536E-2</v>
      </c>
      <c r="F675" s="41">
        <f t="shared" si="41"/>
        <v>118.7518959489629</v>
      </c>
      <c r="G675" s="42" t="str">
        <f t="shared" si="42"/>
        <v>2024-09</v>
      </c>
    </row>
    <row r="676" spans="1:7" x14ac:dyDescent="0.25">
      <c r="A676" s="31">
        <v>45545</v>
      </c>
      <c r="B676" s="32">
        <v>53609.869384765603</v>
      </c>
      <c r="C676" s="33">
        <f t="shared" si="43"/>
        <v>4.3558015072695522E-3</v>
      </c>
      <c r="D676" s="32">
        <f>MAX($B$2:B676)</f>
        <v>55179.7119140625</v>
      </c>
      <c r="E676" s="34">
        <f t="shared" si="40"/>
        <v>-2.8449632570423433E-2</v>
      </c>
      <c r="F676" s="35">
        <f t="shared" si="41"/>
        <v>119.26915563632849</v>
      </c>
      <c r="G676" s="36" t="str">
        <f t="shared" si="42"/>
        <v>2024-09</v>
      </c>
    </row>
    <row r="677" spans="1:7" x14ac:dyDescent="0.25">
      <c r="A677" s="37">
        <v>45546</v>
      </c>
      <c r="B677" s="38">
        <v>54159.851074218801</v>
      </c>
      <c r="C677" s="39">
        <f t="shared" si="43"/>
        <v>1.0258963429026435E-2</v>
      </c>
      <c r="D677" s="38">
        <f>MAX($B$2:B677)</f>
        <v>55179.7119140625</v>
      </c>
      <c r="E677" s="40">
        <f t="shared" si="40"/>
        <v>-1.8482532881506142E-2</v>
      </c>
      <c r="F677" s="41">
        <f t="shared" si="41"/>
        <v>120.49273354221246</v>
      </c>
      <c r="G677" s="42" t="str">
        <f t="shared" si="42"/>
        <v>2024-09</v>
      </c>
    </row>
    <row r="678" spans="1:7" x14ac:dyDescent="0.25">
      <c r="A678" s="31">
        <v>45547</v>
      </c>
      <c r="B678" s="32">
        <v>54616.052246093801</v>
      </c>
      <c r="C678" s="33">
        <f t="shared" si="43"/>
        <v>8.423235345493163E-3</v>
      </c>
      <c r="D678" s="32">
        <f>MAX($B$2:B678)</f>
        <v>55179.7119140625</v>
      </c>
      <c r="E678" s="34">
        <f t="shared" si="40"/>
        <v>-1.0214980260254913E-2</v>
      </c>
      <c r="F678" s="35">
        <f t="shared" si="41"/>
        <v>121.50767219426031</v>
      </c>
      <c r="G678" s="36" t="str">
        <f t="shared" si="42"/>
        <v>2024-09</v>
      </c>
    </row>
    <row r="679" spans="1:7" x14ac:dyDescent="0.25">
      <c r="A679" s="37">
        <v>45548</v>
      </c>
      <c r="B679" s="38">
        <v>54901.2939453125</v>
      </c>
      <c r="C679" s="39">
        <f t="shared" si="43"/>
        <v>5.2226714946996822E-3</v>
      </c>
      <c r="D679" s="38">
        <f>MAX($B$2:B679)</f>
        <v>55179.7119140625</v>
      </c>
      <c r="E679" s="40">
        <f t="shared" si="40"/>
        <v>-5.0456582517793835E-3</v>
      </c>
      <c r="F679" s="41">
        <f t="shared" si="41"/>
        <v>122.14226685021656</v>
      </c>
      <c r="G679" s="42" t="str">
        <f t="shared" si="42"/>
        <v>2024-09</v>
      </c>
    </row>
    <row r="680" spans="1:7" x14ac:dyDescent="0.25">
      <c r="A680" s="31">
        <v>45551</v>
      </c>
      <c r="B680" s="32">
        <v>54982.373046875</v>
      </c>
      <c r="C680" s="33">
        <f t="shared" si="43"/>
        <v>1.476815858716618E-3</v>
      </c>
      <c r="D680" s="32">
        <f>MAX($B$2:B680)</f>
        <v>55179.7119140625</v>
      </c>
      <c r="E680" s="34">
        <f t="shared" si="40"/>
        <v>-3.5762939011866335E-3</v>
      </c>
      <c r="F680" s="35">
        <f t="shared" si="41"/>
        <v>122.32264848692056</v>
      </c>
      <c r="G680" s="36" t="str">
        <f t="shared" si="42"/>
        <v>2024-09</v>
      </c>
    </row>
    <row r="681" spans="1:7" x14ac:dyDescent="0.25">
      <c r="A681" s="37">
        <v>45552</v>
      </c>
      <c r="B681" s="38">
        <v>55004.846191406301</v>
      </c>
      <c r="C681" s="39">
        <f t="shared" si="43"/>
        <v>4.087336229039451E-4</v>
      </c>
      <c r="D681" s="38">
        <f>MAX($B$2:B681)</f>
        <v>55179.7119140625</v>
      </c>
      <c r="E681" s="40">
        <f t="shared" si="40"/>
        <v>-3.1690220298455918E-3</v>
      </c>
      <c r="F681" s="41">
        <f t="shared" si="41"/>
        <v>122.37264586619983</v>
      </c>
      <c r="G681" s="42" t="str">
        <f t="shared" si="42"/>
        <v>2024-09</v>
      </c>
    </row>
    <row r="682" spans="1:7" x14ac:dyDescent="0.25">
      <c r="A682" s="31">
        <v>45553</v>
      </c>
      <c r="B682" s="32">
        <v>54841.717529296897</v>
      </c>
      <c r="C682" s="33">
        <f t="shared" si="43"/>
        <v>-2.9657143579994161E-3</v>
      </c>
      <c r="D682" s="32">
        <f>MAX($B$2:B682)</f>
        <v>55179.7119140625</v>
      </c>
      <c r="E682" s="34">
        <f t="shared" si="40"/>
        <v>-6.1253379737102875E-3</v>
      </c>
      <c r="F682" s="35">
        <f t="shared" si="41"/>
        <v>122.00972355332804</v>
      </c>
      <c r="G682" s="36" t="str">
        <f t="shared" si="42"/>
        <v>2024-09</v>
      </c>
    </row>
    <row r="683" spans="1:7" x14ac:dyDescent="0.25">
      <c r="A683" s="37">
        <v>45554</v>
      </c>
      <c r="B683" s="38">
        <v>55777.5634765625</v>
      </c>
      <c r="C683" s="39">
        <f t="shared" si="43"/>
        <v>1.7064490125891174E-2</v>
      </c>
      <c r="D683" s="38">
        <f>MAX($B$2:B683)</f>
        <v>55777.5634765625</v>
      </c>
      <c r="E683" s="40">
        <f t="shared" si="40"/>
        <v>0</v>
      </c>
      <c r="F683" s="41">
        <f t="shared" si="41"/>
        <v>124.09175727616653</v>
      </c>
      <c r="G683" s="42" t="str">
        <f t="shared" si="42"/>
        <v>2024-09</v>
      </c>
    </row>
    <row r="684" spans="1:7" x14ac:dyDescent="0.25">
      <c r="A684" s="31">
        <v>45555</v>
      </c>
      <c r="B684" s="32">
        <v>55681.134033203103</v>
      </c>
      <c r="C684" s="33">
        <f t="shared" si="43"/>
        <v>-1.7288213638072536E-3</v>
      </c>
      <c r="D684" s="32">
        <f>MAX($B$2:B684)</f>
        <v>55777.5634765625</v>
      </c>
      <c r="E684" s="34">
        <f t="shared" si="40"/>
        <v>-1.7288213638072536E-3</v>
      </c>
      <c r="F684" s="35">
        <f t="shared" si="41"/>
        <v>123.87722479511511</v>
      </c>
      <c r="G684" s="36" t="str">
        <f t="shared" si="42"/>
        <v>2024-09</v>
      </c>
    </row>
    <row r="685" spans="1:7" x14ac:dyDescent="0.25">
      <c r="A685" s="37">
        <v>45558</v>
      </c>
      <c r="B685" s="38">
        <v>55820.269775390603</v>
      </c>
      <c r="C685" s="39">
        <f t="shared" si="43"/>
        <v>2.4987950515615864E-3</v>
      </c>
      <c r="D685" s="38">
        <f>MAX($B$2:B685)</f>
        <v>55820.269775390603</v>
      </c>
      <c r="E685" s="40">
        <f t="shared" si="40"/>
        <v>0</v>
      </c>
      <c r="F685" s="41">
        <f t="shared" si="41"/>
        <v>124.18676859143432</v>
      </c>
      <c r="G685" s="42" t="str">
        <f t="shared" si="42"/>
        <v>2024-09</v>
      </c>
    </row>
    <row r="686" spans="1:7" x14ac:dyDescent="0.25">
      <c r="A686" s="31">
        <v>45559</v>
      </c>
      <c r="B686" s="32">
        <v>55979.998779296897</v>
      </c>
      <c r="C686" s="33">
        <f t="shared" si="43"/>
        <v>2.8614874945787072E-3</v>
      </c>
      <c r="D686" s="32">
        <f>MAX($B$2:B686)</f>
        <v>55979.998779296897</v>
      </c>
      <c r="E686" s="34">
        <f t="shared" si="40"/>
        <v>0</v>
      </c>
      <c r="F686" s="35">
        <f t="shared" si="41"/>
        <v>124.54212747675086</v>
      </c>
      <c r="G686" s="36" t="str">
        <f t="shared" si="42"/>
        <v>2024-09</v>
      </c>
    </row>
    <row r="687" spans="1:7" x14ac:dyDescent="0.25">
      <c r="A687" s="37">
        <v>45560</v>
      </c>
      <c r="B687" s="38">
        <v>55856.524658203103</v>
      </c>
      <c r="C687" s="39">
        <f t="shared" si="43"/>
        <v>-2.2056828114733751E-3</v>
      </c>
      <c r="D687" s="38">
        <f>MAX($B$2:B687)</f>
        <v>55979.998779296897</v>
      </c>
      <c r="E687" s="40">
        <f t="shared" si="40"/>
        <v>-2.2056828114733751E-3</v>
      </c>
      <c r="F687" s="41">
        <f t="shared" si="41"/>
        <v>124.26742704687106</v>
      </c>
      <c r="G687" s="42" t="str">
        <f t="shared" si="42"/>
        <v>2024-09</v>
      </c>
    </row>
    <row r="688" spans="1:7" x14ac:dyDescent="0.25">
      <c r="A688" s="31">
        <v>45561</v>
      </c>
      <c r="B688" s="32">
        <v>56077.978515625</v>
      </c>
      <c r="C688" s="33">
        <f t="shared" si="43"/>
        <v>3.9646909430368638E-3</v>
      </c>
      <c r="D688" s="32">
        <f>MAX($B$2:B688)</f>
        <v>56077.978515625</v>
      </c>
      <c r="E688" s="34">
        <f t="shared" si="40"/>
        <v>0</v>
      </c>
      <c r="F688" s="35">
        <f t="shared" si="41"/>
        <v>124.76010898939829</v>
      </c>
      <c r="G688" s="36" t="str">
        <f t="shared" si="42"/>
        <v>2024-09</v>
      </c>
    </row>
    <row r="689" spans="1:7" x14ac:dyDescent="0.25">
      <c r="A689" s="37">
        <v>45562</v>
      </c>
      <c r="B689" s="38">
        <v>55996.649169921897</v>
      </c>
      <c r="C689" s="39">
        <f t="shared" si="43"/>
        <v>-1.4502902539620388E-3</v>
      </c>
      <c r="D689" s="38">
        <f>MAX($B$2:B689)</f>
        <v>56077.978515625</v>
      </c>
      <c r="E689" s="40">
        <f t="shared" si="40"/>
        <v>-1.4502902539620388E-3</v>
      </c>
      <c r="F689" s="41">
        <f t="shared" si="41"/>
        <v>124.57917061924772</v>
      </c>
      <c r="G689" s="42" t="str">
        <f t="shared" si="42"/>
        <v>2024-09</v>
      </c>
    </row>
    <row r="690" spans="1:7" x14ac:dyDescent="0.25">
      <c r="A690" s="31">
        <v>45565</v>
      </c>
      <c r="B690" s="32">
        <v>56221.038818359397</v>
      </c>
      <c r="C690" s="33">
        <f t="shared" si="43"/>
        <v>4.0071977835065553E-3</v>
      </c>
      <c r="D690" s="32">
        <f>MAX($B$2:B690)</f>
        <v>56221.038818359397</v>
      </c>
      <c r="E690" s="34">
        <f t="shared" si="40"/>
        <v>0</v>
      </c>
      <c r="F690" s="35">
        <f t="shared" si="41"/>
        <v>125.07838399562425</v>
      </c>
      <c r="G690" s="36" t="str">
        <f t="shared" si="42"/>
        <v>2024-09</v>
      </c>
    </row>
    <row r="691" spans="1:7" x14ac:dyDescent="0.25">
      <c r="A691" s="37">
        <v>45566</v>
      </c>
      <c r="B691" s="38">
        <v>55717.388916015603</v>
      </c>
      <c r="C691" s="39">
        <f t="shared" si="43"/>
        <v>-8.9583884063579866E-3</v>
      </c>
      <c r="D691" s="38">
        <f>MAX($B$2:B691)</f>
        <v>56221.038818359397</v>
      </c>
      <c r="E691" s="40">
        <f t="shared" si="40"/>
        <v>-8.9583884063579866E-3</v>
      </c>
      <c r="F691" s="41">
        <f t="shared" si="41"/>
        <v>123.95788325055186</v>
      </c>
      <c r="G691" s="42" t="str">
        <f t="shared" si="42"/>
        <v>2024-10</v>
      </c>
    </row>
    <row r="692" spans="1:7" x14ac:dyDescent="0.25">
      <c r="A692" s="31">
        <v>45567</v>
      </c>
      <c r="B692" s="32">
        <v>55740.911865234397</v>
      </c>
      <c r="C692" s="33">
        <f t="shared" si="43"/>
        <v>4.2218326587861732E-4</v>
      </c>
      <c r="D692" s="32">
        <f>MAX($B$2:B692)</f>
        <v>56221.038818359397</v>
      </c>
      <c r="E692" s="34">
        <f t="shared" si="40"/>
        <v>-8.5399872221537665E-3</v>
      </c>
      <c r="F692" s="35">
        <f t="shared" si="41"/>
        <v>124.01021619453398</v>
      </c>
      <c r="G692" s="36" t="str">
        <f t="shared" si="42"/>
        <v>2024-10</v>
      </c>
    </row>
    <row r="693" spans="1:7" x14ac:dyDescent="0.25">
      <c r="A693" s="37">
        <v>45568</v>
      </c>
      <c r="B693" s="38">
        <v>55639.007568359397</v>
      </c>
      <c r="C693" s="39">
        <f t="shared" si="43"/>
        <v>-1.8281777865668536E-3</v>
      </c>
      <c r="D693" s="38">
        <f>MAX($B$2:B693)</f>
        <v>56221.038818359397</v>
      </c>
      <c r="E693" s="40">
        <f t="shared" si="40"/>
        <v>-1.0352552393783521E-2</v>
      </c>
      <c r="F693" s="41">
        <f t="shared" si="41"/>
        <v>123.7835034719798</v>
      </c>
      <c r="G693" s="42" t="str">
        <f t="shared" si="42"/>
        <v>2024-10</v>
      </c>
    </row>
    <row r="694" spans="1:7" x14ac:dyDescent="0.25">
      <c r="A694" s="31">
        <v>45569</v>
      </c>
      <c r="B694" s="32">
        <v>56144.616699218801</v>
      </c>
      <c r="C694" s="33">
        <f t="shared" si="43"/>
        <v>9.0873139719143126E-3</v>
      </c>
      <c r="D694" s="32">
        <f>MAX($B$2:B694)</f>
        <v>56221.038818359397</v>
      </c>
      <c r="E694" s="34">
        <f t="shared" si="40"/>
        <v>-1.3593153158820703E-3</v>
      </c>
      <c r="F694" s="35">
        <f t="shared" si="41"/>
        <v>124.90836303257322</v>
      </c>
      <c r="G694" s="36" t="str">
        <f t="shared" si="42"/>
        <v>2024-10</v>
      </c>
    </row>
    <row r="695" spans="1:7" x14ac:dyDescent="0.25">
      <c r="A695" s="37">
        <v>45572</v>
      </c>
      <c r="B695" s="38">
        <v>55637.042236328103</v>
      </c>
      <c r="C695" s="39">
        <f t="shared" si="43"/>
        <v>-9.0404831795344309E-3</v>
      </c>
      <c r="D695" s="38">
        <f>MAX($B$2:B695)</f>
        <v>56221.038818359397</v>
      </c>
      <c r="E695" s="40">
        <f t="shared" si="40"/>
        <v>-1.038750962816759E-2</v>
      </c>
      <c r="F695" s="41">
        <f t="shared" si="41"/>
        <v>123.77913107759406</v>
      </c>
      <c r="G695" s="42" t="str">
        <f t="shared" si="42"/>
        <v>2024-10</v>
      </c>
    </row>
    <row r="696" spans="1:7" x14ac:dyDescent="0.25">
      <c r="A696" s="31">
        <v>45573</v>
      </c>
      <c r="B696" s="32">
        <v>56163.232421875</v>
      </c>
      <c r="C696" s="33">
        <f t="shared" si="43"/>
        <v>9.4575513793815347E-3</v>
      </c>
      <c r="D696" s="32">
        <f>MAX($B$2:B696)</f>
        <v>56221.038818359397</v>
      </c>
      <c r="E696" s="34">
        <f t="shared" si="40"/>
        <v>-1.0281986547981958E-3</v>
      </c>
      <c r="F696" s="35">
        <f t="shared" si="41"/>
        <v>124.94977856945562</v>
      </c>
      <c r="G696" s="36" t="str">
        <f t="shared" si="42"/>
        <v>2024-10</v>
      </c>
    </row>
    <row r="697" spans="1:7" x14ac:dyDescent="0.25">
      <c r="A697" s="37">
        <v>45574</v>
      </c>
      <c r="B697" s="38">
        <v>56552.24609375</v>
      </c>
      <c r="C697" s="39">
        <f t="shared" si="43"/>
        <v>6.9264829515667259E-3</v>
      </c>
      <c r="D697" s="38">
        <f>MAX($B$2:B697)</f>
        <v>56552.24609375</v>
      </c>
      <c r="E697" s="40">
        <f t="shared" si="40"/>
        <v>0</v>
      </c>
      <c r="F697" s="41">
        <f t="shared" si="41"/>
        <v>125.815241080519</v>
      </c>
      <c r="G697" s="42" t="str">
        <f t="shared" si="42"/>
        <v>2024-10</v>
      </c>
    </row>
    <row r="698" spans="1:7" x14ac:dyDescent="0.25">
      <c r="A698" s="31">
        <v>45575</v>
      </c>
      <c r="B698" s="32">
        <v>56453.277587890603</v>
      </c>
      <c r="C698" s="33">
        <f t="shared" si="43"/>
        <v>-1.7500366951885837E-3</v>
      </c>
      <c r="D698" s="32">
        <f>MAX($B$2:B698)</f>
        <v>56552.24609375</v>
      </c>
      <c r="E698" s="34">
        <f t="shared" si="40"/>
        <v>-1.7500366951885837E-3</v>
      </c>
      <c r="F698" s="35">
        <f t="shared" si="41"/>
        <v>125.59505979181409</v>
      </c>
      <c r="G698" s="36" t="str">
        <f t="shared" si="42"/>
        <v>2024-10</v>
      </c>
    </row>
    <row r="699" spans="1:7" x14ac:dyDescent="0.25">
      <c r="A699" s="37">
        <v>45576</v>
      </c>
      <c r="B699" s="38">
        <v>56791.320800781301</v>
      </c>
      <c r="C699" s="39">
        <f t="shared" si="43"/>
        <v>5.9880174780713169E-3</v>
      </c>
      <c r="D699" s="38">
        <f>MAX($B$2:B699)</f>
        <v>56791.320800781301</v>
      </c>
      <c r="E699" s="40">
        <f t="shared" si="40"/>
        <v>0</v>
      </c>
      <c r="F699" s="41">
        <f t="shared" si="41"/>
        <v>126.34712520500688</v>
      </c>
      <c r="G699" s="42" t="str">
        <f t="shared" si="42"/>
        <v>2024-10</v>
      </c>
    </row>
    <row r="700" spans="1:7" x14ac:dyDescent="0.25">
      <c r="A700" s="31">
        <v>45579</v>
      </c>
      <c r="B700" s="32">
        <v>57255.792236328103</v>
      </c>
      <c r="C700" s="33">
        <f t="shared" si="43"/>
        <v>8.1785637135667333E-3</v>
      </c>
      <c r="D700" s="32">
        <f>MAX($B$2:B700)</f>
        <v>57255.792236328103</v>
      </c>
      <c r="E700" s="34">
        <f t="shared" si="40"/>
        <v>0</v>
      </c>
      <c r="F700" s="35">
        <f t="shared" si="41"/>
        <v>127.38046321852204</v>
      </c>
      <c r="G700" s="36" t="str">
        <f t="shared" si="42"/>
        <v>2024-10</v>
      </c>
    </row>
    <row r="701" spans="1:7" x14ac:dyDescent="0.25">
      <c r="A701" s="37">
        <v>45580</v>
      </c>
      <c r="B701" s="38">
        <v>56810.931396484397</v>
      </c>
      <c r="C701" s="39">
        <f t="shared" si="43"/>
        <v>-7.769708923203833E-3</v>
      </c>
      <c r="D701" s="38">
        <f>MAX($B$2:B701)</f>
        <v>57255.792236328103</v>
      </c>
      <c r="E701" s="40">
        <f t="shared" si="40"/>
        <v>-7.769708923203833E-3</v>
      </c>
      <c r="F701" s="41">
        <f t="shared" si="41"/>
        <v>126.39075409681124</v>
      </c>
      <c r="G701" s="42" t="str">
        <f t="shared" si="42"/>
        <v>2024-10</v>
      </c>
    </row>
    <row r="702" spans="1:7" x14ac:dyDescent="0.25">
      <c r="A702" s="31">
        <v>45581</v>
      </c>
      <c r="B702" s="32">
        <v>57057.855224609397</v>
      </c>
      <c r="C702" s="33">
        <f t="shared" si="43"/>
        <v>4.3464140096862725E-3</v>
      </c>
      <c r="D702" s="32">
        <f>MAX($B$2:B702)</f>
        <v>57255.792236328103</v>
      </c>
      <c r="E702" s="34">
        <f t="shared" si="40"/>
        <v>-3.4570652852327077E-3</v>
      </c>
      <c r="F702" s="35">
        <f t="shared" si="41"/>
        <v>126.94010064111241</v>
      </c>
      <c r="G702" s="36" t="str">
        <f t="shared" si="42"/>
        <v>2024-10</v>
      </c>
    </row>
    <row r="703" spans="1:7" x14ac:dyDescent="0.25">
      <c r="A703" s="37">
        <v>45582</v>
      </c>
      <c r="B703" s="38">
        <v>57062.750244140603</v>
      </c>
      <c r="C703" s="39">
        <f t="shared" si="43"/>
        <v>8.5790457982293233E-5</v>
      </c>
      <c r="D703" s="38">
        <f>MAX($B$2:B703)</f>
        <v>57255.792236328103</v>
      </c>
      <c r="E703" s="40">
        <f t="shared" si="40"/>
        <v>-3.3715714104645134E-3</v>
      </c>
      <c r="F703" s="41">
        <f t="shared" si="41"/>
        <v>126.95099089048274</v>
      </c>
      <c r="G703" s="42" t="str">
        <f t="shared" si="42"/>
        <v>2024-10</v>
      </c>
    </row>
    <row r="704" spans="1:7" x14ac:dyDescent="0.25">
      <c r="A704" s="31">
        <v>45583</v>
      </c>
      <c r="B704" s="32">
        <v>57282.2509765625</v>
      </c>
      <c r="C704" s="33">
        <f t="shared" si="43"/>
        <v>3.8466553308904583E-3</v>
      </c>
      <c r="D704" s="32">
        <f>MAX($B$2:B704)</f>
        <v>57282.2509765625</v>
      </c>
      <c r="E704" s="34">
        <f t="shared" si="40"/>
        <v>0</v>
      </c>
      <c r="F704" s="35">
        <f t="shared" si="41"/>
        <v>127.43932759635344</v>
      </c>
      <c r="G704" s="36" t="str">
        <f t="shared" si="42"/>
        <v>2024-10</v>
      </c>
    </row>
    <row r="705" spans="1:7" x14ac:dyDescent="0.25">
      <c r="A705" s="37">
        <v>45586</v>
      </c>
      <c r="B705" s="38">
        <v>57188.171386718801</v>
      </c>
      <c r="C705" s="39">
        <f t="shared" si="43"/>
        <v>-1.6423863978772824E-3</v>
      </c>
      <c r="D705" s="38">
        <f>MAX($B$2:B705)</f>
        <v>57282.2509765625</v>
      </c>
      <c r="E705" s="40">
        <f t="shared" si="40"/>
        <v>-1.6423863978772824E-3</v>
      </c>
      <c r="F705" s="41">
        <f t="shared" si="41"/>
        <v>127.23002297815455</v>
      </c>
      <c r="G705" s="42" t="str">
        <f t="shared" si="42"/>
        <v>2024-10</v>
      </c>
    </row>
    <row r="706" spans="1:7" x14ac:dyDescent="0.25">
      <c r="A706" s="31">
        <v>45587</v>
      </c>
      <c r="B706" s="32">
        <v>57157.800292968801</v>
      </c>
      <c r="C706" s="33">
        <f t="shared" si="43"/>
        <v>-5.3107300012489311E-4</v>
      </c>
      <c r="D706" s="32">
        <f>MAX($B$2:B706)</f>
        <v>57282.2509765625</v>
      </c>
      <c r="E706" s="34">
        <f t="shared" ref="E706:E769" si="44">B706/D706-1</f>
        <v>-2.1725871709304956E-3</v>
      </c>
      <c r="F706" s="35">
        <f t="shared" ref="F706:F769" si="45">B706/$B$2*100</f>
        <v>127.1624545481456</v>
      </c>
      <c r="G706" s="36" t="str">
        <f t="shared" ref="G706:G769" si="46">TEXT(A706,"YYYY-MM")</f>
        <v>2024-10</v>
      </c>
    </row>
    <row r="707" spans="1:7" x14ac:dyDescent="0.25">
      <c r="A707" s="37">
        <v>45588</v>
      </c>
      <c r="B707" s="38">
        <v>56635.5224609375</v>
      </c>
      <c r="C707" s="39">
        <f t="shared" ref="C707:C770" si="47">B707/B706-1</f>
        <v>-9.1374725646247157E-3</v>
      </c>
      <c r="D707" s="38">
        <f>MAX($B$2:B707)</f>
        <v>57282.2509765625</v>
      </c>
      <c r="E707" s="40">
        <f t="shared" si="44"/>
        <v>-1.1290207779886541E-2</v>
      </c>
      <c r="F707" s="41">
        <f t="shared" si="45"/>
        <v>126.00051110846158</v>
      </c>
      <c r="G707" s="42" t="str">
        <f t="shared" si="46"/>
        <v>2024-10</v>
      </c>
    </row>
    <row r="708" spans="1:7" x14ac:dyDescent="0.25">
      <c r="A708" s="31">
        <v>45589</v>
      </c>
      <c r="B708" s="32">
        <v>56758.020019531301</v>
      </c>
      <c r="C708" s="33">
        <f t="shared" si="47"/>
        <v>2.1629103656328752E-3</v>
      </c>
      <c r="D708" s="32">
        <f>MAX($B$2:B708)</f>
        <v>57282.2509765625</v>
      </c>
      <c r="E708" s="34">
        <f t="shared" si="44"/>
        <v>-9.1517171216908277E-3</v>
      </c>
      <c r="F708" s="35">
        <f t="shared" si="45"/>
        <v>126.27303892001314</v>
      </c>
      <c r="G708" s="36" t="str">
        <f t="shared" si="46"/>
        <v>2024-10</v>
      </c>
    </row>
    <row r="709" spans="1:7" x14ac:dyDescent="0.25">
      <c r="A709" s="37">
        <v>45590</v>
      </c>
      <c r="B709" s="38">
        <v>56738.409423828103</v>
      </c>
      <c r="C709" s="39">
        <f t="shared" si="47"/>
        <v>-3.4551232929636022E-4</v>
      </c>
      <c r="D709" s="38">
        <f>MAX($B$2:B709)</f>
        <v>57282.2509765625</v>
      </c>
      <c r="E709" s="40">
        <f t="shared" si="44"/>
        <v>-9.4940674198874531E-3</v>
      </c>
      <c r="F709" s="41">
        <f t="shared" si="45"/>
        <v>126.22941002820853</v>
      </c>
      <c r="G709" s="42" t="str">
        <f t="shared" si="46"/>
        <v>2024-10</v>
      </c>
    </row>
    <row r="710" spans="1:7" x14ac:dyDescent="0.25">
      <c r="A710" s="31">
        <v>45593</v>
      </c>
      <c r="B710" s="32">
        <v>56913.818359375</v>
      </c>
      <c r="C710" s="33">
        <f t="shared" si="47"/>
        <v>3.0915377665350352E-3</v>
      </c>
      <c r="D710" s="32">
        <f>MAX($B$2:B710)</f>
        <v>57282.2509765625</v>
      </c>
      <c r="E710" s="34">
        <f t="shared" si="44"/>
        <v>-6.4318809213389505E-3</v>
      </c>
      <c r="F710" s="35">
        <f t="shared" si="45"/>
        <v>126.6196530165582</v>
      </c>
      <c r="G710" s="36" t="str">
        <f t="shared" si="46"/>
        <v>2024-10</v>
      </c>
    </row>
    <row r="711" spans="1:7" x14ac:dyDescent="0.25">
      <c r="A711" s="37">
        <v>45594</v>
      </c>
      <c r="B711" s="38">
        <v>57005.920410156301</v>
      </c>
      <c r="C711" s="39">
        <f t="shared" si="47"/>
        <v>1.6182722129050031E-3</v>
      </c>
      <c r="D711" s="38">
        <f>MAX($B$2:B711)</f>
        <v>57282.2509765625</v>
      </c>
      <c r="E711" s="40">
        <f t="shared" si="44"/>
        <v>-4.824017242605616E-3</v>
      </c>
      <c r="F711" s="41">
        <f t="shared" si="45"/>
        <v>126.82455808264257</v>
      </c>
      <c r="G711" s="42" t="str">
        <f t="shared" si="46"/>
        <v>2024-10</v>
      </c>
    </row>
    <row r="712" spans="1:7" x14ac:dyDescent="0.25">
      <c r="A712" s="31">
        <v>45595</v>
      </c>
      <c r="B712" s="32">
        <v>56833.465576171897</v>
      </c>
      <c r="C712" s="33">
        <f t="shared" si="47"/>
        <v>-3.0252091843021578E-3</v>
      </c>
      <c r="D712" s="32">
        <f>MAX($B$2:B712)</f>
        <v>57282.2509765625</v>
      </c>
      <c r="E712" s="34">
        <f t="shared" si="44"/>
        <v>-7.8346327656402259E-3</v>
      </c>
      <c r="F712" s="35">
        <f t="shared" si="45"/>
        <v>126.44088726473591</v>
      </c>
      <c r="G712" s="36" t="str">
        <f t="shared" si="46"/>
        <v>2024-10</v>
      </c>
    </row>
    <row r="713" spans="1:7" x14ac:dyDescent="0.25">
      <c r="A713" s="37">
        <v>45596</v>
      </c>
      <c r="B713" s="38">
        <v>55719.348144531301</v>
      </c>
      <c r="C713" s="39">
        <f t="shared" si="47"/>
        <v>-1.9603193652644402E-2</v>
      </c>
      <c r="D713" s="38">
        <f>MAX($B$2:B713)</f>
        <v>57282.2509765625</v>
      </c>
      <c r="E713" s="40">
        <f t="shared" si="44"/>
        <v>-2.7284242594982411E-2</v>
      </c>
      <c r="F713" s="41">
        <f t="shared" si="45"/>
        <v>123.96224206607309</v>
      </c>
      <c r="G713" s="42" t="str">
        <f t="shared" si="46"/>
        <v>2024-10</v>
      </c>
    </row>
    <row r="714" spans="1:7" x14ac:dyDescent="0.25">
      <c r="A714" s="31">
        <v>45597</v>
      </c>
      <c r="B714" s="32">
        <v>55954.5166015625</v>
      </c>
      <c r="C714" s="33">
        <f t="shared" si="47"/>
        <v>4.2205888055473206E-3</v>
      </c>
      <c r="D714" s="32">
        <f>MAX($B$2:B714)</f>
        <v>57282.2509765625</v>
      </c>
      <c r="E714" s="34">
        <f t="shared" si="44"/>
        <v>-2.3178809358299413E-2</v>
      </c>
      <c r="F714" s="35">
        <f t="shared" si="45"/>
        <v>124.48543571724771</v>
      </c>
      <c r="G714" s="36" t="str">
        <f t="shared" si="46"/>
        <v>2024-11</v>
      </c>
    </row>
    <row r="715" spans="1:7" x14ac:dyDescent="0.25">
      <c r="A715" s="37">
        <v>45600</v>
      </c>
      <c r="B715" s="38">
        <v>55833.990478515603</v>
      </c>
      <c r="C715" s="39">
        <f t="shared" si="47"/>
        <v>-2.1540016850674082E-3</v>
      </c>
      <c r="D715" s="38">
        <f>MAX($B$2:B715)</f>
        <v>57282.2509765625</v>
      </c>
      <c r="E715" s="40">
        <f t="shared" si="44"/>
        <v>-2.5282883848951165E-2</v>
      </c>
      <c r="F715" s="41">
        <f t="shared" si="45"/>
        <v>124.21729387894641</v>
      </c>
      <c r="G715" s="42" t="str">
        <f t="shared" si="46"/>
        <v>2024-11</v>
      </c>
    </row>
    <row r="716" spans="1:7" x14ac:dyDescent="0.25">
      <c r="A716" s="31">
        <v>45601</v>
      </c>
      <c r="B716" s="32">
        <v>56509.130859375</v>
      </c>
      <c r="C716" s="33">
        <f t="shared" si="47"/>
        <v>1.2091924203755156E-2</v>
      </c>
      <c r="D716" s="32">
        <f>MAX($B$2:B716)</f>
        <v>57282.2509765625</v>
      </c>
      <c r="E716" s="34">
        <f t="shared" si="44"/>
        <v>-1.3496678360349845E-2</v>
      </c>
      <c r="F716" s="35">
        <f t="shared" si="45"/>
        <v>125.71931998132619</v>
      </c>
      <c r="G716" s="36" t="str">
        <f t="shared" si="46"/>
        <v>2024-11</v>
      </c>
    </row>
    <row r="717" spans="1:7" x14ac:dyDescent="0.25">
      <c r="A717" s="37">
        <v>45602</v>
      </c>
      <c r="B717" s="38">
        <v>57914.2578125</v>
      </c>
      <c r="C717" s="39">
        <f t="shared" si="47"/>
        <v>2.4865485130566078E-2</v>
      </c>
      <c r="D717" s="38">
        <f>MAX($B$2:B717)</f>
        <v>57914.2578125</v>
      </c>
      <c r="E717" s="40">
        <f t="shared" si="44"/>
        <v>0</v>
      </c>
      <c r="F717" s="41">
        <f t="shared" si="45"/>
        <v>128.84539186294674</v>
      </c>
      <c r="G717" s="42" t="str">
        <f t="shared" si="46"/>
        <v>2024-11</v>
      </c>
    </row>
    <row r="718" spans="1:7" x14ac:dyDescent="0.25">
      <c r="A718" s="31">
        <v>45603</v>
      </c>
      <c r="B718" s="32">
        <v>58362.066650390603</v>
      </c>
      <c r="C718" s="33">
        <f t="shared" si="47"/>
        <v>7.7322727563979843E-3</v>
      </c>
      <c r="D718" s="32">
        <f>MAX($B$2:B718)</f>
        <v>58362.066650390603</v>
      </c>
      <c r="E718" s="34">
        <f t="shared" si="44"/>
        <v>0</v>
      </c>
      <c r="F718" s="35">
        <f t="shared" si="45"/>
        <v>129.84165957623603</v>
      </c>
      <c r="G718" s="36" t="str">
        <f t="shared" si="46"/>
        <v>2024-11</v>
      </c>
    </row>
    <row r="719" spans="1:7" x14ac:dyDescent="0.25">
      <c r="A719" s="37">
        <v>45604</v>
      </c>
      <c r="B719" s="38">
        <v>58614.8681640625</v>
      </c>
      <c r="C719" s="39">
        <f t="shared" si="47"/>
        <v>4.3316066099281514E-3</v>
      </c>
      <c r="D719" s="38">
        <f>MAX($B$2:B719)</f>
        <v>58614.8681640625</v>
      </c>
      <c r="E719" s="40">
        <f t="shared" si="44"/>
        <v>0</v>
      </c>
      <c r="F719" s="41">
        <f t="shared" si="45"/>
        <v>130.40408256710049</v>
      </c>
      <c r="G719" s="42" t="str">
        <f t="shared" si="46"/>
        <v>2024-11</v>
      </c>
    </row>
    <row r="720" spans="1:7" x14ac:dyDescent="0.25">
      <c r="A720" s="31">
        <v>45607</v>
      </c>
      <c r="B720" s="32">
        <v>58670.721435546897</v>
      </c>
      <c r="C720" s="33">
        <f t="shared" si="47"/>
        <v>9.5288573076834915E-4</v>
      </c>
      <c r="D720" s="32">
        <f>MAX($B$2:B720)</f>
        <v>58670.721435546897</v>
      </c>
      <c r="E720" s="34">
        <f t="shared" si="44"/>
        <v>0</v>
      </c>
      <c r="F720" s="35">
        <f t="shared" si="45"/>
        <v>130.5283427566126</v>
      </c>
      <c r="G720" s="36" t="str">
        <f t="shared" si="46"/>
        <v>2024-11</v>
      </c>
    </row>
    <row r="721" spans="1:7" x14ac:dyDescent="0.25">
      <c r="A721" s="37">
        <v>45608</v>
      </c>
      <c r="B721" s="38">
        <v>58488.464355468801</v>
      </c>
      <c r="C721" s="39">
        <f t="shared" si="47"/>
        <v>-3.1064400712766949E-3</v>
      </c>
      <c r="D721" s="38">
        <f>MAX($B$2:B721)</f>
        <v>58670.721435546897</v>
      </c>
      <c r="E721" s="40">
        <f t="shared" si="44"/>
        <v>-3.1064400712766949E-3</v>
      </c>
      <c r="F721" s="41">
        <f t="shared" si="45"/>
        <v>130.12286428223612</v>
      </c>
      <c r="G721" s="42" t="str">
        <f t="shared" si="46"/>
        <v>2024-11</v>
      </c>
    </row>
    <row r="722" spans="1:7" x14ac:dyDescent="0.25">
      <c r="A722" s="31">
        <v>45609</v>
      </c>
      <c r="B722" s="32">
        <v>58516.8701171875</v>
      </c>
      <c r="C722" s="33">
        <f t="shared" si="47"/>
        <v>4.8566434478525267E-4</v>
      </c>
      <c r="D722" s="32">
        <f>MAX($B$2:B722)</f>
        <v>58670.721435546897</v>
      </c>
      <c r="E722" s="34">
        <f t="shared" si="44"/>
        <v>-2.6222844136731815E-3</v>
      </c>
      <c r="F722" s="35">
        <f t="shared" si="45"/>
        <v>130.18606031785936</v>
      </c>
      <c r="G722" s="36" t="str">
        <f t="shared" si="46"/>
        <v>2024-11</v>
      </c>
    </row>
    <row r="723" spans="1:7" x14ac:dyDescent="0.25">
      <c r="A723" s="37">
        <v>45610</v>
      </c>
      <c r="B723" s="38">
        <v>58140.612792968801</v>
      </c>
      <c r="C723" s="39">
        <f t="shared" si="47"/>
        <v>-6.4298948912543397E-3</v>
      </c>
      <c r="D723" s="38">
        <f>MAX($B$2:B723)</f>
        <v>58670.721435546897</v>
      </c>
      <c r="E723" s="40">
        <f t="shared" si="44"/>
        <v>-9.0353182917726205E-3</v>
      </c>
      <c r="F723" s="41">
        <f t="shared" si="45"/>
        <v>129.34897763370901</v>
      </c>
      <c r="G723" s="42" t="str">
        <f t="shared" si="46"/>
        <v>2024-11</v>
      </c>
    </row>
    <row r="724" spans="1:7" x14ac:dyDescent="0.25">
      <c r="A724" s="31">
        <v>45611</v>
      </c>
      <c r="B724" s="32">
        <v>57395.916748046897</v>
      </c>
      <c r="C724" s="33">
        <f t="shared" si="47"/>
        <v>-1.280853450192676E-2</v>
      </c>
      <c r="D724" s="32">
        <f>MAX($B$2:B724)</f>
        <v>58670.721435546897</v>
      </c>
      <c r="E724" s="34">
        <f t="shared" si="44"/>
        <v>-2.1728123607623329E-2</v>
      </c>
      <c r="F724" s="35">
        <f t="shared" si="45"/>
        <v>127.69220679089869</v>
      </c>
      <c r="G724" s="36" t="str">
        <f t="shared" si="46"/>
        <v>2024-11</v>
      </c>
    </row>
    <row r="725" spans="1:7" x14ac:dyDescent="0.25">
      <c r="A725" s="37">
        <v>45614</v>
      </c>
      <c r="B725" s="38">
        <v>57631.085205078103</v>
      </c>
      <c r="C725" s="39">
        <f t="shared" si="47"/>
        <v>4.0973029155284557E-3</v>
      </c>
      <c r="D725" s="38">
        <f>MAX($B$2:B725)</f>
        <v>58670.721435546897</v>
      </c>
      <c r="E725" s="40">
        <f t="shared" si="44"/>
        <v>-1.771984739630128E-2</v>
      </c>
      <c r="F725" s="41">
        <f t="shared" si="45"/>
        <v>128.2154004420733</v>
      </c>
      <c r="G725" s="42" t="str">
        <f t="shared" si="46"/>
        <v>2024-11</v>
      </c>
    </row>
    <row r="726" spans="1:7" x14ac:dyDescent="0.25">
      <c r="A726" s="31">
        <v>45615</v>
      </c>
      <c r="B726" s="32">
        <v>57841.748046875</v>
      </c>
      <c r="C726" s="33">
        <f t="shared" si="47"/>
        <v>3.655368297287076E-3</v>
      </c>
      <c r="D726" s="32">
        <f>MAX($B$2:B726)</f>
        <v>58670.721435546897</v>
      </c>
      <c r="E726" s="34">
        <f t="shared" si="44"/>
        <v>-1.4129251667419296E-2</v>
      </c>
      <c r="F726" s="35">
        <f t="shared" si="45"/>
        <v>128.68407495207325</v>
      </c>
      <c r="G726" s="36" t="str">
        <f t="shared" si="46"/>
        <v>2024-11</v>
      </c>
    </row>
    <row r="727" spans="1:7" x14ac:dyDescent="0.25">
      <c r="A727" s="37">
        <v>45616</v>
      </c>
      <c r="B727" s="38">
        <v>57861.340332031301</v>
      </c>
      <c r="C727" s="39">
        <f t="shared" si="47"/>
        <v>3.3872221739250641E-4</v>
      </c>
      <c r="D727" s="38">
        <f>MAX($B$2:B727)</f>
        <v>58670.721435546897</v>
      </c>
      <c r="E727" s="40">
        <f t="shared" si="44"/>
        <v>-1.3795315341481595E-2</v>
      </c>
      <c r="F727" s="41">
        <f t="shared" si="45"/>
        <v>128.72766310728414</v>
      </c>
      <c r="G727" s="42" t="str">
        <f t="shared" si="46"/>
        <v>2024-11</v>
      </c>
    </row>
    <row r="728" spans="1:7" x14ac:dyDescent="0.25">
      <c r="A728" s="31">
        <v>45617</v>
      </c>
      <c r="B728" s="32">
        <v>58171.960449218801</v>
      </c>
      <c r="C728" s="33">
        <f t="shared" si="47"/>
        <v>5.3683532978157089E-3</v>
      </c>
      <c r="D728" s="32">
        <f>MAX($B$2:B728)</f>
        <v>58670.721435546897</v>
      </c>
      <c r="E728" s="34">
        <f t="shared" si="44"/>
        <v>-8.5010201702737653E-3</v>
      </c>
      <c r="F728" s="35">
        <f t="shared" si="45"/>
        <v>129.41871868204623</v>
      </c>
      <c r="G728" s="36" t="str">
        <f t="shared" si="46"/>
        <v>2024-11</v>
      </c>
    </row>
    <row r="729" spans="1:7" x14ac:dyDescent="0.25">
      <c r="A729" s="37">
        <v>45618</v>
      </c>
      <c r="B729" s="38">
        <v>58352.258300781301</v>
      </c>
      <c r="C729" s="39">
        <f t="shared" si="47"/>
        <v>3.0993944534478679E-3</v>
      </c>
      <c r="D729" s="38">
        <f>MAX($B$2:B729)</f>
        <v>58670.721435546897</v>
      </c>
      <c r="E729" s="40">
        <f t="shared" si="44"/>
        <v>-5.4279737315902077E-3</v>
      </c>
      <c r="F729" s="41">
        <f t="shared" si="45"/>
        <v>129.81983834090173</v>
      </c>
      <c r="G729" s="42" t="str">
        <f t="shared" si="46"/>
        <v>2024-11</v>
      </c>
    </row>
    <row r="730" spans="1:7" x14ac:dyDescent="0.25">
      <c r="A730" s="31">
        <v>45621</v>
      </c>
      <c r="B730" s="32">
        <v>58550.1953125</v>
      </c>
      <c r="C730" s="33">
        <f t="shared" si="47"/>
        <v>3.3921054211547563E-3</v>
      </c>
      <c r="D730" s="32">
        <f>MAX($B$2:B730)</f>
        <v>58670.721435546897</v>
      </c>
      <c r="E730" s="34">
        <f t="shared" si="44"/>
        <v>-2.054280569556366E-3</v>
      </c>
      <c r="F730" s="35">
        <f t="shared" si="45"/>
        <v>130.26020091831128</v>
      </c>
      <c r="G730" s="36" t="str">
        <f t="shared" si="46"/>
        <v>2024-11</v>
      </c>
    </row>
    <row r="731" spans="1:7" x14ac:dyDescent="0.25">
      <c r="A731" s="37">
        <v>45622</v>
      </c>
      <c r="B731" s="38">
        <v>58855.926513671897</v>
      </c>
      <c r="C731" s="39">
        <f t="shared" si="47"/>
        <v>5.2216939591767098E-3</v>
      </c>
      <c r="D731" s="38">
        <f>MAX($B$2:B731)</f>
        <v>58855.926513671897</v>
      </c>
      <c r="E731" s="40">
        <f t="shared" si="44"/>
        <v>0</v>
      </c>
      <c r="F731" s="41">
        <f t="shared" si="45"/>
        <v>130.94037982256759</v>
      </c>
      <c r="G731" s="42" t="str">
        <f t="shared" si="46"/>
        <v>2024-11</v>
      </c>
    </row>
    <row r="732" spans="1:7" x14ac:dyDescent="0.25">
      <c r="A732" s="31">
        <v>45623</v>
      </c>
      <c r="B732" s="32">
        <v>58677.575683593801</v>
      </c>
      <c r="C732" s="33">
        <f t="shared" si="47"/>
        <v>-3.0302951740410755E-3</v>
      </c>
      <c r="D732" s="32">
        <f>MAX($B$2:B732)</f>
        <v>58855.926513671897</v>
      </c>
      <c r="E732" s="34">
        <f t="shared" si="44"/>
        <v>-3.0302951740410755E-3</v>
      </c>
      <c r="F732" s="35">
        <f t="shared" si="45"/>
        <v>130.54359182150418</v>
      </c>
      <c r="G732" s="36" t="str">
        <f t="shared" si="46"/>
        <v>2024-11</v>
      </c>
    </row>
    <row r="733" spans="1:7" x14ac:dyDescent="0.25">
      <c r="A733" s="37">
        <v>45625</v>
      </c>
      <c r="B733" s="38">
        <v>59042.095947265603</v>
      </c>
      <c r="C733" s="39">
        <f t="shared" si="47"/>
        <v>6.2122584211283804E-3</v>
      </c>
      <c r="D733" s="38">
        <f>MAX($B$2:B733)</f>
        <v>59042.095947265603</v>
      </c>
      <c r="E733" s="40">
        <f t="shared" si="44"/>
        <v>0</v>
      </c>
      <c r="F733" s="41">
        <f t="shared" si="45"/>
        <v>131.35456234912164</v>
      </c>
      <c r="G733" s="42" t="str">
        <f t="shared" si="46"/>
        <v>2024-11</v>
      </c>
    </row>
    <row r="734" spans="1:7" x14ac:dyDescent="0.25">
      <c r="A734" s="31">
        <v>45628</v>
      </c>
      <c r="B734" s="32">
        <v>59147.912597656301</v>
      </c>
      <c r="C734" s="33">
        <f t="shared" si="47"/>
        <v>1.7922238140937186E-3</v>
      </c>
      <c r="D734" s="32">
        <f>MAX($B$2:B734)</f>
        <v>59147.912597656301</v>
      </c>
      <c r="E734" s="34">
        <f t="shared" si="44"/>
        <v>0</v>
      </c>
      <c r="F734" s="35">
        <f t="shared" si="45"/>
        <v>131.5899791238536</v>
      </c>
      <c r="G734" s="36" t="str">
        <f t="shared" si="46"/>
        <v>2024-12</v>
      </c>
    </row>
    <row r="735" spans="1:7" x14ac:dyDescent="0.25">
      <c r="A735" s="37">
        <v>45629</v>
      </c>
      <c r="B735" s="38">
        <v>59175.347900390603</v>
      </c>
      <c r="C735" s="39">
        <f t="shared" si="47"/>
        <v>4.6384228165297081E-4</v>
      </c>
      <c r="D735" s="38">
        <f>MAX($B$2:B735)</f>
        <v>59175.347900390603</v>
      </c>
      <c r="E735" s="40">
        <f t="shared" si="44"/>
        <v>0</v>
      </c>
      <c r="F735" s="41">
        <f t="shared" si="45"/>
        <v>131.65101612001305</v>
      </c>
      <c r="G735" s="42" t="str">
        <f t="shared" si="46"/>
        <v>2024-12</v>
      </c>
    </row>
    <row r="736" spans="1:7" x14ac:dyDescent="0.25">
      <c r="A736" s="31">
        <v>45630</v>
      </c>
      <c r="B736" s="32">
        <v>59542.803955078103</v>
      </c>
      <c r="C736" s="33">
        <f t="shared" si="47"/>
        <v>6.2096137619003233E-3</v>
      </c>
      <c r="D736" s="32">
        <f>MAX($B$2:B736)</f>
        <v>59542.803955078103</v>
      </c>
      <c r="E736" s="34">
        <f t="shared" si="44"/>
        <v>0</v>
      </c>
      <c r="F736" s="35">
        <f t="shared" si="45"/>
        <v>132.46851808148006</v>
      </c>
      <c r="G736" s="36" t="str">
        <f t="shared" si="46"/>
        <v>2024-12</v>
      </c>
    </row>
    <row r="737" spans="1:7" x14ac:dyDescent="0.25">
      <c r="A737" s="37">
        <v>45631</v>
      </c>
      <c r="B737" s="38">
        <v>59444.805908203103</v>
      </c>
      <c r="C737" s="39">
        <f t="shared" si="47"/>
        <v>-1.6458419887134257E-3</v>
      </c>
      <c r="D737" s="38">
        <f>MAX($B$2:B737)</f>
        <v>59542.803955078103</v>
      </c>
      <c r="E737" s="40">
        <f t="shared" si="44"/>
        <v>-1.6458419887134257E-3</v>
      </c>
      <c r="F737" s="41">
        <f t="shared" si="45"/>
        <v>132.25049583223893</v>
      </c>
      <c r="G737" s="42" t="str">
        <f t="shared" si="46"/>
        <v>2024-12</v>
      </c>
    </row>
    <row r="738" spans="1:7" x14ac:dyDescent="0.25">
      <c r="A738" s="31">
        <v>45632</v>
      </c>
      <c r="B738" s="32">
        <v>59557.501220703103</v>
      </c>
      <c r="C738" s="33">
        <f t="shared" si="47"/>
        <v>1.8957974675537503E-3</v>
      </c>
      <c r="D738" s="32">
        <f>MAX($B$2:B738)</f>
        <v>59557.501220703103</v>
      </c>
      <c r="E738" s="34">
        <f t="shared" si="44"/>
        <v>0</v>
      </c>
      <c r="F738" s="35">
        <f t="shared" si="45"/>
        <v>132.50121598732042</v>
      </c>
      <c r="G738" s="36" t="str">
        <f t="shared" si="46"/>
        <v>2024-12</v>
      </c>
    </row>
    <row r="739" spans="1:7" x14ac:dyDescent="0.25">
      <c r="A739" s="37">
        <v>45635</v>
      </c>
      <c r="B739" s="38">
        <v>59250.799560546897</v>
      </c>
      <c r="C739" s="39">
        <f t="shared" si="47"/>
        <v>-5.1496730700580917E-3</v>
      </c>
      <c r="D739" s="38">
        <f>MAX($B$2:B739)</f>
        <v>59557.501220703103</v>
      </c>
      <c r="E739" s="40">
        <f t="shared" si="44"/>
        <v>-5.1496730700580917E-3</v>
      </c>
      <c r="F739" s="41">
        <f t="shared" si="45"/>
        <v>131.81887804360056</v>
      </c>
      <c r="G739" s="42" t="str">
        <f t="shared" si="46"/>
        <v>2024-12</v>
      </c>
    </row>
    <row r="740" spans="1:7" x14ac:dyDescent="0.25">
      <c r="A740" s="31">
        <v>45636</v>
      </c>
      <c r="B740" s="32">
        <v>59066.589355468801</v>
      </c>
      <c r="C740" s="33">
        <f t="shared" si="47"/>
        <v>-3.1089910422197331E-3</v>
      </c>
      <c r="D740" s="32">
        <f>MAX($B$2:B740)</f>
        <v>59557.501220703103</v>
      </c>
      <c r="E740" s="34">
        <f t="shared" si="44"/>
        <v>-8.2426538248325798E-3</v>
      </c>
      <c r="F740" s="35">
        <f t="shared" si="45"/>
        <v>131.40905433256754</v>
      </c>
      <c r="G740" s="36" t="str">
        <f t="shared" si="46"/>
        <v>2024-12</v>
      </c>
    </row>
    <row r="741" spans="1:7" x14ac:dyDescent="0.25">
      <c r="A741" s="37">
        <v>45637</v>
      </c>
      <c r="B741" s="38">
        <v>59523.2177734375</v>
      </c>
      <c r="C741" s="39">
        <f t="shared" si="47"/>
        <v>7.7307395424621728E-3</v>
      </c>
      <c r="D741" s="38">
        <f>MAX($B$2:B741)</f>
        <v>59557.501220703103</v>
      </c>
      <c r="E741" s="40">
        <f t="shared" si="44"/>
        <v>-5.7563609222888168E-4</v>
      </c>
      <c r="F741" s="41">
        <f t="shared" si="45"/>
        <v>132.42494350513388</v>
      </c>
      <c r="G741" s="42" t="str">
        <f t="shared" si="46"/>
        <v>2024-12</v>
      </c>
    </row>
    <row r="742" spans="1:7" x14ac:dyDescent="0.25">
      <c r="A742" s="31">
        <v>45638</v>
      </c>
      <c r="B742" s="32">
        <v>59216.516113281301</v>
      </c>
      <c r="C742" s="33">
        <f t="shared" si="47"/>
        <v>-5.1526391151028861E-3</v>
      </c>
      <c r="D742" s="32">
        <f>MAX($B$2:B742)</f>
        <v>59557.501220703103</v>
      </c>
      <c r="E742" s="34">
        <f t="shared" si="44"/>
        <v>-5.7253091622868624E-3</v>
      </c>
      <c r="F742" s="35">
        <f t="shared" si="45"/>
        <v>131.74260556141405</v>
      </c>
      <c r="G742" s="36" t="str">
        <f t="shared" si="46"/>
        <v>2024-12</v>
      </c>
    </row>
    <row r="743" spans="1:7" x14ac:dyDescent="0.25">
      <c r="A743" s="37">
        <v>45639</v>
      </c>
      <c r="B743" s="38">
        <v>59204.748535156301</v>
      </c>
      <c r="C743" s="39">
        <f t="shared" si="47"/>
        <v>-1.9872121660258202E-4</v>
      </c>
      <c r="D743" s="38">
        <f>MAX($B$2:B743)</f>
        <v>59557.501220703103</v>
      </c>
      <c r="E743" s="40">
        <f t="shared" si="44"/>
        <v>-5.9228926384873315E-3</v>
      </c>
      <c r="F743" s="41">
        <f t="shared" si="45"/>
        <v>131.71642551055848</v>
      </c>
      <c r="G743" s="42" t="str">
        <f t="shared" si="46"/>
        <v>2024-12</v>
      </c>
    </row>
    <row r="744" spans="1:7" x14ac:dyDescent="0.25">
      <c r="A744" s="31">
        <v>45642</v>
      </c>
      <c r="B744" s="32">
        <v>59457.550048828103</v>
      </c>
      <c r="C744" s="33">
        <f t="shared" si="47"/>
        <v>4.2699533386529875E-3</v>
      </c>
      <c r="D744" s="32">
        <f>MAX($B$2:B744)</f>
        <v>59557.501220703103</v>
      </c>
      <c r="E744" s="34">
        <f t="shared" si="44"/>
        <v>-1.6782297750305153E-3</v>
      </c>
      <c r="F744" s="35">
        <f t="shared" si="45"/>
        <v>132.27884850142274</v>
      </c>
      <c r="G744" s="36" t="str">
        <f t="shared" si="46"/>
        <v>2024-12</v>
      </c>
    </row>
    <row r="745" spans="1:7" x14ac:dyDescent="0.25">
      <c r="A745" s="37">
        <v>45643</v>
      </c>
      <c r="B745" s="38">
        <v>59212.591552734397</v>
      </c>
      <c r="C745" s="39">
        <f t="shared" si="47"/>
        <v>-4.1198888264407652E-3</v>
      </c>
      <c r="D745" s="38">
        <f>MAX($B$2:B745)</f>
        <v>59557.501220703103</v>
      </c>
      <c r="E745" s="40">
        <f t="shared" si="44"/>
        <v>-5.7912044813728247E-3</v>
      </c>
      <c r="F745" s="41">
        <f t="shared" si="45"/>
        <v>131.73387435150727</v>
      </c>
      <c r="G745" s="42" t="str">
        <f t="shared" si="46"/>
        <v>2024-12</v>
      </c>
    </row>
    <row r="746" spans="1:7" x14ac:dyDescent="0.25">
      <c r="A746" s="31">
        <v>45644</v>
      </c>
      <c r="B746" s="32">
        <v>57447.839355468801</v>
      </c>
      <c r="C746" s="33">
        <f t="shared" si="47"/>
        <v>-2.9803664237426863E-2</v>
      </c>
      <c r="D746" s="32">
        <f>MAX($B$2:B746)</f>
        <v>59557.501220703103</v>
      </c>
      <c r="E746" s="34">
        <f t="shared" si="44"/>
        <v>-3.5422269604906687E-2</v>
      </c>
      <c r="F746" s="35">
        <f t="shared" si="45"/>
        <v>127.80772219163956</v>
      </c>
      <c r="G746" s="36" t="str">
        <f t="shared" si="46"/>
        <v>2024-12</v>
      </c>
    </row>
    <row r="747" spans="1:7" x14ac:dyDescent="0.25">
      <c r="A747" s="37">
        <v>45645</v>
      </c>
      <c r="B747" s="38">
        <v>57430.2001953125</v>
      </c>
      <c r="C747" s="39">
        <f t="shared" si="47"/>
        <v>-3.070465374189757E-4</v>
      </c>
      <c r="D747" s="38">
        <f>MAX($B$2:B747)</f>
        <v>59557.501220703103</v>
      </c>
      <c r="E747" s="40">
        <f t="shared" si="44"/>
        <v>-3.5718439857095996E-2</v>
      </c>
      <c r="F747" s="41">
        <f t="shared" si="45"/>
        <v>127.76847927308521</v>
      </c>
      <c r="G747" s="42" t="str">
        <f t="shared" si="46"/>
        <v>2024-12</v>
      </c>
    </row>
    <row r="748" spans="1:7" x14ac:dyDescent="0.25">
      <c r="A748" s="31">
        <v>45646</v>
      </c>
      <c r="B748" s="32">
        <v>58119.9951171875</v>
      </c>
      <c r="C748" s="33">
        <f t="shared" si="47"/>
        <v>1.2011013709321894E-2</v>
      </c>
      <c r="D748" s="32">
        <f>MAX($B$2:B748)</f>
        <v>59557.501220703103</v>
      </c>
      <c r="E748" s="34">
        <f t="shared" si="44"/>
        <v>-2.4136440818573246E-2</v>
      </c>
      <c r="F748" s="35">
        <f t="shared" si="45"/>
        <v>129.30310822925347</v>
      </c>
      <c r="G748" s="36" t="str">
        <f t="shared" si="46"/>
        <v>2024-12</v>
      </c>
    </row>
    <row r="749" spans="1:7" x14ac:dyDescent="0.25">
      <c r="A749" s="37">
        <v>45649</v>
      </c>
      <c r="B749" s="38">
        <v>58468.035888671897</v>
      </c>
      <c r="C749" s="39">
        <f t="shared" si="47"/>
        <v>5.9883138459086993E-3</v>
      </c>
      <c r="D749" s="38">
        <f>MAX($B$2:B749)</f>
        <v>59557.501220703103</v>
      </c>
      <c r="E749" s="40">
        <f t="shared" si="44"/>
        <v>-1.8292663555409372E-2</v>
      </c>
      <c r="F749" s="41">
        <f t="shared" si="45"/>
        <v>130.07741582258171</v>
      </c>
      <c r="G749" s="42" t="str">
        <f t="shared" si="46"/>
        <v>2024-12</v>
      </c>
    </row>
    <row r="750" spans="1:7" x14ac:dyDescent="0.25">
      <c r="A750" s="31">
        <v>45650</v>
      </c>
      <c r="B750" s="32">
        <v>59117.913818359397</v>
      </c>
      <c r="C750" s="33">
        <f t="shared" si="47"/>
        <v>1.1115097673623398E-2</v>
      </c>
      <c r="D750" s="32">
        <f>MAX($B$2:B750)</f>
        <v>59557.501220703103</v>
      </c>
      <c r="E750" s="34">
        <f t="shared" si="44"/>
        <v>-7.3808906239152261E-3</v>
      </c>
      <c r="F750" s="35">
        <f t="shared" si="45"/>
        <v>131.52323900458222</v>
      </c>
      <c r="G750" s="36" t="str">
        <f t="shared" si="46"/>
        <v>2024-12</v>
      </c>
    </row>
    <row r="751" spans="1:7" x14ac:dyDescent="0.25">
      <c r="A751" s="37">
        <v>45652</v>
      </c>
      <c r="B751" s="38">
        <v>59121.844482421897</v>
      </c>
      <c r="C751" s="39">
        <f t="shared" si="47"/>
        <v>6.6488544818721351E-5</v>
      </c>
      <c r="D751" s="38">
        <f>MAX($B$2:B751)</f>
        <v>59557.501220703103</v>
      </c>
      <c r="E751" s="40">
        <f t="shared" si="44"/>
        <v>-7.3148928237735111E-3</v>
      </c>
      <c r="F751" s="41">
        <f t="shared" si="45"/>
        <v>131.5319837933535</v>
      </c>
      <c r="G751" s="42" t="str">
        <f t="shared" si="46"/>
        <v>2024-12</v>
      </c>
    </row>
    <row r="752" spans="1:7" x14ac:dyDescent="0.25">
      <c r="A752" s="31">
        <v>45653</v>
      </c>
      <c r="B752" s="32">
        <v>58499.499511718801</v>
      </c>
      <c r="C752" s="33">
        <f t="shared" si="47"/>
        <v>-1.0526480967421925E-2</v>
      </c>
      <c r="D752" s="32">
        <f>MAX($B$2:B752)</f>
        <v>59557.501220703103</v>
      </c>
      <c r="E752" s="34">
        <f t="shared" si="44"/>
        <v>-1.7764373711107395E-2</v>
      </c>
      <c r="F752" s="35">
        <f t="shared" si="45"/>
        <v>130.14741486934548</v>
      </c>
      <c r="G752" s="36" t="str">
        <f t="shared" si="46"/>
        <v>2024-12</v>
      </c>
    </row>
    <row r="753" spans="1:7" x14ac:dyDescent="0.25">
      <c r="A753" s="37">
        <v>45656</v>
      </c>
      <c r="B753" s="38">
        <v>57831.927490234397</v>
      </c>
      <c r="C753" s="39">
        <f t="shared" si="47"/>
        <v>-1.141158517690688E-2</v>
      </c>
      <c r="D753" s="38">
        <f>MAX($B$2:B753)</f>
        <v>59557.501220703103</v>
      </c>
      <c r="E753" s="40">
        <f t="shared" si="44"/>
        <v>-2.8973239224295622E-2</v>
      </c>
      <c r="F753" s="41">
        <f t="shared" si="45"/>
        <v>128.66222655900972</v>
      </c>
      <c r="G753" s="42" t="str">
        <f t="shared" si="46"/>
        <v>2024-12</v>
      </c>
    </row>
    <row r="754" spans="1:7" x14ac:dyDescent="0.25">
      <c r="A754" s="31">
        <v>45657</v>
      </c>
      <c r="B754" s="32">
        <v>57621.527099609397</v>
      </c>
      <c r="C754" s="33">
        <f t="shared" si="47"/>
        <v>-3.63813553785719E-3</v>
      </c>
      <c r="D754" s="32">
        <f>MAX($B$2:B754)</f>
        <v>59557.501220703103</v>
      </c>
      <c r="E754" s="34">
        <f t="shared" si="44"/>
        <v>-3.2505966190883973E-2</v>
      </c>
      <c r="F754" s="35">
        <f t="shared" si="45"/>
        <v>128.19413594018553</v>
      </c>
      <c r="G754" s="36" t="str">
        <f t="shared" si="46"/>
        <v>2024-12</v>
      </c>
    </row>
    <row r="755" spans="1:7" x14ac:dyDescent="0.25">
      <c r="A755" s="37">
        <v>45659</v>
      </c>
      <c r="B755" s="38">
        <v>57479.9560546875</v>
      </c>
      <c r="C755" s="39">
        <f t="shared" si="47"/>
        <v>-2.456912408398404E-3</v>
      </c>
      <c r="D755" s="38">
        <f>MAX($B$2:B755)</f>
        <v>59557.501220703103</v>
      </c>
      <c r="E755" s="40">
        <f t="shared" si="44"/>
        <v>-3.48830142876011E-2</v>
      </c>
      <c r="F755" s="41">
        <f t="shared" si="45"/>
        <v>127.8791741769102</v>
      </c>
      <c r="G755" s="42" t="str">
        <f t="shared" si="46"/>
        <v>2025-01</v>
      </c>
    </row>
    <row r="756" spans="1:7" x14ac:dyDescent="0.25">
      <c r="A756" s="31">
        <v>45660</v>
      </c>
      <c r="B756" s="32">
        <v>58198.651123046897</v>
      </c>
      <c r="C756" s="33">
        <f t="shared" si="47"/>
        <v>1.2503403232869914E-2</v>
      </c>
      <c r="D756" s="32">
        <f>MAX($B$2:B756)</f>
        <v>59557.501220703103</v>
      </c>
      <c r="E756" s="34">
        <f t="shared" si="44"/>
        <v>-2.2815767448347013E-2</v>
      </c>
      <c r="F756" s="35">
        <f t="shared" si="45"/>
        <v>129.47809905673049</v>
      </c>
      <c r="G756" s="36" t="str">
        <f t="shared" si="46"/>
        <v>2025-01</v>
      </c>
    </row>
    <row r="757" spans="1:7" x14ac:dyDescent="0.25">
      <c r="A757" s="37">
        <v>45663</v>
      </c>
      <c r="B757" s="38">
        <v>58533.9111328125</v>
      </c>
      <c r="C757" s="39">
        <f t="shared" si="47"/>
        <v>5.760614778799189E-3</v>
      </c>
      <c r="D757" s="38">
        <f>MAX($B$2:B757)</f>
        <v>59557.501220703103</v>
      </c>
      <c r="E757" s="40">
        <f t="shared" si="44"/>
        <v>-1.7186585516700381E-2</v>
      </c>
      <c r="F757" s="41">
        <f t="shared" si="45"/>
        <v>130.22397250768753</v>
      </c>
      <c r="G757" s="42" t="str">
        <f t="shared" si="46"/>
        <v>2025-01</v>
      </c>
    </row>
    <row r="758" spans="1:7" x14ac:dyDescent="0.25">
      <c r="A758" s="31">
        <v>45664</v>
      </c>
      <c r="B758" s="32">
        <v>57872.235107421897</v>
      </c>
      <c r="C758" s="33">
        <f t="shared" si="47"/>
        <v>-1.1304148528350821E-2</v>
      </c>
      <c r="D758" s="32">
        <f>MAX($B$2:B758)</f>
        <v>59557.501220703103</v>
      </c>
      <c r="E758" s="34">
        <f t="shared" si="44"/>
        <v>-2.8296454329675313E-2</v>
      </c>
      <c r="F758" s="35">
        <f t="shared" si="45"/>
        <v>128.75190138050874</v>
      </c>
      <c r="G758" s="36" t="str">
        <f t="shared" si="46"/>
        <v>2025-01</v>
      </c>
    </row>
    <row r="759" spans="1:7" x14ac:dyDescent="0.25">
      <c r="A759" s="37">
        <v>45665</v>
      </c>
      <c r="B759" s="38">
        <v>57956.787109375</v>
      </c>
      <c r="C759" s="39">
        <f t="shared" si="47"/>
        <v>1.4610115160778037E-3</v>
      </c>
      <c r="D759" s="38">
        <f>MAX($B$2:B759)</f>
        <v>59557.501220703103</v>
      </c>
      <c r="E759" s="40">
        <f t="shared" si="44"/>
        <v>-2.6876784259237341E-2</v>
      </c>
      <c r="F759" s="41">
        <f t="shared" si="45"/>
        <v>128.94000939114258</v>
      </c>
      <c r="G759" s="42" t="str">
        <f t="shared" si="46"/>
        <v>2025-01</v>
      </c>
    </row>
    <row r="760" spans="1:7" x14ac:dyDescent="0.25">
      <c r="A760" s="31">
        <v>45667</v>
      </c>
      <c r="B760" s="32">
        <v>57071.936035156301</v>
      </c>
      <c r="C760" s="33">
        <f t="shared" si="47"/>
        <v>-1.5267427998533201E-2</v>
      </c>
      <c r="D760" s="32">
        <f>MAX($B$2:B760)</f>
        <v>59557.501220703103</v>
      </c>
      <c r="E760" s="34">
        <f t="shared" si="44"/>
        <v>-4.1733872889260559E-2</v>
      </c>
      <c r="F760" s="35">
        <f t="shared" si="45"/>
        <v>126.97142708163311</v>
      </c>
      <c r="G760" s="36" t="str">
        <f t="shared" si="46"/>
        <v>2025-01</v>
      </c>
    </row>
    <row r="761" spans="1:7" x14ac:dyDescent="0.25">
      <c r="A761" s="37">
        <v>45670</v>
      </c>
      <c r="B761" s="38">
        <v>57160.4248046875</v>
      </c>
      <c r="C761" s="39">
        <f t="shared" si="47"/>
        <v>1.5504777948427417E-3</v>
      </c>
      <c r="D761" s="38">
        <f>MAX($B$2:B761)</f>
        <v>59557.501220703103</v>
      </c>
      <c r="E761" s="40">
        <f t="shared" si="44"/>
        <v>-4.0248102537625341E-2</v>
      </c>
      <c r="F761" s="41">
        <f t="shared" si="45"/>
        <v>127.16829345990269</v>
      </c>
      <c r="G761" s="42" t="str">
        <f t="shared" si="46"/>
        <v>2025-01</v>
      </c>
    </row>
    <row r="762" spans="1:7" x14ac:dyDescent="0.25">
      <c r="A762" s="31">
        <v>45671</v>
      </c>
      <c r="B762" s="32">
        <v>57239.068603515603</v>
      </c>
      <c r="C762" s="33">
        <f t="shared" si="47"/>
        <v>1.3758434983088819E-3</v>
      </c>
      <c r="D762" s="32">
        <f>MAX($B$2:B762)</f>
        <v>59557.501220703103</v>
      </c>
      <c r="E762" s="34">
        <f t="shared" si="44"/>
        <v>-3.8927634129512056E-2</v>
      </c>
      <c r="F762" s="35">
        <f t="shared" si="45"/>
        <v>127.34325712965054</v>
      </c>
      <c r="G762" s="36" t="str">
        <f t="shared" si="46"/>
        <v>2025-01</v>
      </c>
    </row>
    <row r="763" spans="1:7" x14ac:dyDescent="0.25">
      <c r="A763" s="37">
        <v>45672</v>
      </c>
      <c r="B763" s="38">
        <v>58280.2490234375</v>
      </c>
      <c r="C763" s="39">
        <f t="shared" si="47"/>
        <v>1.8190030783588718E-2</v>
      </c>
      <c r="D763" s="38">
        <f>MAX($B$2:B763)</f>
        <v>59557.501220703103</v>
      </c>
      <c r="E763" s="40">
        <f t="shared" si="44"/>
        <v>-2.1445698209071495E-2</v>
      </c>
      <c r="F763" s="41">
        <f t="shared" si="45"/>
        <v>129.65963489692135</v>
      </c>
      <c r="G763" s="42" t="str">
        <f t="shared" si="46"/>
        <v>2025-01</v>
      </c>
    </row>
    <row r="764" spans="1:7" x14ac:dyDescent="0.25">
      <c r="A764" s="31">
        <v>45673</v>
      </c>
      <c r="B764" s="32">
        <v>58168.170166015603</v>
      </c>
      <c r="C764" s="33">
        <f t="shared" si="47"/>
        <v>-1.9231018964387392E-3</v>
      </c>
      <c r="D764" s="32">
        <f>MAX($B$2:B764)</f>
        <v>59557.501220703103</v>
      </c>
      <c r="E764" s="34">
        <f t="shared" si="44"/>
        <v>-2.3327557842613866E-2</v>
      </c>
      <c r="F764" s="35">
        <f t="shared" si="45"/>
        <v>129.41028620715952</v>
      </c>
      <c r="G764" s="36" t="str">
        <f t="shared" si="46"/>
        <v>2025-01</v>
      </c>
    </row>
    <row r="765" spans="1:7" x14ac:dyDescent="0.25">
      <c r="A765" s="37">
        <v>45674</v>
      </c>
      <c r="B765" s="38">
        <v>58752.178955078103</v>
      </c>
      <c r="C765" s="39">
        <f t="shared" si="47"/>
        <v>1.0040006199192764E-2</v>
      </c>
      <c r="D765" s="38">
        <f>MAX($B$2:B765)</f>
        <v>59557.501220703103</v>
      </c>
      <c r="E765" s="40">
        <f t="shared" si="44"/>
        <v>-1.3521760468772959E-2</v>
      </c>
      <c r="F765" s="41">
        <f t="shared" si="45"/>
        <v>130.7095662829187</v>
      </c>
      <c r="G765" s="42" t="str">
        <f t="shared" si="46"/>
        <v>2025-01</v>
      </c>
    </row>
    <row r="766" spans="1:7" x14ac:dyDescent="0.25">
      <c r="A766" s="31">
        <v>45678</v>
      </c>
      <c r="B766" s="32">
        <v>59289.959716796897</v>
      </c>
      <c r="C766" s="33">
        <f t="shared" si="47"/>
        <v>9.1533756072261774E-3</v>
      </c>
      <c r="D766" s="32">
        <f>MAX($B$2:B766)</f>
        <v>59557.501220703103</v>
      </c>
      <c r="E766" s="34">
        <f t="shared" si="44"/>
        <v>-4.4921546139884416E-3</v>
      </c>
      <c r="F766" s="35">
        <f t="shared" si="45"/>
        <v>131.90600003856389</v>
      </c>
      <c r="G766" s="36" t="str">
        <f t="shared" si="46"/>
        <v>2025-01</v>
      </c>
    </row>
    <row r="767" spans="1:7" x14ac:dyDescent="0.25">
      <c r="A767" s="37">
        <v>45679</v>
      </c>
      <c r="B767" s="38">
        <v>59623.260498046897</v>
      </c>
      <c r="C767" s="39">
        <f t="shared" si="47"/>
        <v>5.6215383319879741E-3</v>
      </c>
      <c r="D767" s="38">
        <f>MAX($B$2:B767)</f>
        <v>59623.260498046897</v>
      </c>
      <c r="E767" s="40">
        <f t="shared" si="44"/>
        <v>0</v>
      </c>
      <c r="F767" s="41">
        <f t="shared" si="45"/>
        <v>132.64751467399986</v>
      </c>
      <c r="G767" s="42" t="str">
        <f t="shared" si="46"/>
        <v>2025-01</v>
      </c>
    </row>
    <row r="768" spans="1:7" x14ac:dyDescent="0.25">
      <c r="A768" s="31">
        <v>45680</v>
      </c>
      <c r="B768" s="32">
        <v>59948.681640625</v>
      </c>
      <c r="C768" s="33">
        <f t="shared" si="47"/>
        <v>5.4579561711283198E-3</v>
      </c>
      <c r="D768" s="32">
        <f>MAX($B$2:B768)</f>
        <v>59948.681640625</v>
      </c>
      <c r="E768" s="34">
        <f t="shared" si="44"/>
        <v>0</v>
      </c>
      <c r="F768" s="35">
        <f t="shared" si="45"/>
        <v>133.37149899529965</v>
      </c>
      <c r="G768" s="36" t="str">
        <f t="shared" si="46"/>
        <v>2025-01</v>
      </c>
    </row>
    <row r="769" spans="1:7" x14ac:dyDescent="0.25">
      <c r="A769" s="37">
        <v>45681</v>
      </c>
      <c r="B769" s="38">
        <v>59773.681640625</v>
      </c>
      <c r="C769" s="39">
        <f t="shared" si="47"/>
        <v>-2.9191634446454895E-3</v>
      </c>
      <c r="D769" s="38">
        <f>MAX($B$2:B769)</f>
        <v>59948.681640625</v>
      </c>
      <c r="E769" s="40">
        <f t="shared" si="44"/>
        <v>-2.9191634446454895E-3</v>
      </c>
      <c r="F769" s="41">
        <f t="shared" si="45"/>
        <v>132.982165790875</v>
      </c>
      <c r="G769" s="42" t="str">
        <f t="shared" si="46"/>
        <v>2025-01</v>
      </c>
    </row>
    <row r="770" spans="1:7" x14ac:dyDescent="0.25">
      <c r="A770" s="31">
        <v>45684</v>
      </c>
      <c r="B770" s="32">
        <v>58928.155517578103</v>
      </c>
      <c r="C770" s="33">
        <f t="shared" si="47"/>
        <v>-1.4145458332823102E-2</v>
      </c>
      <c r="D770" s="32">
        <f>MAX($B$2:B770)</f>
        <v>59948.681640625</v>
      </c>
      <c r="E770" s="34">
        <f t="shared" ref="E770:E833" si="48">B770/D770-1</f>
        <v>-1.7023328872595611E-2</v>
      </c>
      <c r="F770" s="35">
        <f t="shared" ref="F770:F833" si="49">B770/$B$2*100</f>
        <v>131.10107210567162</v>
      </c>
      <c r="G770" s="36" t="str">
        <f t="shared" ref="G770:G833" si="50">TEXT(A770,"YYYY-MM")</f>
        <v>2025-01</v>
      </c>
    </row>
    <row r="771" spans="1:7" x14ac:dyDescent="0.25">
      <c r="A771" s="37">
        <v>45685</v>
      </c>
      <c r="B771" s="38">
        <v>59434.4970703125</v>
      </c>
      <c r="C771" s="39">
        <f t="shared" ref="C771:C834" si="51">B771/B770-1</f>
        <v>8.5925233580976812E-3</v>
      </c>
      <c r="D771" s="38">
        <f>MAX($B$2:B771)</f>
        <v>59948.681640625</v>
      </c>
      <c r="E771" s="40">
        <f t="shared" si="48"/>
        <v>-8.5770788654684349E-3</v>
      </c>
      <c r="F771" s="41">
        <f t="shared" si="49"/>
        <v>132.22756113001125</v>
      </c>
      <c r="G771" s="42" t="str">
        <f t="shared" si="50"/>
        <v>2025-01</v>
      </c>
    </row>
    <row r="772" spans="1:7" x14ac:dyDescent="0.25">
      <c r="A772" s="31">
        <v>45686</v>
      </c>
      <c r="B772" s="32">
        <v>59168.048095703103</v>
      </c>
      <c r="C772" s="33">
        <f t="shared" si="51"/>
        <v>-4.4830693914037489E-3</v>
      </c>
      <c r="D772" s="32">
        <f>MAX($B$2:B772)</f>
        <v>59948.681640625</v>
      </c>
      <c r="E772" s="34">
        <f t="shared" si="48"/>
        <v>-1.3021696617142808E-2</v>
      </c>
      <c r="F772" s="35">
        <f t="shared" si="49"/>
        <v>131.63477579800931</v>
      </c>
      <c r="G772" s="36" t="str">
        <f t="shared" si="50"/>
        <v>2025-01</v>
      </c>
    </row>
    <row r="773" spans="1:7" x14ac:dyDescent="0.25">
      <c r="A773" s="37">
        <v>45687</v>
      </c>
      <c r="B773" s="38">
        <v>59485.614013671897</v>
      </c>
      <c r="C773" s="39">
        <f t="shared" si="51"/>
        <v>5.3671859760378027E-3</v>
      </c>
      <c r="D773" s="38">
        <f>MAX($B$2:B773)</f>
        <v>59948.681640625</v>
      </c>
      <c r="E773" s="40">
        <f t="shared" si="48"/>
        <v>-7.7244005085725931E-3</v>
      </c>
      <c r="F773" s="41">
        <f t="shared" si="49"/>
        <v>132.34128412063126</v>
      </c>
      <c r="G773" s="42" t="str">
        <f t="shared" si="50"/>
        <v>2025-01</v>
      </c>
    </row>
    <row r="774" spans="1:7" x14ac:dyDescent="0.25">
      <c r="A774" s="31">
        <v>45688</v>
      </c>
      <c r="B774" s="32">
        <v>59169.030761718801</v>
      </c>
      <c r="C774" s="33">
        <f t="shared" si="51"/>
        <v>-5.3220136868779022E-3</v>
      </c>
      <c r="D774" s="32">
        <f>MAX($B$2:B774)</f>
        <v>59948.681640625</v>
      </c>
      <c r="E774" s="34">
        <f t="shared" si="48"/>
        <v>-1.3005304830220998E-2</v>
      </c>
      <c r="F774" s="35">
        <f t="shared" si="49"/>
        <v>131.63696199520228</v>
      </c>
      <c r="G774" s="36" t="str">
        <f t="shared" si="50"/>
        <v>2025-01</v>
      </c>
    </row>
    <row r="775" spans="1:7" x14ac:dyDescent="0.25">
      <c r="A775" s="37">
        <v>45691</v>
      </c>
      <c r="B775" s="38">
        <v>58770.849609375</v>
      </c>
      <c r="C775" s="39">
        <f t="shared" si="51"/>
        <v>-6.7295534034912396E-3</v>
      </c>
      <c r="D775" s="38">
        <f>MAX($B$2:B775)</f>
        <v>59948.681640625</v>
      </c>
      <c r="E775" s="40">
        <f t="shared" si="48"/>
        <v>-1.9647338340328502E-2</v>
      </c>
      <c r="F775" s="41">
        <f t="shared" si="49"/>
        <v>130.75110402958222</v>
      </c>
      <c r="G775" s="42" t="str">
        <f t="shared" si="50"/>
        <v>2025-02</v>
      </c>
    </row>
    <row r="776" spans="1:7" x14ac:dyDescent="0.25">
      <c r="A776" s="31">
        <v>45692</v>
      </c>
      <c r="B776" s="32">
        <v>59165.106201171897</v>
      </c>
      <c r="C776" s="33">
        <f t="shared" si="51"/>
        <v>6.7083697856564761E-3</v>
      </c>
      <c r="D776" s="32">
        <f>MAX($B$2:B776)</f>
        <v>59948.681640625</v>
      </c>
      <c r="E776" s="34">
        <f t="shared" si="48"/>
        <v>-1.3070770165562795E-2</v>
      </c>
      <c r="F776" s="35">
        <f t="shared" si="49"/>
        <v>131.6282307852955</v>
      </c>
      <c r="G776" s="36" t="str">
        <f t="shared" si="50"/>
        <v>2025-02</v>
      </c>
    </row>
    <row r="777" spans="1:7" x14ac:dyDescent="0.25">
      <c r="A777" s="37">
        <v>45693</v>
      </c>
      <c r="B777" s="38">
        <v>59404.992675781301</v>
      </c>
      <c r="C777" s="39">
        <f t="shared" si="51"/>
        <v>4.05452622350988E-3</v>
      </c>
      <c r="D777" s="38">
        <f>MAX($B$2:B777)</f>
        <v>59948.681640625</v>
      </c>
      <c r="E777" s="40">
        <f t="shared" si="48"/>
        <v>-9.0692397224505505E-3</v>
      </c>
      <c r="F777" s="41">
        <f t="shared" si="49"/>
        <v>132.1619208987687</v>
      </c>
      <c r="G777" s="42" t="str">
        <f t="shared" si="50"/>
        <v>2025-02</v>
      </c>
    </row>
    <row r="778" spans="1:7" x14ac:dyDescent="0.25">
      <c r="A778" s="31">
        <v>45694</v>
      </c>
      <c r="B778" s="32">
        <v>59611.462402343801</v>
      </c>
      <c r="C778" s="33">
        <f t="shared" si="51"/>
        <v>3.4756291897781733E-3</v>
      </c>
      <c r="D778" s="32">
        <f>MAX($B$2:B778)</f>
        <v>59948.681640625</v>
      </c>
      <c r="E778" s="34">
        <f t="shared" si="48"/>
        <v>-5.6251318469808798E-3</v>
      </c>
      <c r="F778" s="35">
        <f t="shared" si="49"/>
        <v>132.62126672882161</v>
      </c>
      <c r="G778" s="36" t="str">
        <f t="shared" si="50"/>
        <v>2025-02</v>
      </c>
    </row>
    <row r="779" spans="1:7" x14ac:dyDescent="0.25">
      <c r="A779" s="37">
        <v>45695</v>
      </c>
      <c r="B779" s="38">
        <v>59065.808105468801</v>
      </c>
      <c r="C779" s="39">
        <f t="shared" si="51"/>
        <v>-9.153513013858694E-3</v>
      </c>
      <c r="D779" s="38">
        <f>MAX($B$2:B779)</f>
        <v>59948.681640625</v>
      </c>
      <c r="E779" s="40">
        <f t="shared" si="48"/>
        <v>-1.4727155143273496E-2</v>
      </c>
      <c r="F779" s="41">
        <f t="shared" si="49"/>
        <v>131.40731623790492</v>
      </c>
      <c r="G779" s="42" t="str">
        <f t="shared" si="50"/>
        <v>2025-02</v>
      </c>
    </row>
    <row r="780" spans="1:7" x14ac:dyDescent="0.25">
      <c r="A780" s="31">
        <v>45698</v>
      </c>
      <c r="B780" s="32">
        <v>59466.931152343801</v>
      </c>
      <c r="C780" s="33">
        <f t="shared" si="51"/>
        <v>6.7911209503601633E-3</v>
      </c>
      <c r="D780" s="32">
        <f>MAX($B$2:B780)</f>
        <v>59948.681640625</v>
      </c>
      <c r="E780" s="34">
        <f t="shared" si="48"/>
        <v>-8.0360480847461169E-3</v>
      </c>
      <c r="F780" s="35">
        <f t="shared" si="49"/>
        <v>132.29971921623874</v>
      </c>
      <c r="G780" s="36" t="str">
        <f t="shared" si="50"/>
        <v>2025-02</v>
      </c>
    </row>
    <row r="781" spans="1:7" x14ac:dyDescent="0.25">
      <c r="A781" s="37">
        <v>45699</v>
      </c>
      <c r="B781" s="38">
        <v>59512.164306640603</v>
      </c>
      <c r="C781" s="39">
        <f t="shared" si="51"/>
        <v>7.6064383044971429E-4</v>
      </c>
      <c r="D781" s="38">
        <f>MAX($B$2:B781)</f>
        <v>59948.681640625</v>
      </c>
      <c r="E781" s="40">
        <f t="shared" si="48"/>
        <v>-7.281516824693357E-3</v>
      </c>
      <c r="F781" s="41">
        <f t="shared" si="49"/>
        <v>132.4003521814308</v>
      </c>
      <c r="G781" s="42" t="str">
        <f t="shared" si="50"/>
        <v>2025-02</v>
      </c>
    </row>
    <row r="782" spans="1:7" x14ac:dyDescent="0.25">
      <c r="A782" s="31">
        <v>45700</v>
      </c>
      <c r="B782" s="32">
        <v>59320.446777343801</v>
      </c>
      <c r="C782" s="33">
        <f t="shared" si="51"/>
        <v>-3.2214847423287507E-3</v>
      </c>
      <c r="D782" s="32">
        <f>MAX($B$2:B782)</f>
        <v>59948.681640625</v>
      </c>
      <c r="E782" s="34">
        <f t="shared" si="48"/>
        <v>-1.0479544271670305E-2</v>
      </c>
      <c r="F782" s="35">
        <f t="shared" si="49"/>
        <v>131.97382646699938</v>
      </c>
      <c r="G782" s="36" t="str">
        <f t="shared" si="50"/>
        <v>2025-02</v>
      </c>
    </row>
    <row r="783" spans="1:7" x14ac:dyDescent="0.25">
      <c r="A783" s="37">
        <v>45701</v>
      </c>
      <c r="B783" s="38">
        <v>59946.716308593801</v>
      </c>
      <c r="C783" s="39">
        <f t="shared" si="51"/>
        <v>1.0557397411396385E-2</v>
      </c>
      <c r="D783" s="38">
        <f>MAX($B$2:B783)</f>
        <v>59948.681640625</v>
      </c>
      <c r="E783" s="40">
        <f t="shared" si="48"/>
        <v>-3.2783573840400315E-5</v>
      </c>
      <c r="F783" s="41">
        <f t="shared" si="49"/>
        <v>133.36712660091413</v>
      </c>
      <c r="G783" s="42" t="str">
        <f t="shared" si="50"/>
        <v>2025-02</v>
      </c>
    </row>
    <row r="784" spans="1:7" x14ac:dyDescent="0.25">
      <c r="A784" s="31">
        <v>45702</v>
      </c>
      <c r="B784" s="32">
        <v>59943.768310546897</v>
      </c>
      <c r="C784" s="33">
        <f t="shared" si="51"/>
        <v>-4.9176972959252829E-5</v>
      </c>
      <c r="D784" s="32">
        <f>MAX($B$2:B784)</f>
        <v>59948.681640625</v>
      </c>
      <c r="E784" s="34">
        <f t="shared" si="48"/>
        <v>-8.1958934602721634E-5</v>
      </c>
      <c r="F784" s="35">
        <f t="shared" si="49"/>
        <v>133.36056800933565</v>
      </c>
      <c r="G784" s="36" t="str">
        <f t="shared" si="50"/>
        <v>2025-02</v>
      </c>
    </row>
    <row r="785" spans="1:7" x14ac:dyDescent="0.25">
      <c r="A785" s="37">
        <v>45706</v>
      </c>
      <c r="B785" s="38">
        <v>60119.763183593801</v>
      </c>
      <c r="C785" s="39">
        <f t="shared" si="51"/>
        <v>2.9359994876387852E-3</v>
      </c>
      <c r="D785" s="38">
        <f>MAX($B$2:B785)</f>
        <v>60119.763183593801</v>
      </c>
      <c r="E785" s="40">
        <f t="shared" si="48"/>
        <v>0</v>
      </c>
      <c r="F785" s="41">
        <f t="shared" si="49"/>
        <v>133.75211456868226</v>
      </c>
      <c r="G785" s="42" t="str">
        <f t="shared" si="50"/>
        <v>2025-02</v>
      </c>
    </row>
    <row r="786" spans="1:7" x14ac:dyDescent="0.25">
      <c r="A786" s="31">
        <v>45707</v>
      </c>
      <c r="B786" s="32">
        <v>60261.340332031301</v>
      </c>
      <c r="C786" s="33">
        <f t="shared" si="51"/>
        <v>2.3549185981512899E-3</v>
      </c>
      <c r="D786" s="32">
        <f>MAX($B$2:B786)</f>
        <v>60261.340332031301</v>
      </c>
      <c r="E786" s="34">
        <f t="shared" si="48"/>
        <v>0</v>
      </c>
      <c r="F786" s="35">
        <f t="shared" si="49"/>
        <v>134.06708991082212</v>
      </c>
      <c r="G786" s="36" t="str">
        <f t="shared" si="50"/>
        <v>2025-02</v>
      </c>
    </row>
    <row r="787" spans="1:7" x14ac:dyDescent="0.25">
      <c r="A787" s="37">
        <v>45708</v>
      </c>
      <c r="B787" s="38">
        <v>60010.626220703103</v>
      </c>
      <c r="C787" s="39">
        <f t="shared" si="51"/>
        <v>-4.1604469788889542E-3</v>
      </c>
      <c r="D787" s="38">
        <f>MAX($B$2:B787)</f>
        <v>60261.340332031301</v>
      </c>
      <c r="E787" s="40">
        <f t="shared" si="48"/>
        <v>-4.1604469788889542E-3</v>
      </c>
      <c r="F787" s="41">
        <f t="shared" si="49"/>
        <v>133.50931089163421</v>
      </c>
      <c r="G787" s="42" t="str">
        <f t="shared" si="50"/>
        <v>2025-02</v>
      </c>
    </row>
    <row r="788" spans="1:7" x14ac:dyDescent="0.25">
      <c r="A788" s="31">
        <v>45709</v>
      </c>
      <c r="B788" s="32">
        <v>58984.197998046897</v>
      </c>
      <c r="C788" s="33">
        <f t="shared" si="51"/>
        <v>-1.7104107843855409E-2</v>
      </c>
      <c r="D788" s="32">
        <f>MAX($B$2:B788)</f>
        <v>60261.340332031301</v>
      </c>
      <c r="E788" s="34">
        <f t="shared" si="48"/>
        <v>-2.1193394088938833E-2</v>
      </c>
      <c r="F788" s="35">
        <f t="shared" si="49"/>
        <v>131.22575323998487</v>
      </c>
      <c r="G788" s="36" t="str">
        <f t="shared" si="50"/>
        <v>2025-02</v>
      </c>
    </row>
    <row r="789" spans="1:7" x14ac:dyDescent="0.25">
      <c r="A789" s="37">
        <v>45712</v>
      </c>
      <c r="B789" s="38">
        <v>58715.789794921897</v>
      </c>
      <c r="C789" s="39">
        <f t="shared" si="51"/>
        <v>-4.5505103440397487E-3</v>
      </c>
      <c r="D789" s="38">
        <f>MAX($B$2:B789)</f>
        <v>60261.340332031301</v>
      </c>
      <c r="E789" s="40">
        <f t="shared" si="48"/>
        <v>-2.5647463673951543E-2</v>
      </c>
      <c r="F789" s="41">
        <f t="shared" si="49"/>
        <v>130.62860909246191</v>
      </c>
      <c r="G789" s="42" t="str">
        <f t="shared" si="50"/>
        <v>2025-02</v>
      </c>
    </row>
    <row r="790" spans="1:7" x14ac:dyDescent="0.25">
      <c r="A790" s="31">
        <v>45713</v>
      </c>
      <c r="B790" s="32">
        <v>58423.797607421897</v>
      </c>
      <c r="C790" s="33">
        <f t="shared" si="51"/>
        <v>-4.9729755576796153E-3</v>
      </c>
      <c r="D790" s="32">
        <f>MAX($B$2:B790)</f>
        <v>60261.340332031301</v>
      </c>
      <c r="E790" s="34">
        <f t="shared" si="48"/>
        <v>-3.0492895021664079E-2</v>
      </c>
      <c r="F790" s="35">
        <f t="shared" si="49"/>
        <v>129.97899621231142</v>
      </c>
      <c r="G790" s="36" t="str">
        <f t="shared" si="50"/>
        <v>2025-02</v>
      </c>
    </row>
    <row r="791" spans="1:7" x14ac:dyDescent="0.25">
      <c r="A791" s="37">
        <v>45714</v>
      </c>
      <c r="B791" s="38">
        <v>58453.283691406301</v>
      </c>
      <c r="C791" s="39">
        <f t="shared" si="51"/>
        <v>5.0469303934219667E-4</v>
      </c>
      <c r="D791" s="38">
        <f>MAX($B$2:B791)</f>
        <v>60261.340332031301</v>
      </c>
      <c r="E791" s="40">
        <f t="shared" si="48"/>
        <v>-3.0003591534188745E-2</v>
      </c>
      <c r="F791" s="41">
        <f t="shared" si="49"/>
        <v>130.04459570696048</v>
      </c>
      <c r="G791" s="42" t="str">
        <f t="shared" si="50"/>
        <v>2025-02</v>
      </c>
    </row>
    <row r="792" spans="1:7" x14ac:dyDescent="0.25">
      <c r="A792" s="31">
        <v>45715</v>
      </c>
      <c r="B792" s="32">
        <v>57520.257568359397</v>
      </c>
      <c r="C792" s="33">
        <f t="shared" si="51"/>
        <v>-1.5961911190013667E-2</v>
      </c>
      <c r="D792" s="32">
        <f>MAX($B$2:B792)</f>
        <v>60261.340332031301</v>
      </c>
      <c r="E792" s="34">
        <f t="shared" si="48"/>
        <v>-4.5486588060752231E-2</v>
      </c>
      <c r="F792" s="35">
        <f t="shared" si="49"/>
        <v>127.96883541954472</v>
      </c>
      <c r="G792" s="36" t="str">
        <f t="shared" si="50"/>
        <v>2025-02</v>
      </c>
    </row>
    <row r="793" spans="1:7" x14ac:dyDescent="0.25">
      <c r="A793" s="37">
        <v>45716</v>
      </c>
      <c r="B793" s="38">
        <v>58417.901611328103</v>
      </c>
      <c r="C793" s="39">
        <f t="shared" si="51"/>
        <v>1.5605702771791519E-2</v>
      </c>
      <c r="D793" s="38">
        <f>MAX($B$2:B793)</f>
        <v>60261.340332031301</v>
      </c>
      <c r="E793" s="40">
        <f t="shared" si="48"/>
        <v>-3.0590735462339813E-2</v>
      </c>
      <c r="F793" s="41">
        <f t="shared" si="49"/>
        <v>129.96587902915445</v>
      </c>
      <c r="G793" s="42" t="str">
        <f t="shared" si="50"/>
        <v>2025-02</v>
      </c>
    </row>
    <row r="794" spans="1:7" x14ac:dyDescent="0.25">
      <c r="A794" s="31">
        <v>45719</v>
      </c>
      <c r="B794" s="32">
        <v>57394.4091796875</v>
      </c>
      <c r="C794" s="33">
        <f t="shared" si="51"/>
        <v>-1.7520184796266824E-2</v>
      </c>
      <c r="D794" s="32">
        <f>MAX($B$2:B794)</f>
        <v>60261.340332031301</v>
      </c>
      <c r="E794" s="34">
        <f t="shared" si="48"/>
        <v>-4.7574964920252705E-2</v>
      </c>
      <c r="F794" s="35">
        <f t="shared" si="49"/>
        <v>127.68885281135441</v>
      </c>
      <c r="G794" s="36" t="str">
        <f t="shared" si="50"/>
        <v>2025-03</v>
      </c>
    </row>
    <row r="795" spans="1:7" x14ac:dyDescent="0.25">
      <c r="A795" s="37">
        <v>45720</v>
      </c>
      <c r="B795" s="38">
        <v>56715.045166015603</v>
      </c>
      <c r="C795" s="39">
        <f t="shared" si="51"/>
        <v>-1.1836762907428411E-2</v>
      </c>
      <c r="D795" s="38">
        <f>MAX($B$2:B795)</f>
        <v>60261.340332031301</v>
      </c>
      <c r="E795" s="40">
        <f t="shared" si="48"/>
        <v>-5.8848594247590924E-2</v>
      </c>
      <c r="F795" s="41">
        <f t="shared" si="49"/>
        <v>126.17743013470486</v>
      </c>
      <c r="G795" s="42" t="str">
        <f t="shared" si="50"/>
        <v>2025-03</v>
      </c>
    </row>
    <row r="796" spans="1:7" x14ac:dyDescent="0.25">
      <c r="A796" s="31">
        <v>45721</v>
      </c>
      <c r="B796" s="32">
        <v>57324.609375</v>
      </c>
      <c r="C796" s="33">
        <f t="shared" si="51"/>
        <v>1.0747839611166432E-2</v>
      </c>
      <c r="D796" s="32">
        <f>MAX($B$2:B796)</f>
        <v>60261.340332031301</v>
      </c>
      <c r="E796" s="34">
        <f t="shared" si="48"/>
        <v>-4.8733249888740171E-2</v>
      </c>
      <c r="F796" s="35">
        <f t="shared" si="49"/>
        <v>127.53356491634182</v>
      </c>
      <c r="G796" s="36" t="str">
        <f t="shared" si="50"/>
        <v>2025-03</v>
      </c>
    </row>
    <row r="797" spans="1:7" x14ac:dyDescent="0.25">
      <c r="A797" s="37">
        <v>45722</v>
      </c>
      <c r="B797" s="38">
        <v>56307.03125</v>
      </c>
      <c r="C797" s="39">
        <f t="shared" si="51"/>
        <v>-1.775115672124894E-2</v>
      </c>
      <c r="D797" s="38">
        <f>MAX($B$2:B797)</f>
        <v>60261.340332031301</v>
      </c>
      <c r="E797" s="40">
        <f t="shared" si="48"/>
        <v>-6.561933505367834E-2</v>
      </c>
      <c r="F797" s="41">
        <f t="shared" si="49"/>
        <v>125.26969661829229</v>
      </c>
      <c r="G797" s="42" t="str">
        <f t="shared" si="50"/>
        <v>2025-03</v>
      </c>
    </row>
    <row r="798" spans="1:7" x14ac:dyDescent="0.25">
      <c r="A798" s="31">
        <v>45723</v>
      </c>
      <c r="B798" s="32">
        <v>56622.625732421897</v>
      </c>
      <c r="C798" s="33">
        <f t="shared" si="51"/>
        <v>5.6048858449075922E-3</v>
      </c>
      <c r="D798" s="32">
        <f>MAX($B$2:B798)</f>
        <v>60261.340332031301</v>
      </c>
      <c r="E798" s="34">
        <f t="shared" si="48"/>
        <v>-6.0382238090965323E-2</v>
      </c>
      <c r="F798" s="35">
        <f t="shared" si="49"/>
        <v>125.97181896766401</v>
      </c>
      <c r="G798" s="36" t="str">
        <f t="shared" si="50"/>
        <v>2025-03</v>
      </c>
    </row>
    <row r="799" spans="1:7" x14ac:dyDescent="0.25">
      <c r="A799" s="37">
        <v>45726</v>
      </c>
      <c r="B799" s="38">
        <v>55114.453125</v>
      </c>
      <c r="C799" s="39">
        <f t="shared" si="51"/>
        <v>-2.663551165127831E-2</v>
      </c>
      <c r="D799" s="38">
        <f>MAX($B$2:B799)</f>
        <v>60261.340332031301</v>
      </c>
      <c r="E799" s="40">
        <f t="shared" si="48"/>
        <v>-8.5409437936041499E-2</v>
      </c>
      <c r="F799" s="41">
        <f t="shared" si="49"/>
        <v>122.61649511581807</v>
      </c>
      <c r="G799" s="42" t="str">
        <f t="shared" si="50"/>
        <v>2025-03</v>
      </c>
    </row>
    <row r="800" spans="1:7" x14ac:dyDescent="0.25">
      <c r="A800" s="31">
        <v>45727</v>
      </c>
      <c r="B800" s="32">
        <v>54656.280517578103</v>
      </c>
      <c r="C800" s="33">
        <f t="shared" si="51"/>
        <v>-8.3131117419010803E-3</v>
      </c>
      <c r="D800" s="32">
        <f>MAX($B$2:B800)</f>
        <v>60261.340332031301</v>
      </c>
      <c r="E800" s="34">
        <f t="shared" si="48"/>
        <v>-9.3012531476567295E-2</v>
      </c>
      <c r="F800" s="35">
        <f t="shared" si="49"/>
        <v>121.59717049051999</v>
      </c>
      <c r="G800" s="36" t="str">
        <f t="shared" si="50"/>
        <v>2025-03</v>
      </c>
    </row>
    <row r="801" spans="1:7" x14ac:dyDescent="0.25">
      <c r="A801" s="37">
        <v>45728</v>
      </c>
      <c r="B801" s="38">
        <v>54946.325683593801</v>
      </c>
      <c r="C801" s="39">
        <f t="shared" si="51"/>
        <v>5.3067124815129318E-3</v>
      </c>
      <c r="D801" s="38">
        <f>MAX($B$2:B801)</f>
        <v>60261.340332031301</v>
      </c>
      <c r="E801" s="40">
        <f t="shared" si="48"/>
        <v>-8.8199409756778313E-2</v>
      </c>
      <c r="F801" s="41">
        <f t="shared" si="49"/>
        <v>122.24245171287869</v>
      </c>
      <c r="G801" s="42" t="str">
        <f t="shared" si="50"/>
        <v>2025-03</v>
      </c>
    </row>
    <row r="802" spans="1:7" x14ac:dyDescent="0.25">
      <c r="A802" s="31">
        <v>45729</v>
      </c>
      <c r="B802" s="32">
        <v>54213.861083984397</v>
      </c>
      <c r="C802" s="33">
        <f t="shared" si="51"/>
        <v>-1.3330547411437021E-2</v>
      </c>
      <c r="D802" s="32">
        <f>MAX($B$2:B802)</f>
        <v>60261.340332031301</v>
      </c>
      <c r="E802" s="34">
        <f t="shared" si="48"/>
        <v>-0.10035421075479178</v>
      </c>
      <c r="F802" s="35">
        <f t="shared" si="49"/>
        <v>120.61289291462987</v>
      </c>
      <c r="G802" s="36" t="str">
        <f t="shared" si="50"/>
        <v>2025-03</v>
      </c>
    </row>
    <row r="803" spans="1:7" x14ac:dyDescent="0.25">
      <c r="A803" s="37">
        <v>45730</v>
      </c>
      <c r="B803" s="38">
        <v>55333.697509765603</v>
      </c>
      <c r="C803" s="39">
        <f t="shared" si="51"/>
        <v>2.0655906135267355E-2</v>
      </c>
      <c r="D803" s="38">
        <f>MAX($B$2:B803)</f>
        <v>60261.340332031301</v>
      </c>
      <c r="E803" s="40">
        <f t="shared" si="48"/>
        <v>-8.1771211777154296E-2</v>
      </c>
      <c r="F803" s="41">
        <f t="shared" si="49"/>
        <v>123.10426150937752</v>
      </c>
      <c r="G803" s="42" t="str">
        <f t="shared" si="50"/>
        <v>2025-03</v>
      </c>
    </row>
    <row r="804" spans="1:7" x14ac:dyDescent="0.25">
      <c r="A804" s="31">
        <v>45733</v>
      </c>
      <c r="B804" s="32">
        <v>55760.388183593801</v>
      </c>
      <c r="C804" s="33">
        <f t="shared" si="51"/>
        <v>7.7112264864080959E-3</v>
      </c>
      <c r="D804" s="32">
        <f>MAX($B$2:B804)</f>
        <v>60261.340332031301</v>
      </c>
      <c r="E804" s="34">
        <f t="shared" si="48"/>
        <v>-7.46905416248278E-2</v>
      </c>
      <c r="F804" s="35">
        <f t="shared" si="49"/>
        <v>124.05354635131833</v>
      </c>
      <c r="G804" s="36" t="str">
        <f t="shared" si="50"/>
        <v>2025-03</v>
      </c>
    </row>
    <row r="805" spans="1:7" x14ac:dyDescent="0.25">
      <c r="A805" s="37">
        <v>45734</v>
      </c>
      <c r="B805" s="38">
        <v>55157.708740234397</v>
      </c>
      <c r="C805" s="39">
        <f t="shared" si="51"/>
        <v>-1.0808379622018638E-2</v>
      </c>
      <c r="D805" s="38">
        <f>MAX($B$2:B805)</f>
        <v>60261.340332031301</v>
      </c>
      <c r="E805" s="40">
        <f t="shared" si="48"/>
        <v>-8.4691637518791163E-2</v>
      </c>
      <c r="F805" s="41">
        <f t="shared" si="49"/>
        <v>122.71272852889558</v>
      </c>
      <c r="G805" s="42" t="str">
        <f t="shared" si="50"/>
        <v>2025-03</v>
      </c>
    </row>
    <row r="806" spans="1:7" x14ac:dyDescent="0.25">
      <c r="A806" s="31">
        <v>45735</v>
      </c>
      <c r="B806" s="32">
        <v>55758.4228515625</v>
      </c>
      <c r="C806" s="33">
        <f t="shared" si="51"/>
        <v>1.089084599502077E-2</v>
      </c>
      <c r="D806" s="32">
        <f>MAX($B$2:B806)</f>
        <v>60261.340332031301</v>
      </c>
      <c r="E806" s="34">
        <f t="shared" si="48"/>
        <v>-7.4723155105053674E-2</v>
      </c>
      <c r="F806" s="35">
        <f t="shared" si="49"/>
        <v>124.04917395693258</v>
      </c>
      <c r="G806" s="36" t="str">
        <f t="shared" si="50"/>
        <v>2025-03</v>
      </c>
    </row>
    <row r="807" spans="1:7" x14ac:dyDescent="0.25">
      <c r="A807" s="37">
        <v>45736</v>
      </c>
      <c r="B807" s="38">
        <v>55597.186279296897</v>
      </c>
      <c r="C807" s="39">
        <f t="shared" si="51"/>
        <v>-2.8916989401733817E-3</v>
      </c>
      <c r="D807" s="38">
        <f>MAX($B$2:B807)</f>
        <v>60261.340332031301</v>
      </c>
      <c r="E807" s="40">
        <f t="shared" si="48"/>
        <v>-7.7398777176803324E-2</v>
      </c>
      <c r="F807" s="41">
        <f t="shared" si="49"/>
        <v>123.69046109207193</v>
      </c>
      <c r="G807" s="42" t="str">
        <f t="shared" si="50"/>
        <v>2025-03</v>
      </c>
    </row>
    <row r="808" spans="1:7" x14ac:dyDescent="0.25">
      <c r="A808" s="31">
        <v>45737</v>
      </c>
      <c r="B808" s="32">
        <v>55615.52734375</v>
      </c>
      <c r="C808" s="33">
        <f t="shared" si="51"/>
        <v>3.2989195462107546E-4</v>
      </c>
      <c r="D808" s="32">
        <f>MAX($B$2:B808)</f>
        <v>60261.340332031301</v>
      </c>
      <c r="E808" s="34">
        <f t="shared" si="48"/>
        <v>-7.7094418456070568E-2</v>
      </c>
      <c r="F808" s="35">
        <f t="shared" si="49"/>
        <v>123.73126558004957</v>
      </c>
      <c r="G808" s="36" t="str">
        <f t="shared" si="50"/>
        <v>2025-03</v>
      </c>
    </row>
    <row r="809" spans="1:7" x14ac:dyDescent="0.25">
      <c r="A809" s="37">
        <v>45740</v>
      </c>
      <c r="B809" s="38">
        <v>56611.5234375</v>
      </c>
      <c r="C809" s="39">
        <f t="shared" si="51"/>
        <v>1.7908597496413492E-2</v>
      </c>
      <c r="D809" s="38">
        <f>MAX($B$2:B809)</f>
        <v>60261.340332031301</v>
      </c>
      <c r="E809" s="40">
        <f t="shared" si="48"/>
        <v>-6.0566473869006821E-2</v>
      </c>
      <c r="F809" s="41">
        <f t="shared" si="49"/>
        <v>125.94711901304454</v>
      </c>
      <c r="G809" s="42" t="str">
        <f t="shared" si="50"/>
        <v>2025-03</v>
      </c>
    </row>
    <row r="810" spans="1:7" x14ac:dyDescent="0.25">
      <c r="A810" s="31">
        <v>45741</v>
      </c>
      <c r="B810" s="32">
        <v>56747.595214843801</v>
      </c>
      <c r="C810" s="33">
        <f t="shared" si="51"/>
        <v>2.4036056456602228E-3</v>
      </c>
      <c r="D810" s="32">
        <f>MAX($B$2:B810)</f>
        <v>60261.340332031301</v>
      </c>
      <c r="E810" s="34">
        <f t="shared" si="48"/>
        <v>-5.8308446141875914E-2</v>
      </c>
      <c r="F810" s="35">
        <f t="shared" si="49"/>
        <v>126.24984621935893</v>
      </c>
      <c r="G810" s="36" t="str">
        <f t="shared" si="50"/>
        <v>2025-03</v>
      </c>
    </row>
    <row r="811" spans="1:7" x14ac:dyDescent="0.25">
      <c r="A811" s="37">
        <v>45742</v>
      </c>
      <c r="B811" s="38">
        <v>56070.135498046897</v>
      </c>
      <c r="C811" s="39">
        <f t="shared" si="51"/>
        <v>-1.1938122033754439E-2</v>
      </c>
      <c r="D811" s="38">
        <f>MAX($B$2:B811)</f>
        <v>60261.340332031301</v>
      </c>
      <c r="E811" s="40">
        <f t="shared" si="48"/>
        <v>-6.9550474829989994E-2</v>
      </c>
      <c r="F811" s="41">
        <f t="shared" si="49"/>
        <v>124.74266014844947</v>
      </c>
      <c r="G811" s="42" t="str">
        <f t="shared" si="50"/>
        <v>2025-03</v>
      </c>
    </row>
    <row r="812" spans="1:7" x14ac:dyDescent="0.25">
      <c r="A812" s="31">
        <v>45743</v>
      </c>
      <c r="B812" s="32">
        <v>55921.234130859397</v>
      </c>
      <c r="C812" s="33">
        <f t="shared" si="51"/>
        <v>-2.6556270261320902E-3</v>
      </c>
      <c r="D812" s="32">
        <f>MAX($B$2:B812)</f>
        <v>60261.340332031301</v>
      </c>
      <c r="E812" s="34">
        <f t="shared" si="48"/>
        <v>-7.2021401735483215E-2</v>
      </c>
      <c r="F812" s="35">
        <f t="shared" si="49"/>
        <v>124.41139016884766</v>
      </c>
      <c r="G812" s="36" t="str">
        <f t="shared" si="50"/>
        <v>2025-03</v>
      </c>
    </row>
    <row r="813" spans="1:7" x14ac:dyDescent="0.25">
      <c r="A813" s="37">
        <v>45744</v>
      </c>
      <c r="B813" s="38">
        <v>54795.068359375</v>
      </c>
      <c r="C813" s="39">
        <f t="shared" si="51"/>
        <v>-2.013842843398439E-2</v>
      </c>
      <c r="D813" s="38">
        <f>MAX($B$2:B813)</f>
        <v>60261.340332031301</v>
      </c>
      <c r="E813" s="40">
        <f t="shared" si="48"/>
        <v>-9.0709432324902362E-2</v>
      </c>
      <c r="F813" s="41">
        <f t="shared" si="49"/>
        <v>121.90594029155982</v>
      </c>
      <c r="G813" s="42" t="str">
        <f t="shared" si="50"/>
        <v>2025-03</v>
      </c>
    </row>
    <row r="814" spans="1:7" x14ac:dyDescent="0.25">
      <c r="A814" s="31">
        <v>45747</v>
      </c>
      <c r="B814" s="32">
        <v>55162.896728515603</v>
      </c>
      <c r="C814" s="33">
        <f t="shared" si="51"/>
        <v>6.7128006251984118E-3</v>
      </c>
      <c r="D814" s="32">
        <f>MAX($B$2:B814)</f>
        <v>60261.340332031301</v>
      </c>
      <c r="E814" s="34">
        <f t="shared" si="48"/>
        <v>-8.4605546033725942E-2</v>
      </c>
      <c r="F814" s="35">
        <f t="shared" si="49"/>
        <v>122.72427056376441</v>
      </c>
      <c r="G814" s="36" t="str">
        <f t="shared" si="50"/>
        <v>2025-03</v>
      </c>
    </row>
    <row r="815" spans="1:7" x14ac:dyDescent="0.25">
      <c r="A815" s="37">
        <v>45748</v>
      </c>
      <c r="B815" s="38">
        <v>55318.701171875</v>
      </c>
      <c r="C815" s="39">
        <f t="shared" si="51"/>
        <v>2.824442743211808E-3</v>
      </c>
      <c r="D815" s="38">
        <f>MAX($B$2:B815)</f>
        <v>60261.340332031301</v>
      </c>
      <c r="E815" s="40">
        <f t="shared" si="48"/>
        <v>-8.2020066811044567E-2</v>
      </c>
      <c r="F815" s="41">
        <f t="shared" si="49"/>
        <v>123.07089823917418</v>
      </c>
      <c r="G815" s="42" t="str">
        <f t="shared" si="50"/>
        <v>2025-04</v>
      </c>
    </row>
    <row r="816" spans="1:7" x14ac:dyDescent="0.25">
      <c r="A816" s="31">
        <v>45749</v>
      </c>
      <c r="B816" s="32">
        <v>55668.780517578103</v>
      </c>
      <c r="C816" s="33">
        <f t="shared" si="51"/>
        <v>6.3284086265043005E-3</v>
      </c>
      <c r="D816" s="32">
        <f>MAX($B$2:B816)</f>
        <v>60261.340332031301</v>
      </c>
      <c r="E816" s="34">
        <f t="shared" si="48"/>
        <v>-7.6210714682893754E-2</v>
      </c>
      <c r="F816" s="35">
        <f t="shared" si="49"/>
        <v>123.8497411732626</v>
      </c>
      <c r="G816" s="36" t="str">
        <f t="shared" si="50"/>
        <v>2025-04</v>
      </c>
    </row>
    <row r="817" spans="1:7" x14ac:dyDescent="0.25">
      <c r="A817" s="37">
        <v>45750</v>
      </c>
      <c r="B817" s="38">
        <v>52925.378417968801</v>
      </c>
      <c r="C817" s="39">
        <f t="shared" si="51"/>
        <v>-4.9280801089993997E-2</v>
      </c>
      <c r="D817" s="38">
        <f>MAX($B$2:B817)</f>
        <v>60261.340332031301</v>
      </c>
      <c r="E817" s="40">
        <f t="shared" si="48"/>
        <v>-0.12173579070167384</v>
      </c>
      <c r="F817" s="41">
        <f t="shared" si="49"/>
        <v>117.7463267134558</v>
      </c>
      <c r="G817" s="42" t="str">
        <f t="shared" si="50"/>
        <v>2025-04</v>
      </c>
    </row>
    <row r="818" spans="1:7" x14ac:dyDescent="0.25">
      <c r="A818" s="31">
        <v>45751</v>
      </c>
      <c r="B818" s="32">
        <v>49826.968383789099</v>
      </c>
      <c r="C818" s="33">
        <f t="shared" si="51"/>
        <v>-5.8542992545288164E-2</v>
      </c>
      <c r="D818" s="32">
        <f>MAX($B$2:B818)</f>
        <v>60261.340332031301</v>
      </c>
      <c r="E818" s="34">
        <f t="shared" si="48"/>
        <v>-0.17315200575941914</v>
      </c>
      <c r="F818" s="35">
        <f t="shared" si="49"/>
        <v>110.85310438643489</v>
      </c>
      <c r="G818" s="36" t="str">
        <f t="shared" si="50"/>
        <v>2025-04</v>
      </c>
    </row>
    <row r="819" spans="1:7" x14ac:dyDescent="0.25">
      <c r="A819" s="37">
        <v>45754</v>
      </c>
      <c r="B819" s="38">
        <v>49738.220214843801</v>
      </c>
      <c r="C819" s="39">
        <f t="shared" si="51"/>
        <v>-1.7811272052861149E-3</v>
      </c>
      <c r="D819" s="38">
        <f>MAX($B$2:B819)</f>
        <v>60261.340332031301</v>
      </c>
      <c r="E819" s="40">
        <f t="shared" si="48"/>
        <v>-0.17462472721659728</v>
      </c>
      <c r="F819" s="41">
        <f t="shared" si="49"/>
        <v>110.65566090642179</v>
      </c>
      <c r="G819" s="42" t="str">
        <f t="shared" si="50"/>
        <v>2025-04</v>
      </c>
    </row>
    <row r="820" spans="1:7" x14ac:dyDescent="0.25">
      <c r="A820" s="31">
        <v>45755</v>
      </c>
      <c r="B820" s="32">
        <v>48959.176635742202</v>
      </c>
      <c r="C820" s="33">
        <f t="shared" si="51"/>
        <v>-1.5662876068675669E-2</v>
      </c>
      <c r="D820" s="32">
        <f>MAX($B$2:B820)</f>
        <v>60261.340332031301</v>
      </c>
      <c r="E820" s="34">
        <f t="shared" si="48"/>
        <v>-0.18755247782435314</v>
      </c>
      <c r="F820" s="35">
        <f t="shared" si="49"/>
        <v>108.9224750033471</v>
      </c>
      <c r="G820" s="36" t="str">
        <f t="shared" si="50"/>
        <v>2025-04</v>
      </c>
    </row>
    <row r="821" spans="1:7" x14ac:dyDescent="0.25">
      <c r="A821" s="37">
        <v>45756</v>
      </c>
      <c r="B821" s="38">
        <v>54100.842285156301</v>
      </c>
      <c r="C821" s="39">
        <f t="shared" si="51"/>
        <v>0.10501944686832165</v>
      </c>
      <c r="D821" s="38">
        <f>MAX($B$2:B821)</f>
        <v>60261.340332031301</v>
      </c>
      <c r="E821" s="40">
        <f t="shared" si="48"/>
        <v>-0.10222968843592828</v>
      </c>
      <c r="F821" s="41">
        <f t="shared" si="49"/>
        <v>120.36145307972718</v>
      </c>
      <c r="G821" s="42" t="str">
        <f t="shared" si="50"/>
        <v>2025-04</v>
      </c>
    </row>
    <row r="822" spans="1:7" x14ac:dyDescent="0.25">
      <c r="A822" s="31">
        <v>45757</v>
      </c>
      <c r="B822" s="32">
        <v>51730.187988281301</v>
      </c>
      <c r="C822" s="33">
        <f t="shared" si="51"/>
        <v>-4.3819175390647058E-2</v>
      </c>
      <c r="D822" s="32">
        <f>MAX($B$2:B822)</f>
        <v>60261.340332031301</v>
      </c>
      <c r="E822" s="34">
        <f t="shared" si="48"/>
        <v>-0.14156924317887021</v>
      </c>
      <c r="F822" s="35">
        <f t="shared" si="49"/>
        <v>115.0873134569535</v>
      </c>
      <c r="G822" s="36" t="str">
        <f t="shared" si="50"/>
        <v>2025-04</v>
      </c>
    </row>
    <row r="823" spans="1:7" x14ac:dyDescent="0.25">
      <c r="A823" s="37">
        <v>45758</v>
      </c>
      <c r="B823" s="38">
        <v>52653.1982421875</v>
      </c>
      <c r="C823" s="39">
        <f t="shared" si="51"/>
        <v>1.78427778788528E-2</v>
      </c>
      <c r="D823" s="38">
        <f>MAX($B$2:B823)</f>
        <v>60261.340332031301</v>
      </c>
      <c r="E823" s="40">
        <f t="shared" si="48"/>
        <v>-0.12625245386053541</v>
      </c>
      <c r="F823" s="41">
        <f t="shared" si="49"/>
        <v>117.14079082763982</v>
      </c>
      <c r="G823" s="42" t="str">
        <f t="shared" si="50"/>
        <v>2025-04</v>
      </c>
    </row>
    <row r="824" spans="1:7" x14ac:dyDescent="0.25">
      <c r="A824" s="31">
        <v>45761</v>
      </c>
      <c r="B824" s="32">
        <v>53164.013671875</v>
      </c>
      <c r="C824" s="33">
        <f t="shared" si="51"/>
        <v>9.7015081085467525E-3</v>
      </c>
      <c r="D824" s="32">
        <f>MAX($B$2:B824)</f>
        <v>60261.340332031301</v>
      </c>
      <c r="E824" s="34">
        <f t="shared" si="48"/>
        <v>-0.1177757849568406</v>
      </c>
      <c r="F824" s="35">
        <f t="shared" si="49"/>
        <v>118.27723315969574</v>
      </c>
      <c r="G824" s="36" t="str">
        <f t="shared" si="50"/>
        <v>2025-04</v>
      </c>
    </row>
    <row r="825" spans="1:7" x14ac:dyDescent="0.25">
      <c r="A825" s="37">
        <v>45762</v>
      </c>
      <c r="B825" s="38">
        <v>53015.1123046875</v>
      </c>
      <c r="C825" s="39">
        <f t="shared" si="51"/>
        <v>-2.8007924327630995E-3</v>
      </c>
      <c r="D825" s="38">
        <f>MAX($B$2:B825)</f>
        <v>60261.340332031301</v>
      </c>
      <c r="E825" s="40">
        <f t="shared" si="48"/>
        <v>-0.12024671186233382</v>
      </c>
      <c r="F825" s="41">
        <f t="shared" si="49"/>
        <v>117.9459631800939</v>
      </c>
      <c r="G825" s="42" t="str">
        <f t="shared" si="50"/>
        <v>2025-04</v>
      </c>
    </row>
    <row r="826" spans="1:7" x14ac:dyDescent="0.25">
      <c r="A826" s="31">
        <v>45763</v>
      </c>
      <c r="B826" s="32">
        <v>51836.688232421897</v>
      </c>
      <c r="C826" s="33">
        <f t="shared" si="51"/>
        <v>-2.2228078391930639E-2</v>
      </c>
      <c r="D826" s="32">
        <f>MAX($B$2:B826)</f>
        <v>60261.340332031301</v>
      </c>
      <c r="E826" s="34">
        <f t="shared" si="48"/>
        <v>-0.13980193691661658</v>
      </c>
      <c r="F826" s="35">
        <f t="shared" si="49"/>
        <v>115.32425106451501</v>
      </c>
      <c r="G826" s="36" t="str">
        <f t="shared" si="50"/>
        <v>2025-04</v>
      </c>
    </row>
    <row r="827" spans="1:7" x14ac:dyDescent="0.25">
      <c r="A827" s="37">
        <v>45764</v>
      </c>
      <c r="B827" s="38">
        <v>51910.64453125</v>
      </c>
      <c r="C827" s="39">
        <f t="shared" si="51"/>
        <v>1.4267172797866046E-3</v>
      </c>
      <c r="D827" s="38">
        <f>MAX($B$2:B827)</f>
        <v>60261.340332031301</v>
      </c>
      <c r="E827" s="40">
        <f t="shared" si="48"/>
        <v>-0.13857467747597663</v>
      </c>
      <c r="F827" s="41">
        <f t="shared" si="49"/>
        <v>115.4887861662872</v>
      </c>
      <c r="G827" s="42" t="str">
        <f t="shared" si="50"/>
        <v>2025-04</v>
      </c>
    </row>
    <row r="828" spans="1:7" x14ac:dyDescent="0.25">
      <c r="A828" s="31">
        <v>45768</v>
      </c>
      <c r="B828" s="32">
        <v>50675.036621093801</v>
      </c>
      <c r="C828" s="33">
        <f t="shared" si="51"/>
        <v>-2.3802592345243734E-2</v>
      </c>
      <c r="D828" s="32">
        <f>MAX($B$2:B828)</f>
        <v>60261.340332031301</v>
      </c>
      <c r="E828" s="34">
        <f t="shared" si="48"/>
        <v>-0.15907883326388605</v>
      </c>
      <c r="F828" s="35">
        <f t="shared" si="49"/>
        <v>112.73985366872404</v>
      </c>
      <c r="G828" s="36" t="str">
        <f t="shared" si="50"/>
        <v>2025-04</v>
      </c>
    </row>
    <row r="829" spans="1:7" x14ac:dyDescent="0.25">
      <c r="A829" s="37">
        <v>45769</v>
      </c>
      <c r="B829" s="38">
        <v>51993.487548828103</v>
      </c>
      <c r="C829" s="39">
        <f t="shared" si="51"/>
        <v>2.6017759742190005E-2</v>
      </c>
      <c r="D829" s="38">
        <f>MAX($B$2:B829)</f>
        <v>60261.340332031301</v>
      </c>
      <c r="E829" s="40">
        <f t="shared" si="48"/>
        <v>-0.13719994838562366</v>
      </c>
      <c r="F829" s="41">
        <f t="shared" si="49"/>
        <v>115.67309209484655</v>
      </c>
      <c r="G829" s="42" t="str">
        <f t="shared" si="50"/>
        <v>2025-04</v>
      </c>
    </row>
    <row r="830" spans="1:7" x14ac:dyDescent="0.25">
      <c r="A830" s="31">
        <v>45770</v>
      </c>
      <c r="B830" s="32">
        <v>52799.151611328103</v>
      </c>
      <c r="C830" s="33">
        <f t="shared" si="51"/>
        <v>1.5495480308824972E-2</v>
      </c>
      <c r="D830" s="32">
        <f>MAX($B$2:B830)</f>
        <v>60261.340332031301</v>
      </c>
      <c r="E830" s="34">
        <f t="shared" si="48"/>
        <v>-0.12383044717537994</v>
      </c>
      <c r="F830" s="35">
        <f t="shared" si="49"/>
        <v>117.46550221566314</v>
      </c>
      <c r="G830" s="36" t="str">
        <f t="shared" si="50"/>
        <v>2025-04</v>
      </c>
    </row>
    <row r="831" spans="1:7" x14ac:dyDescent="0.25">
      <c r="A831" s="37">
        <v>45771</v>
      </c>
      <c r="B831" s="38">
        <v>53910.5224609375</v>
      </c>
      <c r="C831" s="39">
        <f t="shared" si="51"/>
        <v>2.1049028548613125E-2</v>
      </c>
      <c r="D831" s="38">
        <f>MAX($B$2:B831)</f>
        <v>60261.340332031301</v>
      </c>
      <c r="E831" s="40">
        <f t="shared" si="48"/>
        <v>-0.10538792924454898</v>
      </c>
      <c r="F831" s="41">
        <f t="shared" si="49"/>
        <v>119.93803692527783</v>
      </c>
      <c r="G831" s="42" t="str">
        <f t="shared" si="50"/>
        <v>2025-04</v>
      </c>
    </row>
    <row r="832" spans="1:7" x14ac:dyDescent="0.25">
      <c r="A832" s="31">
        <v>45772</v>
      </c>
      <c r="B832" s="32">
        <v>54300.030517578103</v>
      </c>
      <c r="C832" s="33">
        <f t="shared" si="51"/>
        <v>7.2250840626304491E-3</v>
      </c>
      <c r="D832" s="32">
        <f>MAX($B$2:B832)</f>
        <v>60261.340332031301</v>
      </c>
      <c r="E832" s="34">
        <f t="shared" si="48"/>
        <v>-9.8924281829896876E-2</v>
      </c>
      <c r="F832" s="35">
        <f t="shared" si="49"/>
        <v>120.80459932436982</v>
      </c>
      <c r="G832" s="36" t="str">
        <f t="shared" si="50"/>
        <v>2025-04</v>
      </c>
    </row>
    <row r="833" spans="1:7" x14ac:dyDescent="0.25">
      <c r="A833" s="37">
        <v>45775</v>
      </c>
      <c r="B833" s="38">
        <v>54320.739746093801</v>
      </c>
      <c r="C833" s="39">
        <f t="shared" si="51"/>
        <v>3.8138520951647159E-4</v>
      </c>
      <c r="D833" s="38">
        <f>MAX($B$2:B833)</f>
        <v>60261.340332031301</v>
      </c>
      <c r="E833" s="40">
        <f t="shared" si="48"/>
        <v>-9.8580624878332412E-2</v>
      </c>
      <c r="F833" s="41">
        <f t="shared" si="49"/>
        <v>120.85067241179371</v>
      </c>
      <c r="G833" s="42" t="str">
        <f t="shared" si="50"/>
        <v>2025-04</v>
      </c>
    </row>
    <row r="834" spans="1:7" x14ac:dyDescent="0.25">
      <c r="A834" s="31">
        <v>45776</v>
      </c>
      <c r="B834" s="32">
        <v>54662.927246093801</v>
      </c>
      <c r="C834" s="33">
        <f t="shared" si="51"/>
        <v>6.2993895443885783E-3</v>
      </c>
      <c r="D834" s="32">
        <f>MAX($B$2:B834)</f>
        <v>60261.340332031301</v>
      </c>
      <c r="E834" s="34">
        <f t="shared" ref="E834:E897" si="52">B834/D834-1</f>
        <v>-9.2902233091581632E-2</v>
      </c>
      <c r="F834" s="35">
        <f t="shared" ref="F834:F897" si="53">B834/$B$2*100</f>
        <v>121.61195787401691</v>
      </c>
      <c r="G834" s="36" t="str">
        <f t="shared" ref="G834:G897" si="54">TEXT(A834,"YYYY-MM")</f>
        <v>2025-04</v>
      </c>
    </row>
    <row r="835" spans="1:7" x14ac:dyDescent="0.25">
      <c r="A835" s="37">
        <v>45777</v>
      </c>
      <c r="B835" s="38">
        <v>54684.619140625</v>
      </c>
      <c r="C835" s="39">
        <f t="shared" ref="C835:C898" si="55">B835/B834-1</f>
        <v>3.9683009352109444E-4</v>
      </c>
      <c r="D835" s="38">
        <f>MAX($B$2:B835)</f>
        <v>60261.340332031301</v>
      </c>
      <c r="E835" s="40">
        <f t="shared" si="52"/>
        <v>-9.2542269399906618E-2</v>
      </c>
      <c r="F835" s="41">
        <f t="shared" si="53"/>
        <v>121.66021715863332</v>
      </c>
      <c r="G835" s="42" t="str">
        <f t="shared" si="54"/>
        <v>2025-04</v>
      </c>
    </row>
    <row r="836" spans="1:7" x14ac:dyDescent="0.25">
      <c r="A836" s="31">
        <v>45778</v>
      </c>
      <c r="B836" s="32">
        <v>55072.161865234397</v>
      </c>
      <c r="C836" s="33">
        <f t="shared" si="55"/>
        <v>7.0868688618421771E-3</v>
      </c>
      <c r="D836" s="32">
        <f>MAX($B$2:B836)</f>
        <v>60261.340332031301</v>
      </c>
      <c r="E836" s="34">
        <f t="shared" si="52"/>
        <v>-8.611123546547883E-2</v>
      </c>
      <c r="F836" s="35">
        <f t="shared" si="53"/>
        <v>122.52240716333979</v>
      </c>
      <c r="G836" s="36" t="str">
        <f t="shared" si="54"/>
        <v>2025-05</v>
      </c>
    </row>
    <row r="837" spans="1:7" x14ac:dyDescent="0.25">
      <c r="A837" s="37">
        <v>45779</v>
      </c>
      <c r="B837" s="38">
        <v>55889.666748046897</v>
      </c>
      <c r="C837" s="39">
        <f t="shared" si="55"/>
        <v>1.4844248983960195E-2</v>
      </c>
      <c r="D837" s="38">
        <f>MAX($B$2:B837)</f>
        <v>60261.340332031301</v>
      </c>
      <c r="E837" s="40">
        <f t="shared" si="52"/>
        <v>-7.2545243101084567E-2</v>
      </c>
      <c r="F837" s="41">
        <f t="shared" si="53"/>
        <v>124.34116028138658</v>
      </c>
      <c r="G837" s="42" t="str">
        <f t="shared" si="54"/>
        <v>2025-05</v>
      </c>
    </row>
    <row r="838" spans="1:7" x14ac:dyDescent="0.25">
      <c r="A838" s="31">
        <v>45782</v>
      </c>
      <c r="B838" s="32">
        <v>55569.183349609397</v>
      </c>
      <c r="C838" s="33">
        <f t="shared" si="55"/>
        <v>-5.7342155909114734E-3</v>
      </c>
      <c r="D838" s="32">
        <f>MAX($B$2:B838)</f>
        <v>60261.340332031301</v>
      </c>
      <c r="E838" s="34">
        <f t="shared" si="52"/>
        <v>-7.7863468627959453E-2</v>
      </c>
      <c r="F838" s="35">
        <f t="shared" si="53"/>
        <v>123.62816126150902</v>
      </c>
      <c r="G838" s="36" t="str">
        <f t="shared" si="54"/>
        <v>2025-05</v>
      </c>
    </row>
    <row r="839" spans="1:7" x14ac:dyDescent="0.25">
      <c r="A839" s="37">
        <v>45783</v>
      </c>
      <c r="B839" s="38">
        <v>55104.705810546897</v>
      </c>
      <c r="C839" s="39">
        <f t="shared" si="55"/>
        <v>-8.3585453495019779E-3</v>
      </c>
      <c r="D839" s="38">
        <f>MAX($B$2:B839)</f>
        <v>60261.340332031301</v>
      </c>
      <c r="E839" s="40">
        <f t="shared" si="52"/>
        <v>-8.5571188643865037E-2</v>
      </c>
      <c r="F839" s="41">
        <f t="shared" si="53"/>
        <v>122.59480966912915</v>
      </c>
      <c r="G839" s="42" t="str">
        <f t="shared" si="54"/>
        <v>2025-05</v>
      </c>
    </row>
    <row r="840" spans="1:7" x14ac:dyDescent="0.25">
      <c r="A840" s="31">
        <v>45784</v>
      </c>
      <c r="B840" s="32">
        <v>55336.4501953125</v>
      </c>
      <c r="C840" s="33">
        <f t="shared" si="55"/>
        <v>4.2055280280843821E-3</v>
      </c>
      <c r="D840" s="32">
        <f>MAX($B$2:B840)</f>
        <v>60261.340332031301</v>
      </c>
      <c r="E840" s="34">
        <f t="shared" si="52"/>
        <v>-8.172553264801885E-2</v>
      </c>
      <c r="F840" s="35">
        <f t="shared" si="53"/>
        <v>123.11038557729034</v>
      </c>
      <c r="G840" s="36" t="str">
        <f t="shared" si="54"/>
        <v>2025-05</v>
      </c>
    </row>
    <row r="841" spans="1:7" x14ac:dyDescent="0.25">
      <c r="A841" s="37">
        <v>45785</v>
      </c>
      <c r="B841" s="38">
        <v>55722.027587890603</v>
      </c>
      <c r="C841" s="39">
        <f t="shared" si="55"/>
        <v>6.9678736387532858E-3</v>
      </c>
      <c r="D841" s="38">
        <f>MAX($B$2:B841)</f>
        <v>60261.340332031301</v>
      </c>
      <c r="E841" s="40">
        <f t="shared" si="52"/>
        <v>-7.5327112193816825E-2</v>
      </c>
      <c r="F841" s="41">
        <f t="shared" si="53"/>
        <v>123.96820318761111</v>
      </c>
      <c r="G841" s="42" t="str">
        <f t="shared" si="54"/>
        <v>2025-05</v>
      </c>
    </row>
    <row r="842" spans="1:7" x14ac:dyDescent="0.25">
      <c r="A842" s="31">
        <v>45786</v>
      </c>
      <c r="B842" s="32">
        <v>55651.031494140603</v>
      </c>
      <c r="C842" s="33">
        <f t="shared" si="55"/>
        <v>-1.2741118157988396E-3</v>
      </c>
      <c r="D842" s="32">
        <f>MAX($B$2:B842)</f>
        <v>60261.340332031301</v>
      </c>
      <c r="E842" s="34">
        <f t="shared" si="52"/>
        <v>-7.6505248845919471E-2</v>
      </c>
      <c r="F842" s="35">
        <f t="shared" si="53"/>
        <v>123.81025383514641</v>
      </c>
      <c r="G842" s="36" t="str">
        <f t="shared" si="54"/>
        <v>2025-05</v>
      </c>
    </row>
    <row r="843" spans="1:7" x14ac:dyDescent="0.25">
      <c r="A843" s="37">
        <v>45789</v>
      </c>
      <c r="B843" s="38">
        <v>57490.155029296897</v>
      </c>
      <c r="C843" s="39">
        <f t="shared" si="55"/>
        <v>3.3047429414671869E-2</v>
      </c>
      <c r="D843" s="38">
        <f>MAX($B$2:B843)</f>
        <v>60261.340332031301</v>
      </c>
      <c r="E843" s="40">
        <f t="shared" si="52"/>
        <v>-4.5986121242335032E-2</v>
      </c>
      <c r="F843" s="41">
        <f t="shared" si="53"/>
        <v>127.90186445957603</v>
      </c>
      <c r="G843" s="42" t="str">
        <f t="shared" si="54"/>
        <v>2025-05</v>
      </c>
    </row>
    <row r="844" spans="1:7" x14ac:dyDescent="0.25">
      <c r="A844" s="31">
        <v>45790</v>
      </c>
      <c r="B844" s="32">
        <v>57869.818115234397</v>
      </c>
      <c r="C844" s="33">
        <f t="shared" si="55"/>
        <v>6.6039669878090734E-3</v>
      </c>
      <c r="D844" s="32">
        <f>MAX($B$2:B844)</f>
        <v>60261.340332031301</v>
      </c>
      <c r="E844" s="34">
        <f t="shared" si="52"/>
        <v>-3.9685845081107729E-2</v>
      </c>
      <c r="F844" s="35">
        <f t="shared" si="53"/>
        <v>128.74652415014629</v>
      </c>
      <c r="G844" s="36" t="str">
        <f t="shared" si="54"/>
        <v>2025-05</v>
      </c>
    </row>
    <row r="845" spans="1:7" x14ac:dyDescent="0.25">
      <c r="A845" s="37">
        <v>45791</v>
      </c>
      <c r="B845" s="38">
        <v>57943.7744140625</v>
      </c>
      <c r="C845" s="39">
        <f t="shared" si="55"/>
        <v>1.2779770394446555E-3</v>
      </c>
      <c r="D845" s="38">
        <f>MAX($B$2:B845)</f>
        <v>60261.340332031301</v>
      </c>
      <c r="E845" s="40">
        <f t="shared" si="52"/>
        <v>-3.8458585640467779E-2</v>
      </c>
      <c r="F845" s="41">
        <f t="shared" si="53"/>
        <v>128.91105925191849</v>
      </c>
      <c r="G845" s="42" t="str">
        <f t="shared" si="54"/>
        <v>2025-05</v>
      </c>
    </row>
    <row r="846" spans="1:7" x14ac:dyDescent="0.25">
      <c r="A846" s="31">
        <v>45792</v>
      </c>
      <c r="B846" s="32">
        <v>58226.788330078103</v>
      </c>
      <c r="C846" s="33">
        <f t="shared" si="55"/>
        <v>4.8842851346411198E-3</v>
      </c>
      <c r="D846" s="32">
        <f>MAX($B$2:B846)</f>
        <v>60261.340332031301</v>
      </c>
      <c r="E846" s="34">
        <f t="shared" si="52"/>
        <v>-3.3762143203969752E-2</v>
      </c>
      <c r="F846" s="35">
        <f t="shared" si="53"/>
        <v>129.54069762231347</v>
      </c>
      <c r="G846" s="36" t="str">
        <f t="shared" si="54"/>
        <v>2025-05</v>
      </c>
    </row>
    <row r="847" spans="1:7" x14ac:dyDescent="0.25">
      <c r="A847" s="37">
        <v>45793</v>
      </c>
      <c r="B847" s="38">
        <v>58595.60546875</v>
      </c>
      <c r="C847" s="39">
        <f t="shared" si="55"/>
        <v>6.3341487526520357E-3</v>
      </c>
      <c r="D847" s="38">
        <f>MAX($B$2:B847)</f>
        <v>60261.340332031301</v>
      </c>
      <c r="E847" s="40">
        <f t="shared" si="52"/>
        <v>-2.7641848888580012E-2</v>
      </c>
      <c r="F847" s="41">
        <f t="shared" si="53"/>
        <v>130.36122767057552</v>
      </c>
      <c r="G847" s="42" t="str">
        <f t="shared" si="54"/>
        <v>2025-05</v>
      </c>
    </row>
    <row r="848" spans="1:7" x14ac:dyDescent="0.25">
      <c r="A848" s="31">
        <v>45796</v>
      </c>
      <c r="B848" s="32">
        <v>58659.698486328103</v>
      </c>
      <c r="C848" s="33">
        <f t="shared" si="55"/>
        <v>1.093819529047968E-3</v>
      </c>
      <c r="D848" s="32">
        <f>MAX($B$2:B848)</f>
        <v>60261.340332031301</v>
      </c>
      <c r="E848" s="34">
        <f t="shared" si="52"/>
        <v>-2.6578264553665409E-2</v>
      </c>
      <c r="F848" s="35">
        <f t="shared" si="53"/>
        <v>130.50381932723226</v>
      </c>
      <c r="G848" s="36" t="str">
        <f t="shared" si="54"/>
        <v>2025-05</v>
      </c>
    </row>
    <row r="849" spans="1:7" x14ac:dyDescent="0.25">
      <c r="A849" s="37">
        <v>45797</v>
      </c>
      <c r="B849" s="38">
        <v>58462.469482421897</v>
      </c>
      <c r="C849" s="39">
        <f t="shared" si="55"/>
        <v>-3.3622573759423124E-3</v>
      </c>
      <c r="D849" s="38">
        <f>MAX($B$2:B849)</f>
        <v>60261.340332031301</v>
      </c>
      <c r="E849" s="40">
        <f t="shared" si="52"/>
        <v>-2.9851158963572377E-2</v>
      </c>
      <c r="F849" s="41">
        <f t="shared" si="53"/>
        <v>130.06503189811062</v>
      </c>
      <c r="G849" s="42" t="str">
        <f t="shared" si="54"/>
        <v>2025-05</v>
      </c>
    </row>
    <row r="850" spans="1:7" x14ac:dyDescent="0.25">
      <c r="A850" s="31">
        <v>45798</v>
      </c>
      <c r="B850" s="32">
        <v>57477.331542968801</v>
      </c>
      <c r="C850" s="33">
        <f t="shared" si="55"/>
        <v>-1.6850775346554658E-2</v>
      </c>
      <c r="D850" s="32">
        <f>MAX($B$2:B850)</f>
        <v>60261.340332031301</v>
      </c>
      <c r="E850" s="34">
        <f t="shared" si="52"/>
        <v>-4.6198919136597572E-2</v>
      </c>
      <c r="F850" s="35">
        <f t="shared" si="53"/>
        <v>127.8733352651531</v>
      </c>
      <c r="G850" s="36" t="str">
        <f t="shared" si="54"/>
        <v>2025-05</v>
      </c>
    </row>
    <row r="851" spans="1:7" x14ac:dyDescent="0.25">
      <c r="A851" s="37">
        <v>45799</v>
      </c>
      <c r="B851" s="38">
        <v>57500.0244140625</v>
      </c>
      <c r="C851" s="39">
        <f t="shared" si="55"/>
        <v>3.9481427694210147E-4</v>
      </c>
      <c r="D851" s="38">
        <f>MAX($B$2:B851)</f>
        <v>60261.340332031301</v>
      </c>
      <c r="E851" s="40">
        <f t="shared" si="52"/>
        <v>-4.5822344852509911E-2</v>
      </c>
      <c r="F851" s="41">
        <f t="shared" si="53"/>
        <v>127.92382148355598</v>
      </c>
      <c r="G851" s="42" t="str">
        <f t="shared" si="54"/>
        <v>2025-05</v>
      </c>
    </row>
    <row r="852" spans="1:7" x14ac:dyDescent="0.25">
      <c r="A852" s="31">
        <v>45800</v>
      </c>
      <c r="B852" s="32">
        <v>57107.531738281301</v>
      </c>
      <c r="C852" s="33">
        <f t="shared" si="55"/>
        <v>-6.8259566805541905E-3</v>
      </c>
      <c r="D852" s="32">
        <f>MAX($B$2:B852)</f>
        <v>60261.340332031301</v>
      </c>
      <c r="E852" s="34">
        <f t="shared" si="52"/>
        <v>-5.2335520192099416E-2</v>
      </c>
      <c r="F852" s="35">
        <f t="shared" si="53"/>
        <v>127.05061901969827</v>
      </c>
      <c r="G852" s="36" t="str">
        <f t="shared" si="54"/>
        <v>2025-05</v>
      </c>
    </row>
    <row r="853" spans="1:7" x14ac:dyDescent="0.25">
      <c r="A853" s="37">
        <v>45804</v>
      </c>
      <c r="B853" s="38">
        <v>58294.830322265603</v>
      </c>
      <c r="C853" s="39">
        <f t="shared" si="55"/>
        <v>2.0790577842264124E-2</v>
      </c>
      <c r="D853" s="38">
        <f>MAX($B$2:B853)</f>
        <v>60261.340332031301</v>
      </c>
      <c r="E853" s="40">
        <f t="shared" si="52"/>
        <v>-3.2633028056304636E-2</v>
      </c>
      <c r="F853" s="41">
        <f t="shared" si="53"/>
        <v>129.69207480433516</v>
      </c>
      <c r="G853" s="42" t="str">
        <f t="shared" si="54"/>
        <v>2025-05</v>
      </c>
    </row>
    <row r="854" spans="1:7" x14ac:dyDescent="0.25">
      <c r="A854" s="31">
        <v>45805</v>
      </c>
      <c r="B854" s="32">
        <v>57957.574462890603</v>
      </c>
      <c r="C854" s="33">
        <f t="shared" si="55"/>
        <v>-5.7853476459333031E-3</v>
      </c>
      <c r="D854" s="32">
        <f>MAX($B$2:B854)</f>
        <v>60261.340332031301</v>
      </c>
      <c r="E854" s="34">
        <f t="shared" si="52"/>
        <v>-3.8229582290192687E-2</v>
      </c>
      <c r="F854" s="35">
        <f t="shared" si="53"/>
        <v>128.94176106466969</v>
      </c>
      <c r="G854" s="36" t="str">
        <f t="shared" si="54"/>
        <v>2025-05</v>
      </c>
    </row>
    <row r="855" spans="1:7" x14ac:dyDescent="0.25">
      <c r="A855" s="37">
        <v>45806</v>
      </c>
      <c r="B855" s="38">
        <v>58186.358642578103</v>
      </c>
      <c r="C855" s="39">
        <f t="shared" si="55"/>
        <v>3.947442276660329E-3</v>
      </c>
      <c r="D855" s="38">
        <f>MAX($B$2:B855)</f>
        <v>60261.340332031301</v>
      </c>
      <c r="E855" s="40">
        <f t="shared" si="52"/>
        <v>-3.4433049082883804E-2</v>
      </c>
      <c r="F855" s="41">
        <f t="shared" si="53"/>
        <v>129.45075122352338</v>
      </c>
      <c r="G855" s="42" t="str">
        <f t="shared" si="54"/>
        <v>2025-05</v>
      </c>
    </row>
    <row r="856" spans="1:7" x14ac:dyDescent="0.25">
      <c r="A856" s="31">
        <v>45807</v>
      </c>
      <c r="B856" s="32">
        <v>58121.270751953103</v>
      </c>
      <c r="C856" s="33">
        <f t="shared" si="55"/>
        <v>-1.1186108246576953E-3</v>
      </c>
      <c r="D856" s="32">
        <f>MAX($B$2:B856)</f>
        <v>60261.340332031301</v>
      </c>
      <c r="E856" s="34">
        <f t="shared" si="52"/>
        <v>-3.5513142726111391E-2</v>
      </c>
      <c r="F856" s="35">
        <f t="shared" si="53"/>
        <v>129.3059462119447</v>
      </c>
      <c r="G856" s="36" t="str">
        <f t="shared" si="54"/>
        <v>2025-05</v>
      </c>
    </row>
    <row r="857" spans="1:7" x14ac:dyDescent="0.25">
      <c r="A857" s="37">
        <v>45810</v>
      </c>
      <c r="B857" s="38">
        <v>58448.675537109397</v>
      </c>
      <c r="C857" s="39">
        <f t="shared" si="55"/>
        <v>5.633131914021261E-3</v>
      </c>
      <c r="D857" s="38">
        <f>MAX($B$2:B857)</f>
        <v>60261.340332031301</v>
      </c>
      <c r="E857" s="40">
        <f t="shared" si="52"/>
        <v>-3.0080061029747807E-2</v>
      </c>
      <c r="F857" s="41">
        <f t="shared" si="53"/>
        <v>130.03434366422391</v>
      </c>
      <c r="G857" s="42" t="str">
        <f t="shared" si="54"/>
        <v>2025-06</v>
      </c>
    </row>
    <row r="858" spans="1:7" x14ac:dyDescent="0.25">
      <c r="A858" s="31">
        <v>45811</v>
      </c>
      <c r="B858" s="32">
        <v>58781.976318359397</v>
      </c>
      <c r="C858" s="33">
        <f t="shared" si="55"/>
        <v>5.7024522486979201E-3</v>
      </c>
      <c r="D858" s="32">
        <f>MAX($B$2:B858)</f>
        <v>60261.340332031301</v>
      </c>
      <c r="E858" s="34">
        <f t="shared" si="52"/>
        <v>-2.4549138892710043E-2</v>
      </c>
      <c r="F858" s="35">
        <f t="shared" si="53"/>
        <v>130.77585829965992</v>
      </c>
      <c r="G858" s="36" t="str">
        <f t="shared" si="54"/>
        <v>2025-06</v>
      </c>
    </row>
    <row r="859" spans="1:7" x14ac:dyDescent="0.25">
      <c r="A859" s="37">
        <v>45812</v>
      </c>
      <c r="B859" s="38">
        <v>58766.198730468801</v>
      </c>
      <c r="C859" s="39">
        <f t="shared" si="55"/>
        <v>-2.6840859866883449E-4</v>
      </c>
      <c r="D859" s="38">
        <f>MAX($B$2:B859)</f>
        <v>60261.340332031301</v>
      </c>
      <c r="E859" s="40">
        <f t="shared" si="52"/>
        <v>-2.4810958291410112E-2</v>
      </c>
      <c r="F859" s="41">
        <f t="shared" si="53"/>
        <v>130.74075693479398</v>
      </c>
      <c r="G859" s="42" t="str">
        <f t="shared" si="54"/>
        <v>2025-06</v>
      </c>
    </row>
    <row r="860" spans="1:7" x14ac:dyDescent="0.25">
      <c r="A860" s="31">
        <v>45813</v>
      </c>
      <c r="B860" s="32">
        <v>58482.189941406301</v>
      </c>
      <c r="C860" s="33">
        <f t="shared" si="55"/>
        <v>-4.8328596233543353E-3</v>
      </c>
      <c r="D860" s="32">
        <f>MAX($B$2:B860)</f>
        <v>60261.340332031301</v>
      </c>
      <c r="E860" s="34">
        <f t="shared" si="52"/>
        <v>-2.9523910036221235E-2</v>
      </c>
      <c r="F860" s="35">
        <f t="shared" si="53"/>
        <v>130.10890520947703</v>
      </c>
      <c r="G860" s="36" t="str">
        <f t="shared" si="54"/>
        <v>2025-06</v>
      </c>
    </row>
    <row r="861" spans="1:7" x14ac:dyDescent="0.25">
      <c r="A861" s="37">
        <v>45814</v>
      </c>
      <c r="B861" s="38">
        <v>59082.751464843801</v>
      </c>
      <c r="C861" s="39">
        <f t="shared" si="55"/>
        <v>1.0269135339138424E-2</v>
      </c>
      <c r="D861" s="38">
        <f>MAX($B$2:B861)</f>
        <v>60261.340332031301</v>
      </c>
      <c r="E861" s="40">
        <f t="shared" si="52"/>
        <v>-1.9557959724985308E-2</v>
      </c>
      <c r="F861" s="41">
        <f t="shared" si="53"/>
        <v>131.44501116590027</v>
      </c>
      <c r="G861" s="42" t="str">
        <f t="shared" si="54"/>
        <v>2025-06</v>
      </c>
    </row>
    <row r="862" spans="1:7" x14ac:dyDescent="0.25">
      <c r="A862" s="31">
        <v>45817</v>
      </c>
      <c r="B862" s="32">
        <v>59135.992431640603</v>
      </c>
      <c r="C862" s="33">
        <f t="shared" si="55"/>
        <v>9.0112537884223798E-4</v>
      </c>
      <c r="D862" s="32">
        <f>MAX($B$2:B862)</f>
        <v>60261.340332031301</v>
      </c>
      <c r="E862" s="34">
        <f t="shared" si="52"/>
        <v>-1.8674458520009596E-2</v>
      </c>
      <c r="F862" s="35">
        <f t="shared" si="53"/>
        <v>131.5634596013841</v>
      </c>
      <c r="G862" s="36" t="str">
        <f t="shared" si="54"/>
        <v>2025-06</v>
      </c>
    </row>
    <row r="863" spans="1:7" x14ac:dyDescent="0.25">
      <c r="A863" s="37">
        <v>45818</v>
      </c>
      <c r="B863" s="38">
        <v>59471.276855468801</v>
      </c>
      <c r="C863" s="39">
        <f t="shared" si="55"/>
        <v>5.6697183904670378E-3</v>
      </c>
      <c r="D863" s="38">
        <f>MAX($B$2:B863)</f>
        <v>60261.340332031301</v>
      </c>
      <c r="E863" s="40">
        <f t="shared" si="52"/>
        <v>-1.3110619050445305E-2</v>
      </c>
      <c r="F863" s="41">
        <f t="shared" si="53"/>
        <v>132.30938736779953</v>
      </c>
      <c r="G863" s="42" t="str">
        <f t="shared" si="54"/>
        <v>2025-06</v>
      </c>
    </row>
    <row r="864" spans="1:7" x14ac:dyDescent="0.25">
      <c r="A864" s="31">
        <v>45819</v>
      </c>
      <c r="B864" s="32">
        <v>59301.66015625</v>
      </c>
      <c r="C864" s="33">
        <f t="shared" si="55"/>
        <v>-2.8520776446588902E-3</v>
      </c>
      <c r="D864" s="32">
        <f>MAX($B$2:B864)</f>
        <v>60261.340332031301</v>
      </c>
      <c r="E864" s="34">
        <f t="shared" si="52"/>
        <v>-1.5925304191602763E-2</v>
      </c>
      <c r="F864" s="35">
        <f t="shared" si="53"/>
        <v>131.93203072190931</v>
      </c>
      <c r="G864" s="36" t="str">
        <f t="shared" si="54"/>
        <v>2025-06</v>
      </c>
    </row>
    <row r="865" spans="1:7" x14ac:dyDescent="0.25">
      <c r="A865" s="37">
        <v>45820</v>
      </c>
      <c r="B865" s="38">
        <v>59537.347412109397</v>
      </c>
      <c r="C865" s="39">
        <f t="shared" si="55"/>
        <v>3.974378714498128E-3</v>
      </c>
      <c r="D865" s="38">
        <f>MAX($B$2:B865)</f>
        <v>60261.340332031301</v>
      </c>
      <c r="E865" s="40">
        <f t="shared" si="52"/>
        <v>-1.2014218667105725E-2</v>
      </c>
      <c r="F865" s="41">
        <f t="shared" si="53"/>
        <v>132.45637857657098</v>
      </c>
      <c r="G865" s="42" t="str">
        <f t="shared" si="54"/>
        <v>2025-06</v>
      </c>
    </row>
    <row r="866" spans="1:7" x14ac:dyDescent="0.25">
      <c r="A866" s="31">
        <v>45821</v>
      </c>
      <c r="B866" s="32">
        <v>58871.716308593801</v>
      </c>
      <c r="C866" s="33">
        <f t="shared" si="55"/>
        <v>-1.1180059785132701E-2</v>
      </c>
      <c r="D866" s="32">
        <f>MAX($B$2:B866)</f>
        <v>60261.340332031301</v>
      </c>
      <c r="E866" s="34">
        <f t="shared" si="52"/>
        <v>-2.3059958769268474E-2</v>
      </c>
      <c r="F866" s="35">
        <f t="shared" si="53"/>
        <v>130.97550834516275</v>
      </c>
      <c r="G866" s="36" t="str">
        <f t="shared" si="54"/>
        <v>2025-06</v>
      </c>
    </row>
    <row r="867" spans="1:7" x14ac:dyDescent="0.25">
      <c r="A867" s="37">
        <v>45824</v>
      </c>
      <c r="B867" s="38">
        <v>59431.8359375</v>
      </c>
      <c r="C867" s="39">
        <f t="shared" si="55"/>
        <v>9.5142398426124597E-3</v>
      </c>
      <c r="D867" s="38">
        <f>MAX($B$2:B867)</f>
        <v>60261.340332031301</v>
      </c>
      <c r="E867" s="40">
        <f t="shared" si="52"/>
        <v>-1.3765116905147701E-2</v>
      </c>
      <c r="F867" s="41">
        <f t="shared" si="53"/>
        <v>132.22164074506674</v>
      </c>
      <c r="G867" s="42" t="str">
        <f t="shared" si="54"/>
        <v>2025-06</v>
      </c>
    </row>
    <row r="868" spans="1:7" x14ac:dyDescent="0.25">
      <c r="A868" s="31">
        <v>45825</v>
      </c>
      <c r="B868" s="32">
        <v>58923.986816406301</v>
      </c>
      <c r="C868" s="33">
        <f t="shared" si="55"/>
        <v>-8.5450687006837223E-3</v>
      </c>
      <c r="D868" s="32">
        <f>MAX($B$2:B868)</f>
        <v>60261.340332031301</v>
      </c>
      <c r="E868" s="34">
        <f t="shared" si="52"/>
        <v>-2.2192561736203875E-2</v>
      </c>
      <c r="F868" s="35">
        <f t="shared" si="53"/>
        <v>131.091797741183</v>
      </c>
      <c r="G868" s="36" t="str">
        <f t="shared" si="54"/>
        <v>2025-06</v>
      </c>
    </row>
    <row r="869" spans="1:7" x14ac:dyDescent="0.25">
      <c r="A869" s="37">
        <v>45826</v>
      </c>
      <c r="B869" s="38">
        <v>58915.106201171897</v>
      </c>
      <c r="C869" s="39">
        <f t="shared" si="55"/>
        <v>-1.5071307483105478E-4</v>
      </c>
      <c r="D869" s="38">
        <f>MAX($B$2:B869)</f>
        <v>60261.340332031301</v>
      </c>
      <c r="E869" s="40">
        <f t="shared" si="52"/>
        <v>-2.233993010181734E-2</v>
      </c>
      <c r="F869" s="41">
        <f t="shared" si="53"/>
        <v>131.07204049326032</v>
      </c>
      <c r="G869" s="42" t="str">
        <f t="shared" si="54"/>
        <v>2025-06</v>
      </c>
    </row>
    <row r="870" spans="1:7" x14ac:dyDescent="0.25">
      <c r="A870" s="31">
        <v>45828</v>
      </c>
      <c r="B870" s="32">
        <v>58776.745605468801</v>
      </c>
      <c r="C870" s="33">
        <f t="shared" si="55"/>
        <v>-2.3484740098854706E-3</v>
      </c>
      <c r="D870" s="32">
        <f>MAX($B$2:B870)</f>
        <v>60261.340332031301</v>
      </c>
      <c r="E870" s="34">
        <f t="shared" si="52"/>
        <v>-2.4635939366476012E-2</v>
      </c>
      <c r="F870" s="35">
        <f t="shared" si="53"/>
        <v>130.76422121273922</v>
      </c>
      <c r="G870" s="36" t="str">
        <f t="shared" si="54"/>
        <v>2025-06</v>
      </c>
    </row>
    <row r="871" spans="1:7" x14ac:dyDescent="0.25">
      <c r="A871" s="37">
        <v>45831</v>
      </c>
      <c r="B871" s="38">
        <v>59357.2998046875</v>
      </c>
      <c r="C871" s="39">
        <f t="shared" si="55"/>
        <v>9.8772770291772893E-3</v>
      </c>
      <c r="D871" s="38">
        <f>MAX($B$2:B871)</f>
        <v>60261.340332031301</v>
      </c>
      <c r="E871" s="40">
        <f t="shared" si="52"/>
        <v>-1.5001998335295363E-2</v>
      </c>
      <c r="F871" s="41">
        <f t="shared" si="53"/>
        <v>132.05581565116208</v>
      </c>
      <c r="G871" s="42" t="str">
        <f t="shared" si="54"/>
        <v>2025-06</v>
      </c>
    </row>
    <row r="872" spans="1:7" x14ac:dyDescent="0.25">
      <c r="A872" s="31">
        <v>45832</v>
      </c>
      <c r="B872" s="32">
        <v>60013.037109375</v>
      </c>
      <c r="C872" s="33">
        <f t="shared" si="55"/>
        <v>1.1047290002159427E-2</v>
      </c>
      <c r="D872" s="32">
        <f>MAX($B$2:B872)</f>
        <v>60261.340332031301</v>
      </c>
      <c r="E872" s="34">
        <f t="shared" si="52"/>
        <v>-4.1204397593579412E-3</v>
      </c>
      <c r="F872" s="35">
        <f t="shared" si="53"/>
        <v>133.51467454313217</v>
      </c>
      <c r="G872" s="36" t="str">
        <f t="shared" si="54"/>
        <v>2025-06</v>
      </c>
    </row>
    <row r="873" spans="1:7" x14ac:dyDescent="0.25">
      <c r="A873" s="37">
        <v>45833</v>
      </c>
      <c r="B873" s="38">
        <v>60046.667480468801</v>
      </c>
      <c r="C873" s="39">
        <f t="shared" si="55"/>
        <v>5.6038442168016012E-4</v>
      </c>
      <c r="D873" s="38">
        <f>MAX($B$2:B873)</f>
        <v>60261.340332031301</v>
      </c>
      <c r="E873" s="40">
        <f t="shared" si="52"/>
        <v>-3.5623643679294492E-3</v>
      </c>
      <c r="F873" s="41">
        <f t="shared" si="53"/>
        <v>133.58949408681181</v>
      </c>
      <c r="G873" s="42" t="str">
        <f t="shared" si="54"/>
        <v>2025-06</v>
      </c>
    </row>
    <row r="874" spans="1:7" x14ac:dyDescent="0.25">
      <c r="A874" s="31">
        <v>45834</v>
      </c>
      <c r="B874" s="32">
        <v>60516.461181640603</v>
      </c>
      <c r="C874" s="33">
        <f t="shared" si="55"/>
        <v>7.8238097280687313E-3</v>
      </c>
      <c r="D874" s="32">
        <f>MAX($B$2:B874)</f>
        <v>60516.461181640603</v>
      </c>
      <c r="E874" s="34">
        <f t="shared" si="52"/>
        <v>0</v>
      </c>
      <c r="F874" s="35">
        <f t="shared" si="53"/>
        <v>134.63467287021601</v>
      </c>
      <c r="G874" s="36" t="str">
        <f t="shared" si="54"/>
        <v>2025-06</v>
      </c>
    </row>
    <row r="875" spans="1:7" x14ac:dyDescent="0.25">
      <c r="A875" s="37">
        <v>45835</v>
      </c>
      <c r="B875" s="38">
        <v>60817.132568359397</v>
      </c>
      <c r="C875" s="39">
        <f t="shared" si="55"/>
        <v>4.9684231504603105E-3</v>
      </c>
      <c r="D875" s="38">
        <f>MAX($B$2:B875)</f>
        <v>60817.132568359397</v>
      </c>
      <c r="E875" s="40">
        <f t="shared" si="52"/>
        <v>0</v>
      </c>
      <c r="F875" s="41">
        <f t="shared" si="53"/>
        <v>135.30359489575903</v>
      </c>
      <c r="G875" s="42" t="str">
        <f t="shared" si="54"/>
        <v>2025-06</v>
      </c>
    </row>
    <row r="876" spans="1:7" x14ac:dyDescent="0.25">
      <c r="A876" s="31">
        <v>45838</v>
      </c>
      <c r="B876" s="32">
        <v>61107.904052734397</v>
      </c>
      <c r="C876" s="33">
        <f t="shared" si="55"/>
        <v>4.7810784904758208E-3</v>
      </c>
      <c r="D876" s="32">
        <f>MAX($B$2:B876)</f>
        <v>61107.904052734397</v>
      </c>
      <c r="E876" s="34">
        <f t="shared" si="52"/>
        <v>0</v>
      </c>
      <c r="F876" s="35">
        <f t="shared" si="53"/>
        <v>135.9504920029992</v>
      </c>
      <c r="G876" s="36" t="str">
        <f t="shared" si="54"/>
        <v>2025-06</v>
      </c>
    </row>
    <row r="877" spans="1:7" x14ac:dyDescent="0.25">
      <c r="A877" s="37">
        <v>45839</v>
      </c>
      <c r="B877" s="38">
        <v>61088.134765625</v>
      </c>
      <c r="C877" s="39">
        <f t="shared" si="55"/>
        <v>-3.2351440318323377E-4</v>
      </c>
      <c r="D877" s="38">
        <f>MAX($B$2:B877)</f>
        <v>61107.904052734397</v>
      </c>
      <c r="E877" s="40">
        <f t="shared" si="52"/>
        <v>-3.2351440318323377E-4</v>
      </c>
      <c r="F877" s="41">
        <f t="shared" si="53"/>
        <v>135.90651006071639</v>
      </c>
      <c r="G877" s="42" t="str">
        <f t="shared" si="54"/>
        <v>2025-07</v>
      </c>
    </row>
    <row r="878" spans="1:7" x14ac:dyDescent="0.25">
      <c r="A878" s="31">
        <v>45840</v>
      </c>
      <c r="B878" s="32">
        <v>61365.0634765625</v>
      </c>
      <c r="C878" s="33">
        <f t="shared" si="55"/>
        <v>4.5332651258707113E-3</v>
      </c>
      <c r="D878" s="32">
        <f>MAX($B$2:B878)</f>
        <v>61365.0634765625</v>
      </c>
      <c r="E878" s="34">
        <f t="shared" si="52"/>
        <v>0</v>
      </c>
      <c r="F878" s="35">
        <f t="shared" si="53"/>
        <v>136.52261030315341</v>
      </c>
      <c r="G878" s="36" t="str">
        <f t="shared" si="54"/>
        <v>2025-07</v>
      </c>
    </row>
    <row r="879" spans="1:7" x14ac:dyDescent="0.25">
      <c r="A879" s="37">
        <v>45841</v>
      </c>
      <c r="B879" s="38">
        <v>61848.7060546875</v>
      </c>
      <c r="C879" s="39">
        <f t="shared" si="55"/>
        <v>7.8813994596407255E-3</v>
      </c>
      <c r="D879" s="38">
        <f>MAX($B$2:B879)</f>
        <v>61848.7060546875</v>
      </c>
      <c r="E879" s="40">
        <f t="shared" si="52"/>
        <v>0</v>
      </c>
      <c r="F879" s="41">
        <f t="shared" si="53"/>
        <v>137.59859953022544</v>
      </c>
      <c r="G879" s="42" t="str">
        <f t="shared" si="54"/>
        <v>2025-07</v>
      </c>
    </row>
    <row r="880" spans="1:7" x14ac:dyDescent="0.25">
      <c r="A880" s="31">
        <v>45845</v>
      </c>
      <c r="B880" s="32">
        <v>61387.805175781301</v>
      </c>
      <c r="C880" s="33">
        <f t="shared" si="55"/>
        <v>-7.4520698702841282E-3</v>
      </c>
      <c r="D880" s="32">
        <f>MAX($B$2:B880)</f>
        <v>61848.7060546875</v>
      </c>
      <c r="E880" s="34">
        <f t="shared" si="52"/>
        <v>-7.4520698702841282E-3</v>
      </c>
      <c r="F880" s="35">
        <f t="shared" si="53"/>
        <v>136.57320515247295</v>
      </c>
      <c r="G880" s="36" t="str">
        <f t="shared" si="54"/>
        <v>2025-07</v>
      </c>
    </row>
    <row r="881" spans="1:7" x14ac:dyDescent="0.25">
      <c r="A881" s="37">
        <v>45846</v>
      </c>
      <c r="B881" s="38">
        <v>61354.180908203103</v>
      </c>
      <c r="C881" s="39">
        <f t="shared" si="55"/>
        <v>-5.4773529501361828E-4</v>
      </c>
      <c r="D881" s="38">
        <f>MAX($B$2:B881)</f>
        <v>61848.7060546875</v>
      </c>
      <c r="E881" s="40">
        <f t="shared" si="52"/>
        <v>-7.9957234036089897E-3</v>
      </c>
      <c r="F881" s="41">
        <f t="shared" si="53"/>
        <v>136.49839918765781</v>
      </c>
      <c r="G881" s="42" t="str">
        <f t="shared" si="54"/>
        <v>2025-07</v>
      </c>
    </row>
    <row r="882" spans="1:7" x14ac:dyDescent="0.25">
      <c r="A882" s="31">
        <v>45847</v>
      </c>
      <c r="B882" s="32">
        <v>61722.100830078103</v>
      </c>
      <c r="C882" s="33">
        <f t="shared" si="55"/>
        <v>5.9966560783442091E-3</v>
      </c>
      <c r="D882" s="32">
        <f>MAX($B$2:B882)</f>
        <v>61848.7060546875</v>
      </c>
      <c r="E882" s="34">
        <f t="shared" si="52"/>
        <v>-2.0470149286139216E-3</v>
      </c>
      <c r="F882" s="35">
        <f t="shared" si="53"/>
        <v>137.31693314283072</v>
      </c>
      <c r="G882" s="36" t="str">
        <f t="shared" si="54"/>
        <v>2025-07</v>
      </c>
    </row>
    <row r="883" spans="1:7" x14ac:dyDescent="0.25">
      <c r="A883" s="37">
        <v>45848</v>
      </c>
      <c r="B883" s="38">
        <v>61896.173095703103</v>
      </c>
      <c r="C883" s="39">
        <f t="shared" si="55"/>
        <v>2.8202582751390981E-3</v>
      </c>
      <c r="D883" s="38">
        <f>MAX($B$2:B883)</f>
        <v>61896.173095703103</v>
      </c>
      <c r="E883" s="40">
        <f t="shared" si="52"/>
        <v>0</v>
      </c>
      <c r="F883" s="41">
        <f t="shared" si="53"/>
        <v>137.70420235984352</v>
      </c>
      <c r="G883" s="42" t="str">
        <f t="shared" si="54"/>
        <v>2025-07</v>
      </c>
    </row>
    <row r="884" spans="1:7" x14ac:dyDescent="0.25">
      <c r="A884" s="31">
        <v>45849</v>
      </c>
      <c r="B884" s="32">
        <v>61678.582763671897</v>
      </c>
      <c r="C884" s="33">
        <f t="shared" si="55"/>
        <v>-3.5154084840555155E-3</v>
      </c>
      <c r="D884" s="32">
        <f>MAX($B$2:B884)</f>
        <v>61896.173095703103</v>
      </c>
      <c r="E884" s="34">
        <f t="shared" si="52"/>
        <v>-3.5154084840555155E-3</v>
      </c>
      <c r="F884" s="35">
        <f t="shared" si="53"/>
        <v>137.22011583857761</v>
      </c>
      <c r="G884" s="36" t="str">
        <f t="shared" si="54"/>
        <v>2025-07</v>
      </c>
    </row>
    <row r="885" spans="1:7" x14ac:dyDescent="0.25">
      <c r="A885" s="37">
        <v>45852</v>
      </c>
      <c r="B885" s="38">
        <v>61796.276855468801</v>
      </c>
      <c r="C885" s="39">
        <f t="shared" si="55"/>
        <v>1.9081841138901545E-3</v>
      </c>
      <c r="D885" s="38">
        <f>MAX($B$2:B885)</f>
        <v>61896.173095703103</v>
      </c>
      <c r="E885" s="40">
        <f t="shared" si="52"/>
        <v>-1.6139324167884217E-3</v>
      </c>
      <c r="F885" s="41">
        <f t="shared" si="53"/>
        <v>137.48195708372697</v>
      </c>
      <c r="G885" s="42" t="str">
        <f t="shared" si="54"/>
        <v>2025-07</v>
      </c>
    </row>
    <row r="886" spans="1:7" x14ac:dyDescent="0.25">
      <c r="A886" s="31">
        <v>45853</v>
      </c>
      <c r="B886" s="32">
        <v>61532.208251953103</v>
      </c>
      <c r="C886" s="33">
        <f t="shared" si="55"/>
        <v>-4.2732121893575004E-3</v>
      </c>
      <c r="D886" s="32">
        <f>MAX($B$2:B886)</f>
        <v>61896.173095703103</v>
      </c>
      <c r="E886" s="34">
        <f t="shared" si="52"/>
        <v>-5.8802479304697064E-3</v>
      </c>
      <c r="F886" s="35">
        <f t="shared" si="53"/>
        <v>136.89446750890005</v>
      </c>
      <c r="G886" s="36" t="str">
        <f t="shared" si="54"/>
        <v>2025-07</v>
      </c>
    </row>
    <row r="887" spans="1:7" x14ac:dyDescent="0.25">
      <c r="A887" s="37">
        <v>45854</v>
      </c>
      <c r="B887" s="38">
        <v>61737.927246093801</v>
      </c>
      <c r="C887" s="39">
        <f t="shared" si="55"/>
        <v>3.3432733845395468E-3</v>
      </c>
      <c r="D887" s="38">
        <f>MAX($B$2:B887)</f>
        <v>61896.173095703103</v>
      </c>
      <c r="E887" s="40">
        <f t="shared" si="52"/>
        <v>-2.5566338223306229E-3</v>
      </c>
      <c r="F887" s="41">
        <f t="shared" si="53"/>
        <v>137.35214313861329</v>
      </c>
      <c r="G887" s="42" t="str">
        <f t="shared" si="54"/>
        <v>2025-07</v>
      </c>
    </row>
    <row r="888" spans="1:7" x14ac:dyDescent="0.25">
      <c r="A888" s="31">
        <v>45855</v>
      </c>
      <c r="B888" s="32">
        <v>62115.740966796897</v>
      </c>
      <c r="C888" s="33">
        <f t="shared" si="55"/>
        <v>6.1196372725162984E-3</v>
      </c>
      <c r="D888" s="32">
        <f>MAX($B$2:B888)</f>
        <v>62115.740966796897</v>
      </c>
      <c r="E888" s="34">
        <f t="shared" si="52"/>
        <v>0</v>
      </c>
      <c r="F888" s="35">
        <f t="shared" si="53"/>
        <v>138.19268843322433</v>
      </c>
      <c r="G888" s="36" t="str">
        <f t="shared" si="54"/>
        <v>2025-07</v>
      </c>
    </row>
    <row r="889" spans="1:7" x14ac:dyDescent="0.25">
      <c r="A889" s="37">
        <v>45856</v>
      </c>
      <c r="B889" s="38">
        <v>62070.245361328103</v>
      </c>
      <c r="C889" s="39">
        <f t="shared" si="55"/>
        <v>-7.3243279015400287E-4</v>
      </c>
      <c r="D889" s="38">
        <f>MAX($B$2:B889)</f>
        <v>62115.740966796897</v>
      </c>
      <c r="E889" s="40">
        <f t="shared" si="52"/>
        <v>-7.3243279015400287E-4</v>
      </c>
      <c r="F889" s="41">
        <f t="shared" si="53"/>
        <v>138.09147157685629</v>
      </c>
      <c r="G889" s="42" t="str">
        <f t="shared" si="54"/>
        <v>2025-07</v>
      </c>
    </row>
    <row r="890" spans="1:7" x14ac:dyDescent="0.25">
      <c r="A890" s="31">
        <v>45859</v>
      </c>
      <c r="B890" s="32">
        <v>62187.939453125</v>
      </c>
      <c r="C890" s="33">
        <f t="shared" si="55"/>
        <v>1.89614349213163E-3</v>
      </c>
      <c r="D890" s="32">
        <f>MAX($B$2:B890)</f>
        <v>62187.939453125</v>
      </c>
      <c r="E890" s="34">
        <f t="shared" si="52"/>
        <v>0</v>
      </c>
      <c r="F890" s="35">
        <f t="shared" si="53"/>
        <v>138.35331282200565</v>
      </c>
      <c r="G890" s="36" t="str">
        <f t="shared" si="54"/>
        <v>2025-07</v>
      </c>
    </row>
    <row r="891" spans="1:7" x14ac:dyDescent="0.25">
      <c r="A891" s="37">
        <v>45860</v>
      </c>
      <c r="B891" s="38">
        <v>62196.844482421897</v>
      </c>
      <c r="C891" s="39">
        <f t="shared" si="55"/>
        <v>1.4319543910290555E-4</v>
      </c>
      <c r="D891" s="38">
        <f>MAX($B$2:B891)</f>
        <v>62196.844482421897</v>
      </c>
      <c r="E891" s="40">
        <f t="shared" si="52"/>
        <v>0</v>
      </c>
      <c r="F891" s="41">
        <f t="shared" si="53"/>
        <v>138.37312438538655</v>
      </c>
      <c r="G891" s="42" t="str">
        <f t="shared" si="54"/>
        <v>2025-07</v>
      </c>
    </row>
    <row r="892" spans="1:7" x14ac:dyDescent="0.25">
      <c r="A892" s="31">
        <v>45861</v>
      </c>
      <c r="B892" s="32">
        <v>62725.982666015603</v>
      </c>
      <c r="C892" s="33">
        <f t="shared" si="55"/>
        <v>8.5074763518468988E-3</v>
      </c>
      <c r="D892" s="32">
        <f>MAX($B$2:B892)</f>
        <v>62725.982666015603</v>
      </c>
      <c r="E892" s="34">
        <f t="shared" si="52"/>
        <v>0</v>
      </c>
      <c r="F892" s="35">
        <f t="shared" si="53"/>
        <v>139.55033046882639</v>
      </c>
      <c r="G892" s="36" t="str">
        <f t="shared" si="54"/>
        <v>2025-07</v>
      </c>
    </row>
    <row r="893" spans="1:7" x14ac:dyDescent="0.25">
      <c r="A893" s="37">
        <v>45862</v>
      </c>
      <c r="B893" s="38">
        <v>62746.746826171897</v>
      </c>
      <c r="C893" s="39">
        <f t="shared" si="55"/>
        <v>3.3102965109144122E-4</v>
      </c>
      <c r="D893" s="38">
        <f>MAX($B$2:B893)</f>
        <v>62746.746826171897</v>
      </c>
      <c r="E893" s="40">
        <f t="shared" si="52"/>
        <v>0</v>
      </c>
      <c r="F893" s="41">
        <f t="shared" si="53"/>
        <v>139.59652576603116</v>
      </c>
      <c r="G893" s="42" t="str">
        <f t="shared" si="54"/>
        <v>2025-07</v>
      </c>
    </row>
    <row r="894" spans="1:7" x14ac:dyDescent="0.25">
      <c r="A894" s="31">
        <v>45863</v>
      </c>
      <c r="B894" s="32">
        <v>63011.810302734397</v>
      </c>
      <c r="C894" s="33">
        <f t="shared" si="55"/>
        <v>4.224338152491125E-3</v>
      </c>
      <c r="D894" s="32">
        <f>MAX($B$2:B894)</f>
        <v>63011.810302734397</v>
      </c>
      <c r="E894" s="34">
        <f t="shared" si="52"/>
        <v>0</v>
      </c>
      <c r="F894" s="35">
        <f t="shared" si="53"/>
        <v>140.18622869577982</v>
      </c>
      <c r="G894" s="36" t="str">
        <f t="shared" si="54"/>
        <v>2025-07</v>
      </c>
    </row>
    <row r="895" spans="1:7" x14ac:dyDescent="0.25">
      <c r="A895" s="37">
        <v>45866</v>
      </c>
      <c r="B895" s="38">
        <v>62995.989990234397</v>
      </c>
      <c r="C895" s="39">
        <f t="shared" si="55"/>
        <v>-2.5106900474680671E-4</v>
      </c>
      <c r="D895" s="38">
        <f>MAX($B$2:B895)</f>
        <v>63011.810302734397</v>
      </c>
      <c r="E895" s="40">
        <f t="shared" si="52"/>
        <v>-2.5106900474680671E-4</v>
      </c>
      <c r="F895" s="41">
        <f t="shared" si="53"/>
        <v>140.15103227886198</v>
      </c>
      <c r="G895" s="42" t="str">
        <f t="shared" si="54"/>
        <v>2025-07</v>
      </c>
    </row>
    <row r="896" spans="1:7" x14ac:dyDescent="0.25">
      <c r="A896" s="31">
        <v>45867</v>
      </c>
      <c r="B896" s="32">
        <v>62829.833984375</v>
      </c>
      <c r="C896" s="33">
        <f t="shared" si="55"/>
        <v>-2.6375648019049125E-3</v>
      </c>
      <c r="D896" s="32">
        <f>MAX($B$2:B896)</f>
        <v>63011.810302734397</v>
      </c>
      <c r="E896" s="34">
        <f t="shared" si="52"/>
        <v>-2.8879715958819441E-3</v>
      </c>
      <c r="F896" s="35">
        <f t="shared" si="53"/>
        <v>139.78137484917261</v>
      </c>
      <c r="G896" s="36" t="str">
        <f t="shared" si="54"/>
        <v>2025-07</v>
      </c>
    </row>
    <row r="897" spans="1:7" x14ac:dyDescent="0.25">
      <c r="A897" s="37">
        <v>45868</v>
      </c>
      <c r="B897" s="38">
        <v>62750.701904296897</v>
      </c>
      <c r="C897" s="39">
        <f t="shared" si="55"/>
        <v>-1.2594666428337176E-3</v>
      </c>
      <c r="D897" s="38">
        <f>MAX($B$2:B897)</f>
        <v>63011.810302734397</v>
      </c>
      <c r="E897" s="40">
        <f t="shared" si="52"/>
        <v>-4.143800934825248E-3</v>
      </c>
      <c r="F897" s="41">
        <f t="shared" si="53"/>
        <v>139.60532487026063</v>
      </c>
      <c r="G897" s="42" t="str">
        <f t="shared" si="54"/>
        <v>2025-07</v>
      </c>
    </row>
    <row r="898" spans="1:7" x14ac:dyDescent="0.25">
      <c r="A898" s="31">
        <v>45869</v>
      </c>
      <c r="B898" s="32">
        <v>62515.313720703103</v>
      </c>
      <c r="C898" s="33">
        <f t="shared" si="55"/>
        <v>-3.751164153554698E-3</v>
      </c>
      <c r="D898" s="32">
        <f>MAX($B$2:B898)</f>
        <v>63011.810302734397</v>
      </c>
      <c r="E898" s="34">
        <f t="shared" ref="E898:E961" si="56">B898/D898-1</f>
        <v>-7.8794210108537044E-3</v>
      </c>
      <c r="F898" s="35">
        <f t="shared" ref="F898:F961" si="57">B898/$B$2*100</f>
        <v>139.08164237996195</v>
      </c>
      <c r="G898" s="36" t="str">
        <f t="shared" ref="G898:G961" si="58">TEXT(A898,"YYYY-MM")</f>
        <v>2025-07</v>
      </c>
    </row>
    <row r="899" spans="1:7" x14ac:dyDescent="0.25">
      <c r="A899" s="37">
        <v>45870</v>
      </c>
      <c r="B899" s="38">
        <v>61490.661621093801</v>
      </c>
      <c r="C899" s="39">
        <f t="shared" ref="C899:C962" si="59">B899/B898-1</f>
        <v>-1.639041762130633E-2</v>
      </c>
      <c r="D899" s="38">
        <f>MAX($B$2:B899)</f>
        <v>63011.810302734397</v>
      </c>
      <c r="E899" s="40">
        <f t="shared" si="56"/>
        <v>-2.4140691631178046E-2</v>
      </c>
      <c r="F899" s="41">
        <f t="shared" si="57"/>
        <v>136.80203617789721</v>
      </c>
      <c r="G899" s="42" t="str">
        <f t="shared" si="58"/>
        <v>2025-08</v>
      </c>
    </row>
    <row r="900" spans="1:7" x14ac:dyDescent="0.25">
      <c r="A900" s="31">
        <v>45873</v>
      </c>
      <c r="B900" s="32">
        <v>62425.305175781301</v>
      </c>
      <c r="C900" s="33">
        <f t="shared" si="59"/>
        <v>1.5199764160073403E-2</v>
      </c>
      <c r="D900" s="32">
        <f>MAX($B$2:B900)</f>
        <v>63011.810302734397</v>
      </c>
      <c r="E900" s="34">
        <f t="shared" si="56"/>
        <v>-9.307860290559633E-3</v>
      </c>
      <c r="F900" s="35">
        <f t="shared" si="57"/>
        <v>138.88139486441906</v>
      </c>
      <c r="G900" s="36" t="str">
        <f t="shared" si="58"/>
        <v>2025-08</v>
      </c>
    </row>
    <row r="901" spans="1:7" x14ac:dyDescent="0.25">
      <c r="A901" s="37">
        <v>45874</v>
      </c>
      <c r="B901" s="38">
        <v>62108.819580078103</v>
      </c>
      <c r="C901" s="39">
        <f t="shared" si="59"/>
        <v>-5.0698285705134127E-3</v>
      </c>
      <c r="D901" s="38">
        <f>MAX($B$2:B901)</f>
        <v>63011.810302734397</v>
      </c>
      <c r="E901" s="40">
        <f t="shared" si="56"/>
        <v>-1.4330499605041624E-2</v>
      </c>
      <c r="F901" s="41">
        <f t="shared" si="57"/>
        <v>138.17729000082269</v>
      </c>
      <c r="G901" s="42" t="str">
        <f t="shared" si="58"/>
        <v>2025-08</v>
      </c>
    </row>
    <row r="902" spans="1:7" x14ac:dyDescent="0.25">
      <c r="A902" s="31">
        <v>45875</v>
      </c>
      <c r="B902" s="32">
        <v>62584.5458984375</v>
      </c>
      <c r="C902" s="33">
        <f t="shared" si="59"/>
        <v>7.659561420999772E-3</v>
      </c>
      <c r="D902" s="32">
        <f>MAX($B$2:B902)</f>
        <v>63011.810302734397</v>
      </c>
      <c r="E902" s="34">
        <f t="shared" si="56"/>
        <v>-6.7807035259603854E-3</v>
      </c>
      <c r="F902" s="35">
        <f t="shared" si="57"/>
        <v>139.23566744057126</v>
      </c>
      <c r="G902" s="36" t="str">
        <f t="shared" si="58"/>
        <v>2025-08</v>
      </c>
    </row>
    <row r="903" spans="1:7" x14ac:dyDescent="0.25">
      <c r="A903" s="37">
        <v>45876</v>
      </c>
      <c r="B903" s="38">
        <v>62532.12890625</v>
      </c>
      <c r="C903" s="39">
        <f t="shared" si="59"/>
        <v>-8.3753890732962688E-4</v>
      </c>
      <c r="D903" s="38">
        <f>MAX($B$2:B903)</f>
        <v>63011.810302734397</v>
      </c>
      <c r="E903" s="40">
        <f t="shared" si="56"/>
        <v>-7.6125633302679407E-3</v>
      </c>
      <c r="F903" s="41">
        <f t="shared" si="57"/>
        <v>139.11905215180178</v>
      </c>
      <c r="G903" s="42" t="str">
        <f t="shared" si="58"/>
        <v>2025-08</v>
      </c>
    </row>
    <row r="904" spans="1:7" x14ac:dyDescent="0.25">
      <c r="A904" s="31">
        <v>45877</v>
      </c>
      <c r="B904" s="32">
        <v>63019.720458984397</v>
      </c>
      <c r="C904" s="33">
        <f t="shared" si="59"/>
        <v>7.7974564637870447E-3</v>
      </c>
      <c r="D904" s="32">
        <f>MAX($B$2:B904)</f>
        <v>63019.720458984397</v>
      </c>
      <c r="E904" s="34">
        <f t="shared" si="56"/>
        <v>0</v>
      </c>
      <c r="F904" s="35">
        <f t="shared" si="57"/>
        <v>140.20382690423875</v>
      </c>
      <c r="G904" s="36" t="str">
        <f t="shared" si="58"/>
        <v>2025-08</v>
      </c>
    </row>
    <row r="905" spans="1:7" x14ac:dyDescent="0.25">
      <c r="A905" s="37">
        <v>45880</v>
      </c>
      <c r="B905" s="38">
        <v>62895.104980468801</v>
      </c>
      <c r="C905" s="39">
        <f t="shared" si="59"/>
        <v>-1.9774044951008651E-3</v>
      </c>
      <c r="D905" s="38">
        <f>MAX($B$2:B905)</f>
        <v>63019.720458984397</v>
      </c>
      <c r="E905" s="40">
        <f t="shared" si="56"/>
        <v>-1.9774044951008651E-3</v>
      </c>
      <c r="F905" s="41">
        <f t="shared" si="57"/>
        <v>139.92658722668796</v>
      </c>
      <c r="G905" s="42" t="str">
        <f t="shared" si="58"/>
        <v>2025-08</v>
      </c>
    </row>
    <row r="906" spans="1:7" x14ac:dyDescent="0.25">
      <c r="A906" s="31">
        <v>45881</v>
      </c>
      <c r="B906" s="32">
        <v>63564.691162109397</v>
      </c>
      <c r="C906" s="33">
        <f t="shared" si="59"/>
        <v>1.0646077812391352E-2</v>
      </c>
      <c r="D906" s="32">
        <f>MAX($B$2:B906)</f>
        <v>63564.691162109397</v>
      </c>
      <c r="E906" s="34">
        <f t="shared" si="56"/>
        <v>0</v>
      </c>
      <c r="F906" s="35">
        <f t="shared" si="57"/>
        <v>141.41625656232566</v>
      </c>
      <c r="G906" s="36" t="str">
        <f t="shared" si="58"/>
        <v>2025-08</v>
      </c>
    </row>
    <row r="907" spans="1:7" x14ac:dyDescent="0.25">
      <c r="A907" s="37">
        <v>45882</v>
      </c>
      <c r="B907" s="38">
        <v>63782.275390625</v>
      </c>
      <c r="C907" s="39">
        <f t="shared" si="59"/>
        <v>3.4230360367943913E-3</v>
      </c>
      <c r="D907" s="38">
        <f>MAX($B$2:B907)</f>
        <v>63782.275390625</v>
      </c>
      <c r="E907" s="40">
        <f t="shared" si="56"/>
        <v>0</v>
      </c>
      <c r="F907" s="41">
        <f t="shared" si="57"/>
        <v>141.90032950472704</v>
      </c>
      <c r="G907" s="42" t="str">
        <f t="shared" si="58"/>
        <v>2025-08</v>
      </c>
    </row>
    <row r="908" spans="1:7" x14ac:dyDescent="0.25">
      <c r="A908" s="31">
        <v>45883</v>
      </c>
      <c r="B908" s="32">
        <v>63788.2080078125</v>
      </c>
      <c r="C908" s="33">
        <f t="shared" si="59"/>
        <v>9.3013570794830969E-5</v>
      </c>
      <c r="D908" s="32">
        <f>MAX($B$2:B908)</f>
        <v>63788.2080078125</v>
      </c>
      <c r="E908" s="34">
        <f t="shared" si="56"/>
        <v>0</v>
      </c>
      <c r="F908" s="35">
        <f t="shared" si="57"/>
        <v>141.91352816107124</v>
      </c>
      <c r="G908" s="36" t="str">
        <f t="shared" si="58"/>
        <v>2025-08</v>
      </c>
    </row>
    <row r="909" spans="1:7" x14ac:dyDescent="0.25">
      <c r="A909" s="37">
        <v>45884</v>
      </c>
      <c r="B909" s="38">
        <v>63638.861083984397</v>
      </c>
      <c r="C909" s="39">
        <f t="shared" si="59"/>
        <v>-2.3412936104085791E-3</v>
      </c>
      <c r="D909" s="38">
        <f>MAX($B$2:B909)</f>
        <v>63788.2080078125</v>
      </c>
      <c r="E909" s="40">
        <f t="shared" si="56"/>
        <v>-2.3412936104085791E-3</v>
      </c>
      <c r="F909" s="41">
        <f t="shared" si="57"/>
        <v>141.58126692435721</v>
      </c>
      <c r="G909" s="42" t="str">
        <f t="shared" si="58"/>
        <v>2025-08</v>
      </c>
    </row>
    <row r="910" spans="1:7" x14ac:dyDescent="0.25">
      <c r="A910" s="31">
        <v>45887</v>
      </c>
      <c r="B910" s="32">
        <v>63625.018310546897</v>
      </c>
      <c r="C910" s="33">
        <f t="shared" si="59"/>
        <v>-2.1752076014103228E-4</v>
      </c>
      <c r="D910" s="32">
        <f>MAX($B$2:B910)</f>
        <v>63788.2080078125</v>
      </c>
      <c r="E910" s="34">
        <f t="shared" si="56"/>
        <v>-2.5583050905837457E-3</v>
      </c>
      <c r="F910" s="35">
        <f t="shared" si="57"/>
        <v>141.55047005955407</v>
      </c>
      <c r="G910" s="36" t="str">
        <f t="shared" si="58"/>
        <v>2025-08</v>
      </c>
    </row>
    <row r="911" spans="1:7" x14ac:dyDescent="0.25">
      <c r="A911" s="37">
        <v>45888</v>
      </c>
      <c r="B911" s="38">
        <v>63279.840087890603</v>
      </c>
      <c r="C911" s="39">
        <f t="shared" si="59"/>
        <v>-5.4251964372177275E-3</v>
      </c>
      <c r="D911" s="38">
        <f>MAX($B$2:B911)</f>
        <v>63788.2080078125</v>
      </c>
      <c r="E911" s="40">
        <f t="shared" si="56"/>
        <v>-7.9696222201387501E-3</v>
      </c>
      <c r="F911" s="41">
        <f t="shared" si="57"/>
        <v>140.78253095370047</v>
      </c>
      <c r="G911" s="42" t="str">
        <f t="shared" si="58"/>
        <v>2025-08</v>
      </c>
    </row>
    <row r="912" spans="1:7" x14ac:dyDescent="0.25">
      <c r="A912" s="31">
        <v>45889</v>
      </c>
      <c r="B912" s="32">
        <v>63111.6943359375</v>
      </c>
      <c r="C912" s="33">
        <f t="shared" si="59"/>
        <v>-2.6571772577105301E-3</v>
      </c>
      <c r="D912" s="32">
        <f>MAX($B$2:B912)</f>
        <v>63788.2080078125</v>
      </c>
      <c r="E912" s="34">
        <f t="shared" si="56"/>
        <v>-1.0605622778933399E-2</v>
      </c>
      <c r="F912" s="35">
        <f t="shared" si="57"/>
        <v>140.40844681416738</v>
      </c>
      <c r="G912" s="36" t="str">
        <f t="shared" si="58"/>
        <v>2025-08</v>
      </c>
    </row>
    <row r="913" spans="1:7" x14ac:dyDescent="0.25">
      <c r="A913" s="37">
        <v>45890</v>
      </c>
      <c r="B913" s="38">
        <v>62858.508300781301</v>
      </c>
      <c r="C913" s="39">
        <f t="shared" si="59"/>
        <v>-4.0117134838515423E-3</v>
      </c>
      <c r="D913" s="38">
        <f>MAX($B$2:B913)</f>
        <v>63788.2080078125</v>
      </c>
      <c r="E913" s="40">
        <f t="shared" si="56"/>
        <v>-1.4574789542878053E-2</v>
      </c>
      <c r="F913" s="41">
        <f t="shared" si="57"/>
        <v>139.84516835483635</v>
      </c>
      <c r="G913" s="42" t="str">
        <f t="shared" si="58"/>
        <v>2025-08</v>
      </c>
    </row>
    <row r="914" spans="1:7" x14ac:dyDescent="0.25">
      <c r="A914" s="31">
        <v>45891</v>
      </c>
      <c r="B914" s="32">
        <v>63823.815917968801</v>
      </c>
      <c r="C914" s="33">
        <f t="shared" si="59"/>
        <v>1.5356833041096918E-2</v>
      </c>
      <c r="D914" s="32">
        <f>MAX($B$2:B914)</f>
        <v>63823.815917968801</v>
      </c>
      <c r="E914" s="34">
        <f t="shared" si="56"/>
        <v>0</v>
      </c>
      <c r="F914" s="35">
        <f t="shared" si="57"/>
        <v>141.99274725686564</v>
      </c>
      <c r="G914" s="36" t="str">
        <f t="shared" si="58"/>
        <v>2025-08</v>
      </c>
    </row>
    <row r="915" spans="1:7" x14ac:dyDescent="0.25">
      <c r="A915" s="37">
        <v>45894</v>
      </c>
      <c r="B915" s="38">
        <v>63542.926025390603</v>
      </c>
      <c r="C915" s="39">
        <f t="shared" si="59"/>
        <v>-4.4010200352047057E-3</v>
      </c>
      <c r="D915" s="38">
        <f>MAX($B$2:B915)</f>
        <v>63823.815917968801</v>
      </c>
      <c r="E915" s="40">
        <f t="shared" si="56"/>
        <v>-4.4010200352047057E-3</v>
      </c>
      <c r="F915" s="41">
        <f t="shared" si="57"/>
        <v>141.36783433133439</v>
      </c>
      <c r="G915" s="42" t="str">
        <f t="shared" si="58"/>
        <v>2025-08</v>
      </c>
    </row>
    <row r="916" spans="1:7" x14ac:dyDescent="0.25">
      <c r="A916" s="31">
        <v>45895</v>
      </c>
      <c r="B916" s="32">
        <v>63808.978271484397</v>
      </c>
      <c r="C916" s="33">
        <f t="shared" si="59"/>
        <v>4.1869687585285309E-3</v>
      </c>
      <c r="D916" s="32">
        <f>MAX($B$2:B916)</f>
        <v>63823.815917968801</v>
      </c>
      <c r="E916" s="34">
        <f t="shared" si="56"/>
        <v>-2.3247821006933123E-4</v>
      </c>
      <c r="F916" s="35">
        <f t="shared" si="57"/>
        <v>141.95973703714054</v>
      </c>
      <c r="G916" s="36" t="str">
        <f t="shared" si="58"/>
        <v>2025-08</v>
      </c>
    </row>
    <row r="917" spans="1:7" x14ac:dyDescent="0.25">
      <c r="A917" s="37">
        <v>45896</v>
      </c>
      <c r="B917" s="38">
        <v>63954.3701171875</v>
      </c>
      <c r="C917" s="39">
        <f t="shared" si="59"/>
        <v>2.2785484055944938E-3</v>
      </c>
      <c r="D917" s="38">
        <f>MAX($B$2:B917)</f>
        <v>63954.3701171875</v>
      </c>
      <c r="E917" s="40">
        <f t="shared" si="56"/>
        <v>0</v>
      </c>
      <c r="F917" s="41">
        <f t="shared" si="57"/>
        <v>142.28319916962511</v>
      </c>
      <c r="G917" s="42" t="str">
        <f t="shared" si="58"/>
        <v>2025-08</v>
      </c>
    </row>
    <row r="918" spans="1:7" x14ac:dyDescent="0.25">
      <c r="A918" s="31">
        <v>45897</v>
      </c>
      <c r="B918" s="32">
        <v>64180.859375</v>
      </c>
      <c r="C918" s="33">
        <f t="shared" si="59"/>
        <v>3.541419568318549E-3</v>
      </c>
      <c r="D918" s="32">
        <f>MAX($B$2:B918)</f>
        <v>64180.859375</v>
      </c>
      <c r="E918" s="34">
        <f t="shared" si="56"/>
        <v>0</v>
      </c>
      <c r="F918" s="35">
        <f t="shared" si="57"/>
        <v>142.78708367540739</v>
      </c>
      <c r="G918" s="36" t="str">
        <f t="shared" si="58"/>
        <v>2025-08</v>
      </c>
    </row>
    <row r="919" spans="1:7" x14ac:dyDescent="0.25">
      <c r="A919" s="37">
        <v>45898</v>
      </c>
      <c r="B919" s="38">
        <v>63798.101806640603</v>
      </c>
      <c r="C919" s="39">
        <f t="shared" si="59"/>
        <v>-5.9637339245178778E-3</v>
      </c>
      <c r="D919" s="38">
        <f>MAX($B$2:B919)</f>
        <v>64180.859375</v>
      </c>
      <c r="E919" s="40">
        <f t="shared" si="56"/>
        <v>-5.9637339245178778E-3</v>
      </c>
      <c r="F919" s="41">
        <f t="shared" si="57"/>
        <v>141.93553950050941</v>
      </c>
      <c r="G919" s="42" t="str">
        <f t="shared" si="58"/>
        <v>2025-08</v>
      </c>
    </row>
    <row r="920" spans="1:7" x14ac:dyDescent="0.25">
      <c r="A920" s="31">
        <v>45902</v>
      </c>
      <c r="B920" s="32">
        <v>63325.335693359397</v>
      </c>
      <c r="C920" s="33">
        <f t="shared" si="59"/>
        <v>-7.4103476419105085E-3</v>
      </c>
      <c r="D920" s="32">
        <f>MAX($B$2:B920)</f>
        <v>64180.859375</v>
      </c>
      <c r="E920" s="34">
        <f t="shared" si="56"/>
        <v>-1.3329888224803854E-2</v>
      </c>
      <c r="F920" s="35">
        <f t="shared" si="57"/>
        <v>140.88374781006851</v>
      </c>
      <c r="G920" s="36" t="str">
        <f t="shared" si="58"/>
        <v>2025-09</v>
      </c>
    </row>
    <row r="921" spans="1:7" x14ac:dyDescent="0.25">
      <c r="A921" s="37">
        <v>45903</v>
      </c>
      <c r="B921" s="38">
        <v>63668.536376953103</v>
      </c>
      <c r="C921" s="39">
        <f t="shared" si="59"/>
        <v>5.4196425464776432E-3</v>
      </c>
      <c r="D921" s="38">
        <f>MAX($B$2:B921)</f>
        <v>64180.859375</v>
      </c>
      <c r="E921" s="40">
        <f t="shared" si="56"/>
        <v>-7.9824889076891559E-3</v>
      </c>
      <c r="F921" s="41">
        <f t="shared" si="57"/>
        <v>141.64728736380718</v>
      </c>
      <c r="G921" s="42" t="str">
        <f t="shared" si="58"/>
        <v>2025-09</v>
      </c>
    </row>
    <row r="922" spans="1:7" x14ac:dyDescent="0.25">
      <c r="A922" s="31">
        <v>45904</v>
      </c>
      <c r="B922" s="32">
        <v>64200.640869140603</v>
      </c>
      <c r="C922" s="33">
        <f t="shared" si="59"/>
        <v>8.3574167472162397E-3</v>
      </c>
      <c r="D922" s="32">
        <f>MAX($B$2:B922)</f>
        <v>64200.640869140603</v>
      </c>
      <c r="E922" s="34">
        <f t="shared" si="56"/>
        <v>0</v>
      </c>
      <c r="F922" s="35">
        <f t="shared" si="57"/>
        <v>142.83109277541922</v>
      </c>
      <c r="G922" s="36" t="str">
        <f t="shared" si="58"/>
        <v>2025-09</v>
      </c>
    </row>
    <row r="923" spans="1:7" x14ac:dyDescent="0.25">
      <c r="A923" s="37">
        <v>45905</v>
      </c>
      <c r="B923" s="38">
        <v>64014.691162109397</v>
      </c>
      <c r="C923" s="39">
        <f t="shared" si="59"/>
        <v>-2.8963839692850435E-3</v>
      </c>
      <c r="D923" s="38">
        <f>MAX($B$2:B923)</f>
        <v>64200.640869140603</v>
      </c>
      <c r="E923" s="40">
        <f t="shared" si="56"/>
        <v>-2.8963839692850435E-3</v>
      </c>
      <c r="F923" s="41">
        <f t="shared" si="57"/>
        <v>142.41739908798903</v>
      </c>
      <c r="G923" s="42" t="str">
        <f t="shared" si="58"/>
        <v>2025-09</v>
      </c>
    </row>
    <row r="924" spans="1:7" x14ac:dyDescent="0.25">
      <c r="A924" s="31">
        <v>45908</v>
      </c>
      <c r="B924" s="32">
        <v>64171.966552734397</v>
      </c>
      <c r="C924" s="33">
        <f t="shared" si="59"/>
        <v>2.4568640068374226E-3</v>
      </c>
      <c r="D924" s="32">
        <f>MAX($B$2:B924)</f>
        <v>64200.640869140603</v>
      </c>
      <c r="E924" s="34">
        <f t="shared" si="56"/>
        <v>-4.4663598397176596E-4</v>
      </c>
      <c r="F924" s="35">
        <f t="shared" si="57"/>
        <v>142.76729926975571</v>
      </c>
      <c r="G924" s="36" t="str">
        <f t="shared" si="58"/>
        <v>2025-09</v>
      </c>
    </row>
    <row r="925" spans="1:7" x14ac:dyDescent="0.25">
      <c r="A925" s="37">
        <v>45909</v>
      </c>
      <c r="B925" s="38">
        <v>64320.318603515603</v>
      </c>
      <c r="C925" s="39">
        <f t="shared" si="59"/>
        <v>2.3117890685069309E-3</v>
      </c>
      <c r="D925" s="38">
        <f>MAX($B$2:B925)</f>
        <v>64320.318603515603</v>
      </c>
      <c r="E925" s="40">
        <f t="shared" si="56"/>
        <v>0</v>
      </c>
      <c r="F925" s="41">
        <f t="shared" si="57"/>
        <v>143.09734715154778</v>
      </c>
      <c r="G925" s="42" t="str">
        <f t="shared" si="58"/>
        <v>2025-09</v>
      </c>
    </row>
    <row r="926" spans="1:7" x14ac:dyDescent="0.25">
      <c r="A926" s="31">
        <v>45910</v>
      </c>
      <c r="B926" s="32">
        <v>64506.25</v>
      </c>
      <c r="C926" s="33">
        <f t="shared" si="59"/>
        <v>2.8907101289488146E-3</v>
      </c>
      <c r="D926" s="32">
        <f>MAX($B$2:B926)</f>
        <v>64506.25</v>
      </c>
      <c r="E926" s="34">
        <f t="shared" si="56"/>
        <v>0</v>
      </c>
      <c r="F926" s="35">
        <f t="shared" si="57"/>
        <v>143.51100010238446</v>
      </c>
      <c r="G926" s="36" t="str">
        <f t="shared" si="58"/>
        <v>2025-09</v>
      </c>
    </row>
    <row r="927" spans="1:7" x14ac:dyDescent="0.25">
      <c r="A927" s="37">
        <v>45911</v>
      </c>
      <c r="B927" s="38">
        <v>65042.315673828103</v>
      </c>
      <c r="C927" s="39">
        <f t="shared" si="59"/>
        <v>8.3102904575618197E-3</v>
      </c>
      <c r="D927" s="38">
        <f>MAX($B$2:B927)</f>
        <v>65042.315673828103</v>
      </c>
      <c r="E927" s="40">
        <f t="shared" si="56"/>
        <v>0</v>
      </c>
      <c r="F927" s="41">
        <f t="shared" si="57"/>
        <v>144.70361819709046</v>
      </c>
      <c r="G927" s="42" t="str">
        <f t="shared" si="58"/>
        <v>2025-09</v>
      </c>
    </row>
    <row r="928" spans="1:7" x14ac:dyDescent="0.25">
      <c r="A928" s="31">
        <v>45912</v>
      </c>
      <c r="B928" s="32">
        <v>65020.544433593801</v>
      </c>
      <c r="C928" s="33">
        <f t="shared" si="59"/>
        <v>-3.3472424849512183E-4</v>
      </c>
      <c r="D928" s="32">
        <f>MAX($B$2:B928)</f>
        <v>65042.315673828103</v>
      </c>
      <c r="E928" s="34">
        <f t="shared" si="56"/>
        <v>-3.3472424849512183E-4</v>
      </c>
      <c r="F928" s="35">
        <f t="shared" si="57"/>
        <v>144.65518238723493</v>
      </c>
      <c r="G928" s="36" t="str">
        <f t="shared" si="58"/>
        <v>2025-09</v>
      </c>
    </row>
    <row r="929" spans="1:7" x14ac:dyDescent="0.25">
      <c r="A929" s="37">
        <v>45915</v>
      </c>
      <c r="B929" s="38">
        <v>65366.717529296897</v>
      </c>
      <c r="C929" s="39">
        <f t="shared" si="59"/>
        <v>5.3240571686792304E-3</v>
      </c>
      <c r="D929" s="38">
        <f>MAX($B$2:B929)</f>
        <v>65366.717529296897</v>
      </c>
      <c r="E929" s="40">
        <f t="shared" si="56"/>
        <v>0</v>
      </c>
      <c r="F929" s="41">
        <f t="shared" si="57"/>
        <v>145.42533484801029</v>
      </c>
      <c r="G929" s="42" t="str">
        <f t="shared" si="58"/>
        <v>2025-09</v>
      </c>
    </row>
    <row r="930" spans="1:7" x14ac:dyDescent="0.25">
      <c r="A930" s="31">
        <v>45916</v>
      </c>
      <c r="B930" s="32">
        <v>65276.715087890603</v>
      </c>
      <c r="C930" s="33">
        <f t="shared" si="59"/>
        <v>-1.3768848246962229E-3</v>
      </c>
      <c r="D930" s="32">
        <f>MAX($B$2:B930)</f>
        <v>65366.717529296897</v>
      </c>
      <c r="E930" s="34">
        <f t="shared" si="56"/>
        <v>-1.3768848246962229E-3</v>
      </c>
      <c r="F930" s="35">
        <f t="shared" si="57"/>
        <v>145.22510091133171</v>
      </c>
      <c r="G930" s="36" t="str">
        <f t="shared" si="58"/>
        <v>2025-09</v>
      </c>
    </row>
    <row r="931" spans="1:7" x14ac:dyDescent="0.25">
      <c r="A931" s="37">
        <v>45917</v>
      </c>
      <c r="B931" s="38">
        <v>65195.611572265603</v>
      </c>
      <c r="C931" s="39">
        <f t="shared" si="59"/>
        <v>-1.242457061691904E-3</v>
      </c>
      <c r="D931" s="38">
        <f>MAX($B$2:B931)</f>
        <v>65366.717529296897</v>
      </c>
      <c r="E931" s="40">
        <f t="shared" si="56"/>
        <v>-2.6176311661145757E-3</v>
      </c>
      <c r="F931" s="41">
        <f t="shared" si="57"/>
        <v>145.04466495916949</v>
      </c>
      <c r="G931" s="42" t="str">
        <f t="shared" si="58"/>
        <v>2025-09</v>
      </c>
    </row>
    <row r="932" spans="1:7" x14ac:dyDescent="0.25">
      <c r="A932" s="31">
        <v>45918</v>
      </c>
      <c r="B932" s="32">
        <v>65500.238037109397</v>
      </c>
      <c r="C932" s="33">
        <f t="shared" si="59"/>
        <v>4.6724995363549571E-3</v>
      </c>
      <c r="D932" s="32">
        <f>MAX($B$2:B932)</f>
        <v>65500.238037109397</v>
      </c>
      <c r="E932" s="34">
        <f t="shared" si="56"/>
        <v>0</v>
      </c>
      <c r="F932" s="35">
        <f t="shared" si="57"/>
        <v>145.72238608894199</v>
      </c>
      <c r="G932" s="36" t="str">
        <f t="shared" si="58"/>
        <v>2025-09</v>
      </c>
    </row>
    <row r="933" spans="1:7" x14ac:dyDescent="0.25">
      <c r="A933" s="37">
        <v>45919</v>
      </c>
      <c r="B933" s="38">
        <v>65824.652099609404</v>
      </c>
      <c r="C933" s="39">
        <f t="shared" si="59"/>
        <v>4.9528684508934884E-3</v>
      </c>
      <c r="D933" s="38">
        <f>MAX($B$2:B933)</f>
        <v>65824.652099609404</v>
      </c>
      <c r="E933" s="40">
        <f t="shared" si="56"/>
        <v>0</v>
      </c>
      <c r="F933" s="41">
        <f t="shared" si="57"/>
        <v>146.44412989759081</v>
      </c>
      <c r="G933" s="42" t="str">
        <f t="shared" si="58"/>
        <v>2025-09</v>
      </c>
    </row>
    <row r="934" spans="1:7" x14ac:dyDescent="0.25">
      <c r="A934" s="31">
        <v>45922</v>
      </c>
      <c r="B934" s="32">
        <v>66136.071777343794</v>
      </c>
      <c r="C934" s="33">
        <f t="shared" si="59"/>
        <v>4.7310493531076414E-3</v>
      </c>
      <c r="D934" s="32">
        <f>MAX($B$2:B934)</f>
        <v>66136.071777343794</v>
      </c>
      <c r="E934" s="34">
        <f t="shared" si="56"/>
        <v>0</v>
      </c>
      <c r="F934" s="35">
        <f t="shared" si="57"/>
        <v>147.13696430360923</v>
      </c>
      <c r="G934" s="36" t="str">
        <f t="shared" si="58"/>
        <v>2025-09</v>
      </c>
    </row>
    <row r="935" spans="1:7" x14ac:dyDescent="0.25">
      <c r="A935" s="37">
        <v>45923</v>
      </c>
      <c r="B935" s="38">
        <v>65776.062011718794</v>
      </c>
      <c r="C935" s="39">
        <f t="shared" si="59"/>
        <v>-5.4434706499808527E-3</v>
      </c>
      <c r="D935" s="38">
        <f>MAX($B$2:B935)</f>
        <v>66136.071777343794</v>
      </c>
      <c r="E935" s="40">
        <f t="shared" si="56"/>
        <v>-5.4434706499808527E-3</v>
      </c>
      <c r="F935" s="41">
        <f t="shared" si="57"/>
        <v>146.33602855689526</v>
      </c>
      <c r="G935" s="42" t="str">
        <f t="shared" si="58"/>
        <v>2025-09</v>
      </c>
    </row>
    <row r="936" spans="1:7" x14ac:dyDescent="0.25">
      <c r="A936" s="31">
        <v>45924</v>
      </c>
      <c r="B936" s="32">
        <v>65566.784667968794</v>
      </c>
      <c r="C936" s="33">
        <f t="shared" si="59"/>
        <v>-3.1816642308674092E-3</v>
      </c>
      <c r="D936" s="32">
        <f>MAX($B$2:B936)</f>
        <v>66136.071777343794</v>
      </c>
      <c r="E936" s="34">
        <f t="shared" si="56"/>
        <v>-8.6078155849894644E-3</v>
      </c>
      <c r="F936" s="35">
        <f t="shared" si="57"/>
        <v>145.8704364491486</v>
      </c>
      <c r="G936" s="36" t="str">
        <f t="shared" si="58"/>
        <v>2025-09</v>
      </c>
    </row>
    <row r="937" spans="1:7" x14ac:dyDescent="0.25">
      <c r="A937" s="37">
        <v>45925</v>
      </c>
      <c r="B937" s="38">
        <v>65264.294433593801</v>
      </c>
      <c r="C937" s="39">
        <f t="shared" si="59"/>
        <v>-4.6134675645116419E-3</v>
      </c>
      <c r="D937" s="38">
        <f>MAX($B$2:B937)</f>
        <v>66136.071777343794</v>
      </c>
      <c r="E937" s="40">
        <f t="shared" si="56"/>
        <v>-1.3181571271498438E-2</v>
      </c>
      <c r="F937" s="41">
        <f t="shared" si="57"/>
        <v>145.19746792196929</v>
      </c>
      <c r="G937" s="42" t="str">
        <f t="shared" si="58"/>
        <v>2025-09</v>
      </c>
    </row>
    <row r="938" spans="1:7" x14ac:dyDescent="0.25">
      <c r="A938" s="31">
        <v>45926</v>
      </c>
      <c r="B938" s="32">
        <v>65638.201904296904</v>
      </c>
      <c r="C938" s="33">
        <f t="shared" si="59"/>
        <v>5.7291276025905891E-3</v>
      </c>
      <c r="D938" s="32">
        <f>MAX($B$2:B938)</f>
        <v>66136.071777343794</v>
      </c>
      <c r="E938" s="34">
        <f t="shared" si="56"/>
        <v>-7.5279625727249222E-3</v>
      </c>
      <c r="F938" s="35">
        <f t="shared" si="57"/>
        <v>146.0293227432673</v>
      </c>
      <c r="G938" s="36" t="str">
        <f t="shared" si="58"/>
        <v>2025-09</v>
      </c>
    </row>
    <row r="939" spans="1:7" x14ac:dyDescent="0.25">
      <c r="A939" s="37">
        <v>45929</v>
      </c>
      <c r="B939" s="38">
        <v>65822.668457031294</v>
      </c>
      <c r="C939" s="39">
        <f t="shared" si="59"/>
        <v>2.8103535347197006E-3</v>
      </c>
      <c r="D939" s="38">
        <f>MAX($B$2:B939)</f>
        <v>66136.071777343794</v>
      </c>
      <c r="E939" s="40">
        <f t="shared" si="56"/>
        <v>-4.7387652742305608E-3</v>
      </c>
      <c r="F939" s="41">
        <f t="shared" si="57"/>
        <v>146.43971676661155</v>
      </c>
      <c r="G939" s="42" t="str">
        <f t="shared" si="58"/>
        <v>2025-09</v>
      </c>
    </row>
    <row r="940" spans="1:7" x14ac:dyDescent="0.25">
      <c r="A940" s="31">
        <v>45930</v>
      </c>
      <c r="B940" s="32">
        <v>66070.611572265596</v>
      </c>
      <c r="C940" s="33">
        <f t="shared" si="59"/>
        <v>3.7668347553572179E-3</v>
      </c>
      <c r="D940" s="32">
        <f>MAX($B$2:B940)</f>
        <v>66136.071777343794</v>
      </c>
      <c r="E940" s="34">
        <f t="shared" si="56"/>
        <v>-9.89780664605866E-4</v>
      </c>
      <c r="F940" s="35">
        <f t="shared" si="57"/>
        <v>146.99133098129272</v>
      </c>
      <c r="G940" s="36" t="str">
        <f t="shared" si="58"/>
        <v>2025-09</v>
      </c>
    </row>
    <row r="941" spans="1:7" x14ac:dyDescent="0.25">
      <c r="A941" s="37">
        <v>45931</v>
      </c>
      <c r="B941" s="38">
        <v>66295.751953125</v>
      </c>
      <c r="C941" s="39">
        <f t="shared" si="59"/>
        <v>3.4075722246516005E-3</v>
      </c>
      <c r="D941" s="38">
        <f>MAX($B$2:B941)</f>
        <v>66295.751953125</v>
      </c>
      <c r="E941" s="40">
        <f t="shared" si="56"/>
        <v>0</v>
      </c>
      <c r="F941" s="41">
        <f t="shared" si="57"/>
        <v>147.49221455800915</v>
      </c>
      <c r="G941" s="42" t="str">
        <f t="shared" si="58"/>
        <v>2025-10</v>
      </c>
    </row>
    <row r="942" spans="1:7" x14ac:dyDescent="0.25">
      <c r="A942" s="31">
        <v>45932</v>
      </c>
      <c r="B942" s="32">
        <v>66372.106933593794</v>
      </c>
      <c r="C942" s="33">
        <f t="shared" si="59"/>
        <v>1.1517326256857974E-3</v>
      </c>
      <c r="D942" s="32">
        <f>MAX($B$2:B942)</f>
        <v>66372.106933593794</v>
      </c>
      <c r="E942" s="34">
        <f t="shared" si="56"/>
        <v>0</v>
      </c>
      <c r="F942" s="35">
        <f t="shared" si="57"/>
        <v>147.66208615355026</v>
      </c>
      <c r="G942" s="36" t="str">
        <f t="shared" si="58"/>
        <v>2025-10</v>
      </c>
    </row>
    <row r="943" spans="1:7" x14ac:dyDescent="0.25">
      <c r="A943" s="37">
        <v>45933</v>
      </c>
      <c r="B943" s="38">
        <v>66371.124267578096</v>
      </c>
      <c r="C943" s="39">
        <f t="shared" si="59"/>
        <v>-1.4805406383766595E-5</v>
      </c>
      <c r="D943" s="38">
        <f>MAX($B$2:B943)</f>
        <v>66372.106933593794</v>
      </c>
      <c r="E943" s="40">
        <f t="shared" si="56"/>
        <v>-1.4805406383766595E-5</v>
      </c>
      <c r="F943" s="41">
        <f t="shared" si="57"/>
        <v>147.65989995635729</v>
      </c>
      <c r="G943" s="42" t="str">
        <f t="shared" si="58"/>
        <v>2025-10</v>
      </c>
    </row>
    <row r="944" spans="1:7" x14ac:dyDescent="0.25">
      <c r="A944" s="31">
        <v>45936</v>
      </c>
      <c r="B944" s="32">
        <v>66609.149169921904</v>
      </c>
      <c r="C944" s="33">
        <f t="shared" si="59"/>
        <v>3.5862719664685461E-3</v>
      </c>
      <c r="D944" s="32">
        <f>MAX($B$2:B944)</f>
        <v>66609.149169921904</v>
      </c>
      <c r="E944" s="34">
        <f t="shared" si="56"/>
        <v>0</v>
      </c>
      <c r="F944" s="35">
        <f t="shared" si="57"/>
        <v>148.18944851614231</v>
      </c>
      <c r="G944" s="36" t="str">
        <f t="shared" si="58"/>
        <v>2025-10</v>
      </c>
    </row>
    <row r="945" spans="1:7" x14ac:dyDescent="0.25">
      <c r="A945" s="37">
        <v>45937</v>
      </c>
      <c r="B945" s="38">
        <v>66362.194824218794</v>
      </c>
      <c r="C945" s="39">
        <f t="shared" si="59"/>
        <v>-3.7075138893175597E-3</v>
      </c>
      <c r="D945" s="38">
        <f>MAX($B$2:B945)</f>
        <v>66609.149169921904</v>
      </c>
      <c r="E945" s="40">
        <f t="shared" si="56"/>
        <v>-3.7075138893175597E-3</v>
      </c>
      <c r="F945" s="41">
        <f t="shared" si="57"/>
        <v>147.64003407751841</v>
      </c>
      <c r="G945" s="42" t="str">
        <f t="shared" si="58"/>
        <v>2025-10</v>
      </c>
    </row>
    <row r="946" spans="1:7" x14ac:dyDescent="0.25">
      <c r="A946" s="31">
        <v>45938</v>
      </c>
      <c r="B946" s="32">
        <v>66757.916259765596</v>
      </c>
      <c r="C946" s="33">
        <f t="shared" si="59"/>
        <v>5.9630552695701944E-3</v>
      </c>
      <c r="D946" s="32">
        <f>MAX($B$2:B946)</f>
        <v>66757.916259765596</v>
      </c>
      <c r="E946" s="34">
        <f t="shared" si="56"/>
        <v>0</v>
      </c>
      <c r="F946" s="35">
        <f t="shared" si="57"/>
        <v>148.52041976072388</v>
      </c>
      <c r="G946" s="36" t="str">
        <f t="shared" si="58"/>
        <v>2025-10</v>
      </c>
    </row>
    <row r="947" spans="1:7" x14ac:dyDescent="0.25">
      <c r="A947" s="37">
        <v>45939</v>
      </c>
      <c r="B947" s="38">
        <v>66564.520263671904</v>
      </c>
      <c r="C947" s="39">
        <f t="shared" si="59"/>
        <v>-2.896974724932333E-3</v>
      </c>
      <c r="D947" s="38">
        <f>MAX($B$2:B947)</f>
        <v>66757.916259765596</v>
      </c>
      <c r="E947" s="40">
        <f t="shared" si="56"/>
        <v>-2.896974724932333E-3</v>
      </c>
      <c r="F947" s="41">
        <f t="shared" si="57"/>
        <v>148.09015985854072</v>
      </c>
      <c r="G947" s="42" t="str">
        <f t="shared" si="58"/>
        <v>2025-10</v>
      </c>
    </row>
    <row r="948" spans="1:7" x14ac:dyDescent="0.25">
      <c r="A948" s="31">
        <v>45940</v>
      </c>
      <c r="B948" s="32">
        <v>64765.423583984397</v>
      </c>
      <c r="C948" s="33">
        <f t="shared" si="59"/>
        <v>-2.7027862178845674E-2</v>
      </c>
      <c r="D948" s="32">
        <f>MAX($B$2:B948)</f>
        <v>66757.916259765596</v>
      </c>
      <c r="E948" s="34">
        <f t="shared" si="56"/>
        <v>-2.9846537870176992E-2</v>
      </c>
      <c r="F948" s="35">
        <f t="shared" si="57"/>
        <v>144.08759942784084</v>
      </c>
      <c r="G948" s="36" t="str">
        <f t="shared" si="58"/>
        <v>2025-10</v>
      </c>
    </row>
    <row r="949" spans="1:7" x14ac:dyDescent="0.25">
      <c r="A949" s="37">
        <v>45943</v>
      </c>
      <c r="B949" s="38">
        <v>65759.191894531294</v>
      </c>
      <c r="C949" s="39">
        <f t="shared" si="59"/>
        <v>1.5344118135168783E-2</v>
      </c>
      <c r="D949" s="38">
        <f>MAX($B$2:B949)</f>
        <v>66757.916259765596</v>
      </c>
      <c r="E949" s="40">
        <f t="shared" si="56"/>
        <v>-1.4960388538014069E-2</v>
      </c>
      <c r="F949" s="41">
        <f t="shared" si="57"/>
        <v>146.2984965752745</v>
      </c>
      <c r="G949" s="42" t="str">
        <f t="shared" si="58"/>
        <v>2025-10</v>
      </c>
    </row>
    <row r="950" spans="1:7" x14ac:dyDescent="0.25">
      <c r="A950" s="31">
        <v>45944</v>
      </c>
      <c r="B950" s="32">
        <v>65678.857421875</v>
      </c>
      <c r="C950" s="33">
        <f t="shared" si="59"/>
        <v>-1.2216462876419865E-3</v>
      </c>
      <c r="D950" s="32">
        <f>MAX($B$2:B950)</f>
        <v>66757.916259765596</v>
      </c>
      <c r="E950" s="34">
        <f t="shared" si="56"/>
        <v>-1.6163758522536931E-2</v>
      </c>
      <c r="F950" s="35">
        <f t="shared" si="57"/>
        <v>146.11977156004571</v>
      </c>
      <c r="G950" s="36" t="str">
        <f t="shared" si="58"/>
        <v>2025-10</v>
      </c>
    </row>
    <row r="951" spans="1:7" x14ac:dyDescent="0.25">
      <c r="A951" s="37">
        <v>45945</v>
      </c>
      <c r="B951" s="38">
        <v>65970.446777343794</v>
      </c>
      <c r="C951" s="39">
        <f t="shared" si="59"/>
        <v>4.4396228392924453E-3</v>
      </c>
      <c r="D951" s="38">
        <f>MAX($B$2:B951)</f>
        <v>66757.916259765596</v>
      </c>
      <c r="E951" s="40">
        <f t="shared" si="56"/>
        <v>-1.1795896674749895E-2</v>
      </c>
      <c r="F951" s="41">
        <f t="shared" si="57"/>
        <v>146.76848823513589</v>
      </c>
      <c r="G951" s="42" t="str">
        <f t="shared" si="58"/>
        <v>2025-10</v>
      </c>
    </row>
    <row r="952" spans="1:7" x14ac:dyDescent="0.25">
      <c r="A952" s="31">
        <v>45946</v>
      </c>
      <c r="B952" s="32">
        <v>65521.1669921875</v>
      </c>
      <c r="C952" s="33">
        <f t="shared" si="59"/>
        <v>-6.8103189701390621E-3</v>
      </c>
      <c r="D952" s="32">
        <f>MAX($B$2:B952)</f>
        <v>66757.916259765596</v>
      </c>
      <c r="E952" s="34">
        <f t="shared" si="56"/>
        <v>-1.8525881825995127E-2</v>
      </c>
      <c r="F952" s="35">
        <f t="shared" si="57"/>
        <v>145.76894801548951</v>
      </c>
      <c r="G952" s="36" t="str">
        <f t="shared" si="58"/>
        <v>2025-10</v>
      </c>
    </row>
    <row r="953" spans="1:7" x14ac:dyDescent="0.25">
      <c r="A953" s="37">
        <v>45947</v>
      </c>
      <c r="B953" s="38">
        <v>65893.084716796904</v>
      </c>
      <c r="C953" s="39">
        <f t="shared" si="59"/>
        <v>5.6762988463521236E-3</v>
      </c>
      <c r="D953" s="38">
        <f>MAX($B$2:B953)</f>
        <v>66757.916259765596</v>
      </c>
      <c r="E953" s="40">
        <f t="shared" si="56"/>
        <v>-1.2954741421279503E-2</v>
      </c>
      <c r="F953" s="41">
        <f t="shared" si="57"/>
        <v>146.5963761269438</v>
      </c>
      <c r="G953" s="42" t="str">
        <f t="shared" si="58"/>
        <v>2025-10</v>
      </c>
    </row>
    <row r="954" spans="1:7" x14ac:dyDescent="0.25">
      <c r="A954" s="31">
        <v>45950</v>
      </c>
      <c r="B954" s="32">
        <v>66578.405761718794</v>
      </c>
      <c r="C954" s="33">
        <f t="shared" si="59"/>
        <v>1.0400500262923495E-2</v>
      </c>
      <c r="D954" s="32">
        <f>MAX($B$2:B954)</f>
        <v>66757.916259765596</v>
      </c>
      <c r="E954" s="34">
        <f t="shared" si="56"/>
        <v>-2.6889769499141014E-3</v>
      </c>
      <c r="F954" s="35">
        <f t="shared" si="57"/>
        <v>148.12105177539573</v>
      </c>
      <c r="G954" s="36" t="str">
        <f t="shared" si="58"/>
        <v>2025-10</v>
      </c>
    </row>
    <row r="955" spans="1:7" x14ac:dyDescent="0.25">
      <c r="A955" s="37">
        <v>45951</v>
      </c>
      <c r="B955" s="38">
        <v>66577.404785156294</v>
      </c>
      <c r="C955" s="39">
        <f t="shared" si="59"/>
        <v>-1.5034552886095121E-5</v>
      </c>
      <c r="D955" s="38">
        <f>MAX($B$2:B955)</f>
        <v>66757.916259765596</v>
      </c>
      <c r="E955" s="40">
        <f t="shared" si="56"/>
        <v>-2.7039710752340129E-3</v>
      </c>
      <c r="F955" s="41">
        <f t="shared" si="57"/>
        <v>148.11882484160924</v>
      </c>
      <c r="G955" s="42" t="str">
        <f t="shared" si="58"/>
        <v>2025-10</v>
      </c>
    </row>
    <row r="956" spans="1:7" x14ac:dyDescent="0.25">
      <c r="A956" s="31">
        <v>45952</v>
      </c>
      <c r="B956" s="32">
        <v>66231.280517578096</v>
      </c>
      <c r="C956" s="33">
        <f t="shared" si="59"/>
        <v>-5.198824867012064E-3</v>
      </c>
      <c r="D956" s="32">
        <f>MAX($B$2:B956)</f>
        <v>66757.916259765596</v>
      </c>
      <c r="E956" s="34">
        <f t="shared" si="56"/>
        <v>-7.8887384701804564E-3</v>
      </c>
      <c r="F956" s="35">
        <f t="shared" si="57"/>
        <v>147.34878101175011</v>
      </c>
      <c r="G956" s="36" t="str">
        <f t="shared" si="58"/>
        <v>2025-10</v>
      </c>
    </row>
    <row r="957" spans="1:7" x14ac:dyDescent="0.25">
      <c r="A957" s="37">
        <v>45953</v>
      </c>
      <c r="B957" s="38">
        <v>66624.029541015596</v>
      </c>
      <c r="C957" s="39">
        <f t="shared" si="59"/>
        <v>5.9299627059643534E-3</v>
      </c>
      <c r="D957" s="38">
        <f>MAX($B$2:B957)</f>
        <v>66757.916259765596</v>
      </c>
      <c r="E957" s="40">
        <f t="shared" si="56"/>
        <v>-2.0055556891414028E-3</v>
      </c>
      <c r="F957" s="41">
        <f t="shared" si="57"/>
        <v>148.22255378791908</v>
      </c>
      <c r="G957" s="42" t="str">
        <f t="shared" si="58"/>
        <v>2025-10</v>
      </c>
    </row>
    <row r="958" spans="1:7" x14ac:dyDescent="0.25">
      <c r="A958" s="31">
        <v>45954</v>
      </c>
      <c r="B958" s="32">
        <v>67168.518066406294</v>
      </c>
      <c r="C958" s="33">
        <f t="shared" si="59"/>
        <v>8.1725546944815264E-3</v>
      </c>
      <c r="D958" s="32">
        <f>MAX($B$2:B958)</f>
        <v>67168.518066406294</v>
      </c>
      <c r="E958" s="34">
        <f t="shared" si="56"/>
        <v>0</v>
      </c>
      <c r="F958" s="35">
        <f t="shared" si="57"/>
        <v>149.43391071570659</v>
      </c>
      <c r="G958" s="36" t="str">
        <f t="shared" si="58"/>
        <v>2025-10</v>
      </c>
    </row>
    <row r="959" spans="1:7" x14ac:dyDescent="0.25">
      <c r="A959" s="37">
        <v>45957</v>
      </c>
      <c r="B959" s="38">
        <v>67960.949707031294</v>
      </c>
      <c r="C959" s="39">
        <f t="shared" si="59"/>
        <v>1.1797664492784632E-2</v>
      </c>
      <c r="D959" s="38">
        <f>MAX($B$2:B959)</f>
        <v>67960.949707031294</v>
      </c>
      <c r="E959" s="40">
        <f t="shared" si="56"/>
        <v>0</v>
      </c>
      <c r="F959" s="41">
        <f t="shared" si="57"/>
        <v>151.1968818581752</v>
      </c>
      <c r="G959" s="42" t="str">
        <f t="shared" si="58"/>
        <v>2025-10</v>
      </c>
    </row>
    <row r="960" spans="1:7" x14ac:dyDescent="0.25">
      <c r="A960" s="31">
        <v>45958</v>
      </c>
      <c r="B960" s="32">
        <v>68141.455078125</v>
      </c>
      <c r="C960" s="33">
        <f t="shared" si="59"/>
        <v>2.656016019079166E-3</v>
      </c>
      <c r="D960" s="32">
        <f>MAX($B$2:B960)</f>
        <v>68141.455078125</v>
      </c>
      <c r="E960" s="34">
        <f t="shared" si="56"/>
        <v>0</v>
      </c>
      <c r="F960" s="35">
        <f t="shared" si="57"/>
        <v>151.59846319842535</v>
      </c>
      <c r="G960" s="36" t="str">
        <f t="shared" si="58"/>
        <v>2025-10</v>
      </c>
    </row>
    <row r="961" spans="1:7" x14ac:dyDescent="0.25">
      <c r="A961" s="37">
        <v>45959</v>
      </c>
      <c r="B961" s="38">
        <v>68174.182128906294</v>
      </c>
      <c r="C961" s="39">
        <f t="shared" si="59"/>
        <v>4.8028106743203125E-4</v>
      </c>
      <c r="D961" s="38">
        <f>MAX($B$2:B961)</f>
        <v>68174.182128906294</v>
      </c>
      <c r="E961" s="40">
        <f t="shared" si="56"/>
        <v>0</v>
      </c>
      <c r="F961" s="41">
        <f t="shared" si="57"/>
        <v>151.67127307015133</v>
      </c>
      <c r="G961" s="42" t="str">
        <f t="shared" si="58"/>
        <v>2025-10</v>
      </c>
    </row>
    <row r="962" spans="1:7" x14ac:dyDescent="0.25">
      <c r="A962" s="31">
        <v>45960</v>
      </c>
      <c r="B962" s="32">
        <v>67424.395751953096</v>
      </c>
      <c r="C962" s="33">
        <f t="shared" si="59"/>
        <v>-1.0998098598901773E-2</v>
      </c>
      <c r="D962" s="32">
        <f>MAX($B$2:B962)</f>
        <v>68174.182128906294</v>
      </c>
      <c r="E962" s="34">
        <f t="shared" ref="E962:E1025" si="60">B962/D962-1</f>
        <v>-1.0998098598901773E-2</v>
      </c>
      <c r="F962" s="35">
        <f t="shared" ref="F962:F1025" si="61">B962/$B$2*100</f>
        <v>150.00317745430485</v>
      </c>
      <c r="G962" s="36" t="str">
        <f t="shared" ref="G962:G1025" si="62">TEXT(A962,"YYYY-MM")</f>
        <v>2025-10</v>
      </c>
    </row>
    <row r="963" spans="1:7" x14ac:dyDescent="0.25">
      <c r="A963" s="37">
        <v>45961</v>
      </c>
      <c r="B963" s="38">
        <v>67645.562744140596</v>
      </c>
      <c r="C963" s="39">
        <f t="shared" ref="C963:C1026" si="63">B963/B962-1</f>
        <v>3.2802220875831622E-3</v>
      </c>
      <c r="D963" s="38">
        <f>MAX($B$2:B963)</f>
        <v>68174.182128906294</v>
      </c>
      <c r="E963" s="40">
        <f t="shared" si="60"/>
        <v>-7.7539527172642009E-3</v>
      </c>
      <c r="F963" s="41">
        <f t="shared" si="61"/>
        <v>150.49522119019812</v>
      </c>
      <c r="G963" s="42" t="str">
        <f t="shared" si="62"/>
        <v>2025-10</v>
      </c>
    </row>
    <row r="964" spans="1:7" x14ac:dyDescent="0.25">
      <c r="A964" s="31">
        <v>45964</v>
      </c>
      <c r="B964" s="32">
        <v>67772.515869140596</v>
      </c>
      <c r="C964" s="33">
        <f t="shared" si="63"/>
        <v>1.8767398754619968E-3</v>
      </c>
      <c r="D964" s="32">
        <f>MAX($B$2:B964)</f>
        <v>68174.182128906294</v>
      </c>
      <c r="E964" s="34">
        <f t="shared" si="60"/>
        <v>-5.8917649940590788E-3</v>
      </c>
      <c r="F964" s="35">
        <f t="shared" si="61"/>
        <v>150.77766157287223</v>
      </c>
      <c r="G964" s="36" t="str">
        <f t="shared" si="62"/>
        <v>2025-11</v>
      </c>
    </row>
    <row r="965" spans="1:7" x14ac:dyDescent="0.25">
      <c r="A965" s="37">
        <v>45965</v>
      </c>
      <c r="B965" s="38">
        <v>66969.171142578096</v>
      </c>
      <c r="C965" s="39">
        <f t="shared" si="63"/>
        <v>-1.185354736001909E-2</v>
      </c>
      <c r="D965" s="38">
        <f>MAX($B$2:B965)</f>
        <v>68174.182128906294</v>
      </c>
      <c r="E965" s="40">
        <f t="shared" si="60"/>
        <v>-1.7675474038686967E-2</v>
      </c>
      <c r="F965" s="41">
        <f t="shared" si="61"/>
        <v>148.99041142058527</v>
      </c>
      <c r="G965" s="42" t="str">
        <f t="shared" si="62"/>
        <v>2025-11</v>
      </c>
    </row>
    <row r="966" spans="1:7" x14ac:dyDescent="0.25">
      <c r="A966" s="31">
        <v>45966</v>
      </c>
      <c r="B966" s="32">
        <v>67201.2451171875</v>
      </c>
      <c r="C966" s="33">
        <f t="shared" si="63"/>
        <v>3.4653852011294894E-3</v>
      </c>
      <c r="D966" s="32">
        <f>MAX($B$2:B966)</f>
        <v>68174.182128906294</v>
      </c>
      <c r="E966" s="34">
        <f t="shared" si="60"/>
        <v>-1.427134116371398E-2</v>
      </c>
      <c r="F966" s="35">
        <f t="shared" si="61"/>
        <v>149.50672058743237</v>
      </c>
      <c r="G966" s="36" t="str">
        <f t="shared" si="62"/>
        <v>2025-11</v>
      </c>
    </row>
    <row r="967" spans="1:7" x14ac:dyDescent="0.25">
      <c r="A967" s="37">
        <v>45967</v>
      </c>
      <c r="B967" s="38">
        <v>66480.218505859404</v>
      </c>
      <c r="C967" s="39">
        <f t="shared" si="63"/>
        <v>-1.0729363869237063E-2</v>
      </c>
      <c r="D967" s="38">
        <f>MAX($B$2:B967)</f>
        <v>68174.182128906294</v>
      </c>
      <c r="E967" s="40">
        <f t="shared" si="60"/>
        <v>-2.4847582620703523E-2</v>
      </c>
      <c r="F967" s="41">
        <f t="shared" si="61"/>
        <v>147.90260858135343</v>
      </c>
      <c r="G967" s="42" t="str">
        <f t="shared" si="62"/>
        <v>2025-11</v>
      </c>
    </row>
    <row r="968" spans="1:7" x14ac:dyDescent="0.25">
      <c r="A968" s="31">
        <v>45968</v>
      </c>
      <c r="B968" s="32">
        <v>66545.672607421904</v>
      </c>
      <c r="C968" s="33">
        <f t="shared" si="63"/>
        <v>9.8456507865907206E-4</v>
      </c>
      <c r="D968" s="32">
        <f>MAX($B$2:B968)</f>
        <v>68174.182128906294</v>
      </c>
      <c r="E968" s="34">
        <f t="shared" si="60"/>
        <v>-2.3887481604181859E-2</v>
      </c>
      <c r="F968" s="35">
        <f t="shared" si="61"/>
        <v>148.04822832480525</v>
      </c>
      <c r="G968" s="36" t="str">
        <f t="shared" si="62"/>
        <v>2025-11</v>
      </c>
    </row>
    <row r="969" spans="1:7" x14ac:dyDescent="0.25">
      <c r="A969" s="37">
        <v>45971</v>
      </c>
      <c r="B969" s="38">
        <v>67584.075927734404</v>
      </c>
      <c r="C969" s="39">
        <f t="shared" si="63"/>
        <v>1.5604370346339991E-2</v>
      </c>
      <c r="D969" s="38">
        <f>MAX($B$2:B969)</f>
        <v>68174.182128906294</v>
      </c>
      <c r="E969" s="40">
        <f t="shared" si="60"/>
        <v>-8.655860367434931E-3</v>
      </c>
      <c r="F969" s="41">
        <f t="shared" si="61"/>
        <v>150.35842770870499</v>
      </c>
      <c r="G969" s="42" t="str">
        <f t="shared" si="62"/>
        <v>2025-11</v>
      </c>
    </row>
    <row r="970" spans="1:7" x14ac:dyDescent="0.25">
      <c r="A970" s="31">
        <v>45972</v>
      </c>
      <c r="B970" s="32">
        <v>67738.787841796904</v>
      </c>
      <c r="C970" s="33">
        <f t="shared" si="63"/>
        <v>2.289177027853917E-3</v>
      </c>
      <c r="D970" s="32">
        <f>MAX($B$2:B970)</f>
        <v>68174.182128906294</v>
      </c>
      <c r="E970" s="34">
        <f t="shared" si="60"/>
        <v>-6.3864981362905526E-3</v>
      </c>
      <c r="F970" s="35">
        <f t="shared" si="61"/>
        <v>150.70262476735999</v>
      </c>
      <c r="G970" s="36" t="str">
        <f t="shared" si="62"/>
        <v>2025-11</v>
      </c>
    </row>
    <row r="971" spans="1:7" x14ac:dyDescent="0.25">
      <c r="A971" s="37">
        <v>45973</v>
      </c>
      <c r="B971" s="38">
        <v>67776.477050781294</v>
      </c>
      <c r="C971" s="39">
        <f t="shared" si="63"/>
        <v>5.5639036636456751E-4</v>
      </c>
      <c r="D971" s="38">
        <f>MAX($B$2:B971)</f>
        <v>68174.182128906294</v>
      </c>
      <c r="E971" s="40">
        <f t="shared" si="60"/>
        <v>-5.8336611559637319E-3</v>
      </c>
      <c r="F971" s="41">
        <f t="shared" si="61"/>
        <v>150.7864742559664</v>
      </c>
      <c r="G971" s="42" t="str">
        <f t="shared" si="62"/>
        <v>2025-11</v>
      </c>
    </row>
    <row r="972" spans="1:7" x14ac:dyDescent="0.25">
      <c r="A972" s="31">
        <v>45974</v>
      </c>
      <c r="B972" s="32">
        <v>66651.794433593794</v>
      </c>
      <c r="C972" s="33">
        <f t="shared" si="63"/>
        <v>-1.6593996414786094E-2</v>
      </c>
      <c r="D972" s="32">
        <f>MAX($B$2:B972)</f>
        <v>68174.182128906294</v>
      </c>
      <c r="E972" s="34">
        <f t="shared" si="60"/>
        <v>-2.2330853818442797E-2</v>
      </c>
      <c r="F972" s="35">
        <f t="shared" si="61"/>
        <v>148.28432404276467</v>
      </c>
      <c r="G972" s="36" t="str">
        <f t="shared" si="62"/>
        <v>2025-11</v>
      </c>
    </row>
    <row r="973" spans="1:7" x14ac:dyDescent="0.25">
      <c r="A973" s="37">
        <v>45975</v>
      </c>
      <c r="B973" s="38">
        <v>66640.8935546875</v>
      </c>
      <c r="C973" s="39">
        <f t="shared" si="63"/>
        <v>-1.6354966882625721E-4</v>
      </c>
      <c r="D973" s="38">
        <f>MAX($B$2:B973)</f>
        <v>68174.182128906294</v>
      </c>
      <c r="E973" s="40">
        <f t="shared" si="60"/>
        <v>-2.2490751283522514E-2</v>
      </c>
      <c r="F973" s="41">
        <f t="shared" si="61"/>
        <v>148.26007219067534</v>
      </c>
      <c r="G973" s="42" t="str">
        <f t="shared" si="62"/>
        <v>2025-11</v>
      </c>
    </row>
    <row r="974" spans="1:7" x14ac:dyDescent="0.25">
      <c r="A974" s="31">
        <v>45978</v>
      </c>
      <c r="B974" s="32">
        <v>66020.031738281294</v>
      </c>
      <c r="C974" s="33">
        <f t="shared" si="63"/>
        <v>-9.3165289852650268E-3</v>
      </c>
      <c r="D974" s="32">
        <f>MAX($B$2:B974)</f>
        <v>68174.182128906294</v>
      </c>
      <c r="E974" s="34">
        <f t="shared" si="60"/>
        <v>-3.1597744532554151E-2</v>
      </c>
      <c r="F974" s="35">
        <f t="shared" si="61"/>
        <v>146.87880293075341</v>
      </c>
      <c r="G974" s="36" t="str">
        <f t="shared" si="62"/>
        <v>2025-11</v>
      </c>
    </row>
    <row r="975" spans="1:7" x14ac:dyDescent="0.25">
      <c r="A975" s="37">
        <v>45979</v>
      </c>
      <c r="B975" s="38">
        <v>65465.631103515603</v>
      </c>
      <c r="C975" s="39">
        <f t="shared" si="63"/>
        <v>-8.3974608943458984E-3</v>
      </c>
      <c r="D975" s="38">
        <f>MAX($B$2:B975)</f>
        <v>68174.182128906294</v>
      </c>
      <c r="E975" s="40">
        <f t="shared" si="60"/>
        <v>-3.9729864602838338E-2</v>
      </c>
      <c r="F975" s="41">
        <f t="shared" si="61"/>
        <v>145.6453939269341</v>
      </c>
      <c r="G975" s="42" t="str">
        <f t="shared" si="62"/>
        <v>2025-11</v>
      </c>
    </row>
    <row r="976" spans="1:7" x14ac:dyDescent="0.25">
      <c r="A976" s="31">
        <v>45980</v>
      </c>
      <c r="B976" s="32">
        <v>65718.536376953096</v>
      </c>
      <c r="C976" s="33">
        <f t="shared" si="63"/>
        <v>3.8631762831033978E-3</v>
      </c>
      <c r="D976" s="32">
        <f>MAX($B$2:B976)</f>
        <v>68174.182128906294</v>
      </c>
      <c r="E976" s="34">
        <f t="shared" si="60"/>
        <v>-3.6020171790399624E-2</v>
      </c>
      <c r="F976" s="35">
        <f t="shared" si="61"/>
        <v>146.20804775849587</v>
      </c>
      <c r="G976" s="36" t="str">
        <f t="shared" si="62"/>
        <v>2025-11</v>
      </c>
    </row>
    <row r="977" spans="1:7" x14ac:dyDescent="0.25">
      <c r="A977" s="37">
        <v>45981</v>
      </c>
      <c r="B977" s="38">
        <v>64716.833496093801</v>
      </c>
      <c r="C977" s="39">
        <f t="shared" si="63"/>
        <v>-1.5242318774624786E-2</v>
      </c>
      <c r="D977" s="38">
        <f>MAX($B$2:B977)</f>
        <v>68174.182128906294</v>
      </c>
      <c r="E977" s="40">
        <f t="shared" si="60"/>
        <v>-5.0713459624278423E-2</v>
      </c>
      <c r="F977" s="41">
        <f t="shared" si="61"/>
        <v>143.97949808714529</v>
      </c>
      <c r="G977" s="42" t="str">
        <f t="shared" si="62"/>
        <v>2025-11</v>
      </c>
    </row>
    <row r="978" spans="1:7" x14ac:dyDescent="0.25">
      <c r="A978" s="31">
        <v>45982</v>
      </c>
      <c r="B978" s="32">
        <v>65361.492919921897</v>
      </c>
      <c r="C978" s="33">
        <f t="shared" si="63"/>
        <v>9.9612324800626428E-3</v>
      </c>
      <c r="D978" s="32">
        <f>MAX($B$2:B978)</f>
        <v>68174.182128906294</v>
      </c>
      <c r="E978" s="34">
        <f t="shared" si="60"/>
        <v>-4.1257395705401434E-2</v>
      </c>
      <c r="F978" s="35">
        <f t="shared" si="61"/>
        <v>145.41371133995409</v>
      </c>
      <c r="G978" s="36" t="str">
        <f t="shared" si="62"/>
        <v>2025-11</v>
      </c>
    </row>
    <row r="979" spans="1:7" x14ac:dyDescent="0.25">
      <c r="A979" s="37">
        <v>45985</v>
      </c>
      <c r="B979" s="38">
        <v>66323.5107421875</v>
      </c>
      <c r="C979" s="39">
        <f t="shared" si="63"/>
        <v>1.4718418739979366E-2</v>
      </c>
      <c r="D979" s="38">
        <f>MAX($B$2:B979)</f>
        <v>68174.182128906294</v>
      </c>
      <c r="E979" s="40">
        <f t="shared" si="60"/>
        <v>-2.7146220591535264E-2</v>
      </c>
      <c r="F979" s="41">
        <f t="shared" si="61"/>
        <v>147.55397123399001</v>
      </c>
      <c r="G979" s="42" t="str">
        <f t="shared" si="62"/>
        <v>2025-11</v>
      </c>
    </row>
    <row r="980" spans="1:7" x14ac:dyDescent="0.25">
      <c r="A980" s="31">
        <v>45986</v>
      </c>
      <c r="B980" s="32">
        <v>66947.344970703096</v>
      </c>
      <c r="C980" s="33">
        <f t="shared" si="63"/>
        <v>9.4059289313039862E-3</v>
      </c>
      <c r="D980" s="32">
        <f>MAX($B$2:B980)</f>
        <v>68174.182128906294</v>
      </c>
      <c r="E980" s="34">
        <f t="shared" si="60"/>
        <v>-1.7995627081868748E-2</v>
      </c>
      <c r="F980" s="35">
        <f t="shared" si="61"/>
        <v>148.94185340094862</v>
      </c>
      <c r="G980" s="36" t="str">
        <f t="shared" si="62"/>
        <v>2025-11</v>
      </c>
    </row>
    <row r="981" spans="1:7" x14ac:dyDescent="0.25">
      <c r="A981" s="37">
        <v>45987</v>
      </c>
      <c r="B981" s="38">
        <v>67409.521484375</v>
      </c>
      <c r="C981" s="39">
        <f t="shared" si="63"/>
        <v>6.9035824180057048E-3</v>
      </c>
      <c r="D981" s="38">
        <f>MAX($B$2:B981)</f>
        <v>68174.182128906294</v>
      </c>
      <c r="E981" s="40">
        <f t="shared" si="60"/>
        <v>-1.1216278958586456E-2</v>
      </c>
      <c r="F981" s="41">
        <f t="shared" si="61"/>
        <v>149.97008576139257</v>
      </c>
      <c r="G981" s="42" t="str">
        <f t="shared" si="62"/>
        <v>2025-11</v>
      </c>
    </row>
    <row r="982" spans="1:7" x14ac:dyDescent="0.25">
      <c r="A982" s="31">
        <v>45989</v>
      </c>
      <c r="B982" s="32">
        <v>67777.471923828096</v>
      </c>
      <c r="C982" s="33">
        <f t="shared" si="63"/>
        <v>5.4584342293304555E-3</v>
      </c>
      <c r="D982" s="32">
        <f>MAX($B$2:B982)</f>
        <v>68174.182128906294</v>
      </c>
      <c r="E982" s="34">
        <f t="shared" si="60"/>
        <v>-5.819068050249343E-3</v>
      </c>
      <c r="F982" s="35">
        <f t="shared" si="61"/>
        <v>150.78868761088816</v>
      </c>
      <c r="G982" s="36" t="str">
        <f t="shared" si="62"/>
        <v>2025-11</v>
      </c>
    </row>
    <row r="983" spans="1:7" x14ac:dyDescent="0.25">
      <c r="A983" s="37">
        <v>45992</v>
      </c>
      <c r="B983" s="38">
        <v>67468.035888671904</v>
      </c>
      <c r="C983" s="39">
        <f t="shared" si="63"/>
        <v>-4.565470301163721E-3</v>
      </c>
      <c r="D983" s="38">
        <f>MAX($B$2:B983)</f>
        <v>68174.182128906294</v>
      </c>
      <c r="E983" s="40">
        <f t="shared" si="60"/>
        <v>-1.0357971569049162E-2</v>
      </c>
      <c r="F983" s="41">
        <f t="shared" si="61"/>
        <v>150.1002663358492</v>
      </c>
      <c r="G983" s="42" t="str">
        <f t="shared" si="62"/>
        <v>2025-12</v>
      </c>
    </row>
    <row r="984" spans="1:7" x14ac:dyDescent="0.25">
      <c r="A984" s="31">
        <v>45993</v>
      </c>
      <c r="B984" s="32">
        <v>67593.005371093794</v>
      </c>
      <c r="C984" s="33">
        <f t="shared" si="63"/>
        <v>1.8522768712001536E-3</v>
      </c>
      <c r="D984" s="32">
        <f>MAX($B$2:B984)</f>
        <v>68174.182128906294</v>
      </c>
      <c r="E984" s="34">
        <f t="shared" si="60"/>
        <v>-8.5248805290188967E-3</v>
      </c>
      <c r="F984" s="35">
        <f t="shared" si="61"/>
        <v>150.37829358754408</v>
      </c>
      <c r="G984" s="36" t="str">
        <f t="shared" si="62"/>
        <v>2025-12</v>
      </c>
    </row>
    <row r="985" spans="1:7" x14ac:dyDescent="0.25">
      <c r="A985" s="37">
        <v>45994</v>
      </c>
      <c r="B985" s="38">
        <v>67827.062988281294</v>
      </c>
      <c r="C985" s="39">
        <f t="shared" si="63"/>
        <v>3.4627490803595951E-3</v>
      </c>
      <c r="D985" s="38">
        <f>MAX($B$2:B985)</f>
        <v>68174.182128906294</v>
      </c>
      <c r="E985" s="40">
        <f t="shared" si="60"/>
        <v>-5.0916509708712754E-3</v>
      </c>
      <c r="F985" s="41">
        <f t="shared" si="61"/>
        <v>150.8990158853704</v>
      </c>
      <c r="G985" s="42" t="str">
        <f t="shared" si="62"/>
        <v>2025-12</v>
      </c>
    </row>
    <row r="986" spans="1:7" x14ac:dyDescent="0.25">
      <c r="A986" s="31">
        <v>45995</v>
      </c>
      <c r="B986" s="32">
        <v>67876.647949218794</v>
      </c>
      <c r="C986" s="33">
        <f t="shared" si="63"/>
        <v>7.3104980155291877E-4</v>
      </c>
      <c r="D986" s="32">
        <f>MAX($B$2:B986)</f>
        <v>68174.182128906294</v>
      </c>
      <c r="E986" s="34">
        <f t="shared" si="60"/>
        <v>-4.3643234197501268E-3</v>
      </c>
      <c r="F986" s="35">
        <f t="shared" si="61"/>
        <v>151.00933058098792</v>
      </c>
      <c r="G986" s="36" t="str">
        <f t="shared" si="62"/>
        <v>2025-12</v>
      </c>
    </row>
    <row r="987" spans="1:7" x14ac:dyDescent="0.25">
      <c r="A987" s="37">
        <v>45996</v>
      </c>
      <c r="B987" s="38">
        <v>68005.578613281294</v>
      </c>
      <c r="C987" s="39">
        <f t="shared" si="63"/>
        <v>1.8994848443159018E-3</v>
      </c>
      <c r="D987" s="38">
        <f>MAX($B$2:B987)</f>
        <v>68174.182128906294</v>
      </c>
      <c r="E987" s="40">
        <f t="shared" si="60"/>
        <v>-2.4731285416258464E-3</v>
      </c>
      <c r="F987" s="41">
        <f t="shared" si="61"/>
        <v>151.29617051577679</v>
      </c>
      <c r="G987" s="42" t="str">
        <f t="shared" si="62"/>
        <v>2025-12</v>
      </c>
    </row>
    <row r="988" spans="1:7" x14ac:dyDescent="0.25">
      <c r="A988" s="31">
        <v>45999</v>
      </c>
      <c r="B988" s="32">
        <v>67801.275634765596</v>
      </c>
      <c r="C988" s="33">
        <f t="shared" si="63"/>
        <v>-3.0042091058070097E-3</v>
      </c>
      <c r="D988" s="32">
        <f>MAX($B$2:B988)</f>
        <v>68174.182128906294</v>
      </c>
      <c r="E988" s="34">
        <f t="shared" si="60"/>
        <v>-5.4699078521484035E-3</v>
      </c>
      <c r="F988" s="35">
        <f t="shared" si="61"/>
        <v>150.84164518263955</v>
      </c>
      <c r="G988" s="36" t="str">
        <f t="shared" si="62"/>
        <v>2025-12</v>
      </c>
    </row>
    <row r="989" spans="1:7" x14ac:dyDescent="0.25">
      <c r="A989" s="37">
        <v>46000</v>
      </c>
      <c r="B989" s="38">
        <v>67742.7490234375</v>
      </c>
      <c r="C989" s="39">
        <f t="shared" si="63"/>
        <v>-8.6320811489404292E-4</v>
      </c>
      <c r="D989" s="38">
        <f>MAX($B$2:B989)</f>
        <v>68174.182128906294</v>
      </c>
      <c r="E989" s="40">
        <f t="shared" si="60"/>
        <v>-6.328394298196649E-3</v>
      </c>
      <c r="F989" s="41">
        <f t="shared" si="61"/>
        <v>150.71143745045396</v>
      </c>
      <c r="G989" s="42" t="str">
        <f t="shared" si="62"/>
        <v>2025-12</v>
      </c>
    </row>
    <row r="990" spans="1:7" x14ac:dyDescent="0.25">
      <c r="A990" s="31">
        <v>46001</v>
      </c>
      <c r="B990" s="32">
        <v>68192.041015625</v>
      </c>
      <c r="C990" s="33">
        <f t="shared" si="63"/>
        <v>6.6323259487455211E-3</v>
      </c>
      <c r="D990" s="32">
        <f>MAX($B$2:B990)</f>
        <v>68192.041015625</v>
      </c>
      <c r="E990" s="34">
        <f t="shared" si="60"/>
        <v>0</v>
      </c>
      <c r="F990" s="35">
        <f t="shared" si="61"/>
        <v>151.71100482782933</v>
      </c>
      <c r="G990" s="36" t="str">
        <f t="shared" si="62"/>
        <v>2025-12</v>
      </c>
    </row>
    <row r="991" spans="1:7" x14ac:dyDescent="0.25">
      <c r="A991" s="37">
        <v>46002</v>
      </c>
      <c r="B991" s="38">
        <v>68350.720214843794</v>
      </c>
      <c r="C991" s="39">
        <f t="shared" si="63"/>
        <v>2.3269460314647716E-3</v>
      </c>
      <c r="D991" s="38">
        <f>MAX($B$2:B991)</f>
        <v>68350.720214843794</v>
      </c>
      <c r="E991" s="40">
        <f t="shared" si="60"/>
        <v>0</v>
      </c>
      <c r="F991" s="41">
        <f t="shared" si="61"/>
        <v>152.06402814844299</v>
      </c>
      <c r="G991" s="42" t="str">
        <f t="shared" si="62"/>
        <v>2025-12</v>
      </c>
    </row>
    <row r="992" spans="1:7" x14ac:dyDescent="0.25">
      <c r="A992" s="31">
        <v>46003</v>
      </c>
      <c r="B992" s="32">
        <v>67615.808105468794</v>
      </c>
      <c r="C992" s="33">
        <f t="shared" si="63"/>
        <v>-1.0752075575282682E-2</v>
      </c>
      <c r="D992" s="32">
        <f>MAX($B$2:B992)</f>
        <v>68350.720214843794</v>
      </c>
      <c r="E992" s="34">
        <f t="shared" si="60"/>
        <v>-1.0752075575282682E-2</v>
      </c>
      <c r="F992" s="35">
        <f t="shared" si="61"/>
        <v>150.42902422550901</v>
      </c>
      <c r="G992" s="36" t="str">
        <f t="shared" si="62"/>
        <v>2025-12</v>
      </c>
    </row>
    <row r="993" spans="1:7" x14ac:dyDescent="0.25">
      <c r="A993" s="37">
        <v>46006</v>
      </c>
      <c r="B993" s="38">
        <v>67513.653564453096</v>
      </c>
      <c r="C993" s="39">
        <f t="shared" si="63"/>
        <v>-1.5108085502187896E-3</v>
      </c>
      <c r="D993" s="38">
        <f>MAX($B$2:B993)</f>
        <v>68350.720214843794</v>
      </c>
      <c r="E993" s="40">
        <f t="shared" si="60"/>
        <v>-1.2246639797789727E-2</v>
      </c>
      <c r="F993" s="41">
        <f t="shared" si="61"/>
        <v>150.20175476950803</v>
      </c>
      <c r="G993" s="42" t="str">
        <f t="shared" si="62"/>
        <v>2025-12</v>
      </c>
    </row>
    <row r="994" spans="1:7" x14ac:dyDescent="0.25">
      <c r="A994" s="31">
        <v>46007</v>
      </c>
      <c r="B994" s="32">
        <v>67329.187011718794</v>
      </c>
      <c r="C994" s="33">
        <f t="shared" si="63"/>
        <v>-2.732285145229163E-3</v>
      </c>
      <c r="D994" s="32">
        <f>MAX($B$2:B994)</f>
        <v>68350.720214843794</v>
      </c>
      <c r="E994" s="34">
        <f t="shared" si="60"/>
        <v>-1.494546363102045E-2</v>
      </c>
      <c r="F994" s="35">
        <f t="shared" si="61"/>
        <v>149.79136074616397</v>
      </c>
      <c r="G994" s="36" t="str">
        <f t="shared" si="62"/>
        <v>2025-12</v>
      </c>
    </row>
    <row r="995" spans="1:7" x14ac:dyDescent="0.25">
      <c r="A995" s="37">
        <v>46008</v>
      </c>
      <c r="B995" s="38">
        <v>66588.323974609404</v>
      </c>
      <c r="C995" s="39">
        <f t="shared" si="63"/>
        <v>-1.100359398340045E-2</v>
      </c>
      <c r="D995" s="38">
        <f>MAX($B$2:B995)</f>
        <v>68350.720214843794</v>
      </c>
      <c r="E995" s="40">
        <f t="shared" si="60"/>
        <v>-2.5784603800731443E-2</v>
      </c>
      <c r="F995" s="41">
        <f t="shared" si="61"/>
        <v>148.14311743029211</v>
      </c>
      <c r="G995" s="42" t="str">
        <f t="shared" si="62"/>
        <v>2025-12</v>
      </c>
    </row>
    <row r="996" spans="1:7" x14ac:dyDescent="0.25">
      <c r="A996" s="31">
        <v>46009</v>
      </c>
      <c r="B996" s="32">
        <v>67091.149902343794</v>
      </c>
      <c r="C996" s="33">
        <f t="shared" si="63"/>
        <v>7.551262709752482E-3</v>
      </c>
      <c r="D996" s="32">
        <f>MAX($B$2:B996)</f>
        <v>68350.720214843794</v>
      </c>
      <c r="E996" s="34">
        <f t="shared" si="60"/>
        <v>-1.8428047408145076E-2</v>
      </c>
      <c r="F996" s="35">
        <f t="shared" si="61"/>
        <v>149.26178502864997</v>
      </c>
      <c r="G996" s="36" t="str">
        <f t="shared" si="62"/>
        <v>2025-12</v>
      </c>
    </row>
    <row r="997" spans="1:7" x14ac:dyDescent="0.25">
      <c r="A997" s="37">
        <v>46010</v>
      </c>
      <c r="B997" s="38">
        <v>67699.230957031294</v>
      </c>
      <c r="C997" s="39">
        <f t="shared" si="63"/>
        <v>9.0635062235868702E-3</v>
      </c>
      <c r="D997" s="38">
        <f>MAX($B$2:B997)</f>
        <v>68350.720214843794</v>
      </c>
      <c r="E997" s="40">
        <f t="shared" si="60"/>
        <v>-9.5315639069303293E-3</v>
      </c>
      <c r="F997" s="41">
        <f t="shared" si="61"/>
        <v>150.61462014620085</v>
      </c>
      <c r="G997" s="42" t="str">
        <f t="shared" si="62"/>
        <v>2025-12</v>
      </c>
    </row>
    <row r="998" spans="1:7" x14ac:dyDescent="0.25">
      <c r="A998" s="31">
        <v>46013</v>
      </c>
      <c r="B998" s="32">
        <v>68120.989990234404</v>
      </c>
      <c r="C998" s="33">
        <f t="shared" si="63"/>
        <v>6.2298940067841979E-3</v>
      </c>
      <c r="D998" s="32">
        <f>MAX($B$2:B998)</f>
        <v>68350.720214843794</v>
      </c>
      <c r="E998" s="34">
        <f t="shared" si="60"/>
        <v>-3.3610505330051721E-3</v>
      </c>
      <c r="F998" s="35">
        <f t="shared" si="61"/>
        <v>151.55293326558373</v>
      </c>
      <c r="G998" s="36" t="str">
        <f t="shared" si="62"/>
        <v>2025-12</v>
      </c>
    </row>
    <row r="999" spans="1:7" x14ac:dyDescent="0.25">
      <c r="A999" s="37">
        <v>46014</v>
      </c>
      <c r="B999" s="38">
        <v>68432.330322265596</v>
      </c>
      <c r="C999" s="39">
        <f t="shared" si="63"/>
        <v>4.5704023396579974E-3</v>
      </c>
      <c r="D999" s="38">
        <f>MAX($B$2:B999)</f>
        <v>68432.330322265596</v>
      </c>
      <c r="E999" s="40">
        <f t="shared" si="60"/>
        <v>0</v>
      </c>
      <c r="F999" s="41">
        <f t="shared" si="61"/>
        <v>152.24559114636281</v>
      </c>
      <c r="G999" s="42" t="str">
        <f t="shared" si="62"/>
        <v>2025-12</v>
      </c>
    </row>
    <row r="1000" spans="1:7" x14ac:dyDescent="0.25">
      <c r="A1000" s="31">
        <v>46015</v>
      </c>
      <c r="B1000" s="32">
        <v>68673.052978515596</v>
      </c>
      <c r="C1000" s="33">
        <f t="shared" si="63"/>
        <v>3.5176743962448409E-3</v>
      </c>
      <c r="D1000" s="32">
        <f>MAX($B$2:B1000)</f>
        <v>68673.052978515596</v>
      </c>
      <c r="E1000" s="34">
        <f t="shared" si="60"/>
        <v>0</v>
      </c>
      <c r="F1000" s="35">
        <f t="shared" si="61"/>
        <v>152.78114156427952</v>
      </c>
      <c r="G1000" s="36" t="str">
        <f t="shared" si="62"/>
        <v>2025-12</v>
      </c>
    </row>
    <row r="1001" spans="1:7" x14ac:dyDescent="0.25">
      <c r="A1001" s="37">
        <v>46017</v>
      </c>
      <c r="B1001" s="38">
        <v>68666.0888671875</v>
      </c>
      <c r="C1001" s="39">
        <f t="shared" si="63"/>
        <v>-1.014096654516905E-4</v>
      </c>
      <c r="D1001" s="38">
        <f>MAX($B$2:B1001)</f>
        <v>68673.052978515596</v>
      </c>
      <c r="E1001" s="40">
        <f t="shared" si="60"/>
        <v>-1.014096654516905E-4</v>
      </c>
      <c r="F1001" s="41">
        <f t="shared" si="61"/>
        <v>152.76564807982618</v>
      </c>
      <c r="G1001" s="42" t="str">
        <f t="shared" si="62"/>
        <v>2025-12</v>
      </c>
    </row>
    <row r="1002" spans="1:7" x14ac:dyDescent="0.25">
      <c r="A1002" s="31">
        <v>46020</v>
      </c>
      <c r="B1002" s="32">
        <v>68421.38671875</v>
      </c>
      <c r="C1002" s="33">
        <f t="shared" si="63"/>
        <v>-3.5636535074947684E-3</v>
      </c>
      <c r="D1002" s="32">
        <f>MAX($B$2:B1002)</f>
        <v>68673.052978515596</v>
      </c>
      <c r="E1002" s="34">
        <f t="shared" si="60"/>
        <v>-3.6647017840364393E-3</v>
      </c>
      <c r="F1002" s="35">
        <f t="shared" si="61"/>
        <v>152.22124424222179</v>
      </c>
      <c r="G1002" s="36" t="str">
        <f t="shared" si="62"/>
        <v>2025-12</v>
      </c>
    </row>
    <row r="1003" spans="1:7" x14ac:dyDescent="0.25">
      <c r="A1003" s="37">
        <v>46021</v>
      </c>
      <c r="B1003" s="38">
        <v>68337.835693359404</v>
      </c>
      <c r="C1003" s="39">
        <f t="shared" si="63"/>
        <v>-1.2211244085718054E-3</v>
      </c>
      <c r="D1003" s="38">
        <f>MAX($B$2:B1003)</f>
        <v>68673.052978515596</v>
      </c>
      <c r="E1003" s="40">
        <f t="shared" si="60"/>
        <v>-4.8813511358096751E-3</v>
      </c>
      <c r="F1003" s="41">
        <f t="shared" si="61"/>
        <v>152.03536316537446</v>
      </c>
      <c r="G1003" s="42" t="str">
        <f t="shared" si="62"/>
        <v>2025-12</v>
      </c>
    </row>
    <row r="1004" spans="1:7" x14ac:dyDescent="0.25">
      <c r="A1004" s="31">
        <v>46022</v>
      </c>
      <c r="B1004" s="32">
        <v>67831.524658203096</v>
      </c>
      <c r="C1004" s="33">
        <f t="shared" si="63"/>
        <v>-7.4089416209812686E-3</v>
      </c>
      <c r="D1004" s="32">
        <f>MAX($B$2:B1004)</f>
        <v>68673.052978515596</v>
      </c>
      <c r="E1004" s="34">
        <f t="shared" si="60"/>
        <v>-1.2254127111194113E-2</v>
      </c>
      <c r="F1004" s="35">
        <f t="shared" si="61"/>
        <v>150.90894203535748</v>
      </c>
      <c r="G1004" s="36" t="str">
        <f t="shared" si="62"/>
        <v>2025-12</v>
      </c>
    </row>
    <row r="1005" spans="1:7" x14ac:dyDescent="0.25">
      <c r="A1005" s="37">
        <v>46024</v>
      </c>
      <c r="B1005" s="38">
        <v>67955.859375</v>
      </c>
      <c r="C1005" s="39">
        <f t="shared" si="63"/>
        <v>1.8329931020040213E-3</v>
      </c>
      <c r="D1005" s="38">
        <f>MAX($B$2:B1005)</f>
        <v>68673.052978515596</v>
      </c>
      <c r="E1005" s="40">
        <f t="shared" si="60"/>
        <v>-1.0443595739656031E-2</v>
      </c>
      <c r="F1005" s="41">
        <f t="shared" si="61"/>
        <v>151.18555708513904</v>
      </c>
      <c r="G1005" s="42" t="str">
        <f t="shared" si="62"/>
        <v>2026-01</v>
      </c>
    </row>
    <row r="1006" spans="1:7" x14ac:dyDescent="0.25">
      <c r="A1006" s="31">
        <v>46027</v>
      </c>
      <c r="B1006" s="32">
        <v>68408.453369140596</v>
      </c>
      <c r="C1006" s="33">
        <f t="shared" si="63"/>
        <v>6.6601172923597129E-3</v>
      </c>
      <c r="D1006" s="32">
        <f>MAX($B$2:B1006)</f>
        <v>68673.052978515596</v>
      </c>
      <c r="E1006" s="34">
        <f t="shared" si="60"/>
        <v>-3.8530340198764668E-3</v>
      </c>
      <c r="F1006" s="35">
        <f t="shared" si="61"/>
        <v>152.1924706282368</v>
      </c>
      <c r="G1006" s="36" t="str">
        <f t="shared" si="62"/>
        <v>2026-01</v>
      </c>
    </row>
    <row r="1007" spans="1:7" x14ac:dyDescent="0.25">
      <c r="A1007" s="37">
        <v>46028</v>
      </c>
      <c r="B1007" s="38">
        <v>68815.295410156294</v>
      </c>
      <c r="C1007" s="39">
        <f t="shared" si="63"/>
        <v>5.9472480516453707E-3</v>
      </c>
      <c r="D1007" s="38">
        <f>MAX($B$2:B1007)</f>
        <v>68815.295410156294</v>
      </c>
      <c r="E1007" s="40">
        <f t="shared" si="60"/>
        <v>0</v>
      </c>
      <c r="F1007" s="41">
        <f t="shared" si="61"/>
        <v>153.09759700265568</v>
      </c>
      <c r="G1007" s="42" t="str">
        <f t="shared" si="62"/>
        <v>2026-01</v>
      </c>
    </row>
    <row r="1008" spans="1:7" x14ac:dyDescent="0.25">
      <c r="A1008" s="31">
        <v>46029</v>
      </c>
      <c r="B1008" s="32">
        <v>68593.475341796904</v>
      </c>
      <c r="C1008" s="33">
        <f t="shared" si="63"/>
        <v>-3.223412281198379E-3</v>
      </c>
      <c r="D1008" s="32">
        <f>MAX($B$2:B1008)</f>
        <v>68815.295410156294</v>
      </c>
      <c r="E1008" s="34">
        <f t="shared" si="60"/>
        <v>-3.223412281198379E-3</v>
      </c>
      <c r="F1008" s="35">
        <f t="shared" si="61"/>
        <v>152.60410032825536</v>
      </c>
      <c r="G1008" s="36" t="str">
        <f t="shared" si="62"/>
        <v>2026-01</v>
      </c>
    </row>
    <row r="1009" spans="1:7" x14ac:dyDescent="0.25">
      <c r="A1009" s="37">
        <v>46030</v>
      </c>
      <c r="B1009" s="38">
        <v>68586.511230468794</v>
      </c>
      <c r="C1009" s="39">
        <f t="shared" si="63"/>
        <v>-1.0152731427304218E-4</v>
      </c>
      <c r="D1009" s="38">
        <f>MAX($B$2:B1009)</f>
        <v>68815.295410156294</v>
      </c>
      <c r="E1009" s="40">
        <f t="shared" si="60"/>
        <v>-3.3246123310797238E-3</v>
      </c>
      <c r="F1009" s="41">
        <f t="shared" si="61"/>
        <v>152.58860684380198</v>
      </c>
      <c r="G1009" s="42" t="str">
        <f t="shared" si="62"/>
        <v>2026-01</v>
      </c>
    </row>
    <row r="1010" spans="1:7" x14ac:dyDescent="0.25">
      <c r="A1010" s="31">
        <v>46031</v>
      </c>
      <c r="B1010" s="32">
        <v>69040.100097656294</v>
      </c>
      <c r="C1010" s="33">
        <f t="shared" si="63"/>
        <v>6.6133829968886282E-3</v>
      </c>
      <c r="D1010" s="32">
        <f>MAX($B$2:B1010)</f>
        <v>69040.100097656294</v>
      </c>
      <c r="E1010" s="34">
        <f t="shared" si="60"/>
        <v>0</v>
      </c>
      <c r="F1010" s="35">
        <f t="shared" si="61"/>
        <v>153.59773374182171</v>
      </c>
      <c r="G1010" s="36" t="str">
        <f t="shared" si="62"/>
        <v>2026-01</v>
      </c>
    </row>
    <row r="1011" spans="1:7" x14ac:dyDescent="0.25">
      <c r="A1011" s="37">
        <v>46034</v>
      </c>
      <c r="B1011" s="38">
        <v>69148.522949218794</v>
      </c>
      <c r="C1011" s="39">
        <f t="shared" si="63"/>
        <v>1.5704330006638401E-3</v>
      </c>
      <c r="D1011" s="38">
        <f>MAX($B$2:B1011)</f>
        <v>69148.522949218794</v>
      </c>
      <c r="E1011" s="40">
        <f t="shared" si="60"/>
        <v>0</v>
      </c>
      <c r="F1011" s="41">
        <f t="shared" si="61"/>
        <v>153.83894869171706</v>
      </c>
      <c r="G1011" s="42" t="str">
        <f t="shared" si="62"/>
        <v>2026-01</v>
      </c>
    </row>
    <row r="1012" spans="1:7" x14ac:dyDescent="0.25">
      <c r="A1012" s="31">
        <v>46035</v>
      </c>
      <c r="B1012" s="32">
        <v>69010.260009765596</v>
      </c>
      <c r="C1012" s="33">
        <f t="shared" si="63"/>
        <v>-1.9995067653828524E-3</v>
      </c>
      <c r="D1012" s="32">
        <f>MAX($B$2:B1012)</f>
        <v>69148.522949218794</v>
      </c>
      <c r="E1012" s="34">
        <f t="shared" si="60"/>
        <v>-1.9995067653828524E-3</v>
      </c>
      <c r="F1012" s="35">
        <f t="shared" si="61"/>
        <v>153.53134667302857</v>
      </c>
      <c r="G1012" s="36" t="str">
        <f t="shared" si="62"/>
        <v>2026-01</v>
      </c>
    </row>
    <row r="1013" spans="1:7" x14ac:dyDescent="0.25">
      <c r="A1013" s="37">
        <v>46036</v>
      </c>
      <c r="B1013" s="38">
        <v>68671.063232421904</v>
      </c>
      <c r="C1013" s="39">
        <f t="shared" si="63"/>
        <v>-4.9151644595410993E-3</v>
      </c>
      <c r="D1013" s="38">
        <f>MAX($B$2:B1013)</f>
        <v>69148.522949218794</v>
      </c>
      <c r="E1013" s="40">
        <f t="shared" si="60"/>
        <v>-6.904843320334253E-3</v>
      </c>
      <c r="F1013" s="41">
        <f t="shared" si="61"/>
        <v>152.77671485443582</v>
      </c>
      <c r="G1013" s="42" t="str">
        <f t="shared" si="62"/>
        <v>2026-01</v>
      </c>
    </row>
    <row r="1014" spans="1:7" x14ac:dyDescent="0.25">
      <c r="A1014" s="31">
        <v>46037</v>
      </c>
      <c r="B1014" s="32">
        <v>68858.068847656294</v>
      </c>
      <c r="C1014" s="33">
        <f t="shared" si="63"/>
        <v>2.7232083854804578E-3</v>
      </c>
      <c r="D1014" s="32">
        <f>MAX($B$2:B1014)</f>
        <v>69148.522949218794</v>
      </c>
      <c r="E1014" s="34">
        <f t="shared" si="60"/>
        <v>-4.2004382620841607E-3</v>
      </c>
      <c r="F1014" s="35">
        <f t="shared" si="61"/>
        <v>153.19275768543358</v>
      </c>
      <c r="G1014" s="36" t="str">
        <f t="shared" si="62"/>
        <v>2026-01</v>
      </c>
    </row>
    <row r="1015" spans="1:7" x14ac:dyDescent="0.25">
      <c r="A1015" s="37">
        <v>46038</v>
      </c>
      <c r="B1015" s="38">
        <v>68800.372314453096</v>
      </c>
      <c r="C1015" s="39">
        <f t="shared" si="63"/>
        <v>-8.3790518916304624E-4</v>
      </c>
      <c r="D1015" s="38">
        <f>MAX($B$2:B1015)</f>
        <v>69148.522949218794</v>
      </c>
      <c r="E1015" s="40">
        <f t="shared" si="60"/>
        <v>-5.0348238822306435E-3</v>
      </c>
      <c r="F1015" s="41">
        <f t="shared" si="61"/>
        <v>153.06439667882677</v>
      </c>
      <c r="G1015" s="42" t="str">
        <f t="shared" si="62"/>
        <v>2026-01</v>
      </c>
    </row>
    <row r="1016" spans="1:7" x14ac:dyDescent="0.25">
      <c r="A1016" s="31">
        <v>46042</v>
      </c>
      <c r="B1016" s="32">
        <v>67399.816894531294</v>
      </c>
      <c r="C1016" s="33">
        <f t="shared" si="63"/>
        <v>-2.0356800011496201E-2</v>
      </c>
      <c r="D1016" s="32">
        <f>MAX($B$2:B1016)</f>
        <v>69148.522949218794</v>
      </c>
      <c r="E1016" s="34">
        <f t="shared" si="60"/>
        <v>-2.5289130990863162E-2</v>
      </c>
      <c r="F1016" s="35">
        <f t="shared" si="61"/>
        <v>149.94849536675557</v>
      </c>
      <c r="G1016" s="36" t="str">
        <f t="shared" si="62"/>
        <v>2026-01</v>
      </c>
    </row>
    <row r="1017" spans="1:7" x14ac:dyDescent="0.25">
      <c r="A1017" s="37">
        <v>46043</v>
      </c>
      <c r="B1017" s="38">
        <v>68177.685546875</v>
      </c>
      <c r="C1017" s="39">
        <f t="shared" si="63"/>
        <v>1.1541109281660633E-2</v>
      </c>
      <c r="D1017" s="38">
        <f>MAX($B$2:B1017)</f>
        <v>69148.522949218794</v>
      </c>
      <c r="E1017" s="40">
        <f t="shared" si="60"/>
        <v>-1.40398863336062E-2</v>
      </c>
      <c r="F1017" s="41">
        <f t="shared" si="61"/>
        <v>151.67906733840385</v>
      </c>
      <c r="G1017" s="42" t="str">
        <f t="shared" si="62"/>
        <v>2026-01</v>
      </c>
    </row>
    <row r="1018" spans="1:7" x14ac:dyDescent="0.25">
      <c r="A1018" s="31">
        <v>46044</v>
      </c>
      <c r="B1018" s="32">
        <v>68533.795166015596</v>
      </c>
      <c r="C1018" s="33">
        <f t="shared" si="63"/>
        <v>5.2232576727140323E-3</v>
      </c>
      <c r="D1018" s="32">
        <f>MAX($B$2:B1018)</f>
        <v>69148.522949218794</v>
      </c>
      <c r="E1018" s="34">
        <f t="shared" si="60"/>
        <v>-8.8899626049082636E-3</v>
      </c>
      <c r="F1018" s="35">
        <f t="shared" si="61"/>
        <v>152.47132619066929</v>
      </c>
      <c r="G1018" s="36" t="str">
        <f t="shared" si="62"/>
        <v>2026-01</v>
      </c>
    </row>
    <row r="1019" spans="1:7" x14ac:dyDescent="0.25">
      <c r="A1019" s="37">
        <v>46045</v>
      </c>
      <c r="B1019" s="38">
        <v>68558.654785156294</v>
      </c>
      <c r="C1019" s="39">
        <f t="shared" si="63"/>
        <v>3.6273518897478318E-4</v>
      </c>
      <c r="D1019" s="38">
        <f>MAX($B$2:B1019)</f>
        <v>69148.522949218794</v>
      </c>
      <c r="E1019" s="40">
        <f t="shared" si="60"/>
        <v>-8.5304521181990278E-3</v>
      </c>
      <c r="F1019" s="41">
        <f t="shared" si="61"/>
        <v>152.52663290598829</v>
      </c>
      <c r="G1019" s="42" t="str">
        <f t="shared" si="62"/>
        <v>2026-01</v>
      </c>
    </row>
    <row r="1020" spans="1:7" x14ac:dyDescent="0.25">
      <c r="A1020" s="31">
        <v>46048</v>
      </c>
      <c r="B1020" s="32">
        <v>68906.805419921904</v>
      </c>
      <c r="C1020" s="33">
        <f t="shared" si="63"/>
        <v>5.0781427356854092E-3</v>
      </c>
      <c r="D1020" s="32">
        <f>MAX($B$2:B1020)</f>
        <v>69148.522949218794</v>
      </c>
      <c r="E1020" s="34">
        <f t="shared" si="60"/>
        <v>-3.4956282359697166E-3</v>
      </c>
      <c r="F1020" s="35">
        <f t="shared" si="61"/>
        <v>153.30118491887839</v>
      </c>
      <c r="G1020" s="36" t="str">
        <f t="shared" si="62"/>
        <v>2026-01</v>
      </c>
    </row>
    <row r="1021" spans="1:7" x14ac:dyDescent="0.25">
      <c r="A1021" s="37">
        <v>46049</v>
      </c>
      <c r="B1021" s="38">
        <v>69181.34765625</v>
      </c>
      <c r="C1021" s="39">
        <f t="shared" si="63"/>
        <v>3.9842543077570625E-3</v>
      </c>
      <c r="D1021" s="38">
        <f>MAX($B$2:B1021)</f>
        <v>69181.34765625</v>
      </c>
      <c r="E1021" s="40">
        <f t="shared" si="60"/>
        <v>0</v>
      </c>
      <c r="F1021" s="41">
        <f t="shared" si="61"/>
        <v>153.9119758252757</v>
      </c>
      <c r="G1021" s="42" t="str">
        <f t="shared" si="62"/>
        <v>2026-01</v>
      </c>
    </row>
    <row r="1022" spans="1:7" x14ac:dyDescent="0.25">
      <c r="A1022" s="31">
        <v>46050</v>
      </c>
      <c r="B1022" s="32">
        <v>69174.383544921904</v>
      </c>
      <c r="C1022" s="33">
        <f t="shared" si="63"/>
        <v>-1.0066458032442771E-4</v>
      </c>
      <c r="D1022" s="32">
        <f>MAX($B$2:B1022)</f>
        <v>69181.34765625</v>
      </c>
      <c r="E1022" s="34">
        <f t="shared" si="60"/>
        <v>-1.0066458032442771E-4</v>
      </c>
      <c r="F1022" s="35">
        <f t="shared" si="61"/>
        <v>153.89648234082233</v>
      </c>
      <c r="G1022" s="36" t="str">
        <f t="shared" si="62"/>
        <v>2026-01</v>
      </c>
    </row>
    <row r="1023" spans="1:7" x14ac:dyDescent="0.25">
      <c r="A1023" s="37">
        <v>46051</v>
      </c>
      <c r="B1023" s="38">
        <v>69037.115478515596</v>
      </c>
      <c r="C1023" s="39">
        <f t="shared" si="63"/>
        <v>-1.9843771548345712E-3</v>
      </c>
      <c r="D1023" s="38">
        <f>MAX($B$2:B1023)</f>
        <v>69181.34765625</v>
      </c>
      <c r="E1023" s="40">
        <f t="shared" si="60"/>
        <v>-2.0848419786655414E-3</v>
      </c>
      <c r="F1023" s="41">
        <f t="shared" si="61"/>
        <v>153.5910936770558</v>
      </c>
      <c r="G1023" s="42" t="str">
        <f t="shared" si="62"/>
        <v>2026-01</v>
      </c>
    </row>
    <row r="1024" spans="1:7" x14ac:dyDescent="0.25">
      <c r="A1024" s="31">
        <v>46052</v>
      </c>
      <c r="B1024" s="32">
        <v>68831.207275390596</v>
      </c>
      <c r="C1024" s="33">
        <f t="shared" si="63"/>
        <v>-2.9825725147667459E-3</v>
      </c>
      <c r="D1024" s="32">
        <f>MAX($B$2:B1024)</f>
        <v>69181.34765625</v>
      </c>
      <c r="E1024" s="34">
        <f t="shared" si="60"/>
        <v>-5.0611963010490646E-3</v>
      </c>
      <c r="F1024" s="35">
        <f t="shared" si="61"/>
        <v>153.13299710254165</v>
      </c>
      <c r="G1024" s="36" t="str">
        <f t="shared" si="62"/>
        <v>2026-01</v>
      </c>
    </row>
    <row r="1025" spans="1:7" x14ac:dyDescent="0.25">
      <c r="A1025" s="37">
        <v>46055</v>
      </c>
      <c r="B1025" s="38">
        <v>69173.394775390596</v>
      </c>
      <c r="C1025" s="39">
        <f t="shared" si="63"/>
        <v>4.9714005252141646E-3</v>
      </c>
      <c r="D1025" s="38">
        <f>MAX($B$2:B1025)</f>
        <v>69181.34765625</v>
      </c>
      <c r="E1025" s="40">
        <f t="shared" si="60"/>
        <v>-1.149570097842556E-4</v>
      </c>
      <c r="F1025" s="41">
        <f t="shared" si="61"/>
        <v>153.89428256476484</v>
      </c>
      <c r="G1025" s="42" t="str">
        <f t="shared" si="62"/>
        <v>2026-02</v>
      </c>
    </row>
    <row r="1026" spans="1:7" x14ac:dyDescent="0.25">
      <c r="A1026" s="31">
        <v>46056</v>
      </c>
      <c r="B1026" s="32">
        <v>68588.5009765625</v>
      </c>
      <c r="C1026" s="33">
        <f t="shared" si="63"/>
        <v>-8.4554733901274215E-3</v>
      </c>
      <c r="D1026" s="32">
        <f>MAX($B$2:B1026)</f>
        <v>69181.34765625</v>
      </c>
      <c r="E1026" s="34">
        <f t="shared" ref="E1026:E1089" si="64">B1026/D1026-1</f>
        <v>-8.5694583839743821E-3</v>
      </c>
      <c r="F1026" s="35">
        <f t="shared" ref="F1026:F1089" si="65">B1026/$B$2*100</f>
        <v>152.59303355364571</v>
      </c>
      <c r="G1026" s="36" t="str">
        <f t="shared" ref="G1026:G1089" si="66">TEXT(A1026,"YYYY-MM")</f>
        <v>2026-02</v>
      </c>
    </row>
    <row r="1027" spans="1:7" x14ac:dyDescent="0.25">
      <c r="A1027" s="37">
        <v>46057</v>
      </c>
      <c r="B1027" s="38">
        <v>68256.268310546904</v>
      </c>
      <c r="C1027" s="39">
        <f t="shared" ref="C1027:C1090" si="67">B1027/B1026-1</f>
        <v>-4.8438537259929415E-3</v>
      </c>
      <c r="D1027" s="38">
        <f>MAX($B$2:B1027)</f>
        <v>69181.34765625</v>
      </c>
      <c r="E1027" s="40">
        <f t="shared" si="64"/>
        <v>-1.3371802907044428E-2</v>
      </c>
      <c r="F1027" s="41">
        <f t="shared" si="65"/>
        <v>151.85389521950631</v>
      </c>
      <c r="G1027" s="42" t="str">
        <f t="shared" si="66"/>
        <v>2026-02</v>
      </c>
    </row>
    <row r="1028" spans="1:7" x14ac:dyDescent="0.25">
      <c r="A1028" s="31">
        <v>46058</v>
      </c>
      <c r="B1028" s="32">
        <v>67403.796386718794</v>
      </c>
      <c r="C1028" s="33">
        <f t="shared" si="67"/>
        <v>-1.2489284060324013E-2</v>
      </c>
      <c r="D1028" s="32">
        <f>MAX($B$2:B1028)</f>
        <v>69181.34765625</v>
      </c>
      <c r="E1028" s="34">
        <f t="shared" si="64"/>
        <v>-2.5694082722463651E-2</v>
      </c>
      <c r="F1028" s="35">
        <f t="shared" si="65"/>
        <v>149.95734878644322</v>
      </c>
      <c r="G1028" s="36" t="str">
        <f t="shared" si="66"/>
        <v>2026-02</v>
      </c>
    </row>
    <row r="1029" spans="1:7" x14ac:dyDescent="0.25">
      <c r="A1029" s="37">
        <v>46059</v>
      </c>
      <c r="B1029" s="38">
        <v>68696.923828125</v>
      </c>
      <c r="C1029" s="39">
        <f t="shared" si="67"/>
        <v>1.9184786476819315E-2</v>
      </c>
      <c r="D1029" s="38">
        <f>MAX($B$2:B1029)</f>
        <v>69181.34765625</v>
      </c>
      <c r="E1029" s="40">
        <f t="shared" si="64"/>
        <v>-7.0022317363925834E-3</v>
      </c>
      <c r="F1029" s="41">
        <f t="shared" si="65"/>
        <v>152.83424850354106</v>
      </c>
      <c r="G1029" s="42" t="str">
        <f t="shared" si="66"/>
        <v>2026-02</v>
      </c>
    </row>
    <row r="1030" spans="1:7" x14ac:dyDescent="0.25">
      <c r="A1030" s="31">
        <v>46062</v>
      </c>
      <c r="B1030" s="32">
        <v>69028.167724609404</v>
      </c>
      <c r="C1030" s="33">
        <f t="shared" si="67"/>
        <v>4.8218155635781912E-3</v>
      </c>
      <c r="D1030" s="32">
        <f>MAX($B$2:B1030)</f>
        <v>69181.34765625</v>
      </c>
      <c r="E1030" s="34">
        <f t="shared" si="64"/>
        <v>-2.2141796427805893E-3</v>
      </c>
      <c r="F1030" s="35">
        <f t="shared" si="65"/>
        <v>153.57118706162322</v>
      </c>
      <c r="G1030" s="36" t="str">
        <f t="shared" si="66"/>
        <v>2026-02</v>
      </c>
    </row>
    <row r="1031" spans="1:7" x14ac:dyDescent="0.25">
      <c r="A1031" s="37">
        <v>46063</v>
      </c>
      <c r="B1031" s="38">
        <v>68846.130371093794</v>
      </c>
      <c r="C1031" s="39">
        <f t="shared" si="67"/>
        <v>-2.6371459581812084E-3</v>
      </c>
      <c r="D1031" s="38">
        <f>MAX($B$2:B1031)</f>
        <v>69181.34765625</v>
      </c>
      <c r="E1031" s="40">
        <f t="shared" si="64"/>
        <v>-4.8454864860661973E-3</v>
      </c>
      <c r="F1031" s="41">
        <f t="shared" si="65"/>
        <v>153.16619742637056</v>
      </c>
      <c r="G1031" s="42" t="str">
        <f t="shared" si="66"/>
        <v>2026-02</v>
      </c>
    </row>
    <row r="1032" spans="1:7" x14ac:dyDescent="0.25">
      <c r="A1032" s="31">
        <v>46064</v>
      </c>
      <c r="B1032" s="32">
        <v>68830.218505859404</v>
      </c>
      <c r="C1032" s="33">
        <f t="shared" si="67"/>
        <v>-2.3112214366471928E-4</v>
      </c>
      <c r="D1032" s="32">
        <f>MAX($B$2:B1032)</f>
        <v>69181.34765625</v>
      </c>
      <c r="E1032" s="34">
        <f t="shared" si="64"/>
        <v>-5.0754887305072272E-3</v>
      </c>
      <c r="F1032" s="35">
        <f t="shared" si="65"/>
        <v>153.13079732648441</v>
      </c>
      <c r="G1032" s="36" t="str">
        <f t="shared" si="66"/>
        <v>2026-02</v>
      </c>
    </row>
    <row r="1033" spans="1:7" x14ac:dyDescent="0.25">
      <c r="A1033" s="37">
        <v>46065</v>
      </c>
      <c r="B1033" s="38">
        <v>67766.8701171875</v>
      </c>
      <c r="C1033" s="39">
        <f t="shared" si="67"/>
        <v>-1.5448859697886674E-2</v>
      </c>
      <c r="D1033" s="38">
        <f>MAX($B$2:B1033)</f>
        <v>69181.34765625</v>
      </c>
      <c r="E1033" s="40">
        <f t="shared" si="64"/>
        <v>-2.0445937915098078E-2</v>
      </c>
      <c r="F1033" s="41">
        <f t="shared" si="65"/>
        <v>150.76510112316203</v>
      </c>
      <c r="G1033" s="42" t="str">
        <f t="shared" si="66"/>
        <v>2026-02</v>
      </c>
    </row>
    <row r="1034" spans="1:7" x14ac:dyDescent="0.25">
      <c r="A1034" s="31">
        <v>46066</v>
      </c>
      <c r="B1034" s="32">
        <v>67814.611816406294</v>
      </c>
      <c r="C1034" s="33">
        <f t="shared" si="67"/>
        <v>7.0449910311976005E-4</v>
      </c>
      <c r="D1034" s="32">
        <f>MAX($B$2:B1034)</f>
        <v>69181.34765625</v>
      </c>
      <c r="E1034" s="34">
        <f t="shared" si="64"/>
        <v>-1.9755842956901914E-2</v>
      </c>
      <c r="F1034" s="35">
        <f t="shared" si="65"/>
        <v>150.87131500168508</v>
      </c>
      <c r="G1034" s="36" t="str">
        <f t="shared" si="66"/>
        <v>2026-02</v>
      </c>
    </row>
    <row r="1035" spans="1:7" x14ac:dyDescent="0.25">
      <c r="A1035" s="37">
        <v>46070</v>
      </c>
      <c r="B1035" s="38">
        <v>67924.029541015596</v>
      </c>
      <c r="C1035" s="39">
        <f t="shared" si="67"/>
        <v>1.6134830190508431E-3</v>
      </c>
      <c r="D1035" s="38">
        <f>MAX($B$2:B1035)</f>
        <v>69181.34765625</v>
      </c>
      <c r="E1035" s="40">
        <f t="shared" si="64"/>
        <v>-1.8174235654988991E-2</v>
      </c>
      <c r="F1035" s="41">
        <f t="shared" si="65"/>
        <v>151.11474330650216</v>
      </c>
      <c r="G1035" s="42" t="str">
        <f t="shared" si="66"/>
        <v>2026-02</v>
      </c>
    </row>
    <row r="1036" spans="1:7" x14ac:dyDescent="0.25">
      <c r="A1036" s="31">
        <v>46071</v>
      </c>
      <c r="B1036" s="32">
        <v>68266.2109375</v>
      </c>
      <c r="C1036" s="33">
        <f t="shared" si="67"/>
        <v>5.0377075505771973E-3</v>
      </c>
      <c r="D1036" s="32">
        <f>MAX($B$2:B1036)</f>
        <v>69181.34765625</v>
      </c>
      <c r="E1036" s="34">
        <f t="shared" si="64"/>
        <v>-1.3228084588596811E-2</v>
      </c>
      <c r="F1036" s="35">
        <f t="shared" si="65"/>
        <v>151.87601518986088</v>
      </c>
      <c r="G1036" s="36" t="str">
        <f t="shared" si="66"/>
        <v>2026-02</v>
      </c>
    </row>
    <row r="1037" spans="1:7" x14ac:dyDescent="0.25">
      <c r="A1037" s="37">
        <v>46072</v>
      </c>
      <c r="B1037" s="38">
        <v>68086.163330078096</v>
      </c>
      <c r="C1037" s="39">
        <f t="shared" si="67"/>
        <v>-2.637433731114025E-3</v>
      </c>
      <c r="D1037" s="38">
        <f>MAX($B$2:B1037)</f>
        <v>69181.34765625</v>
      </c>
      <c r="E1037" s="40">
        <f t="shared" si="64"/>
        <v>-1.5830630123218836E-2</v>
      </c>
      <c r="F1037" s="41">
        <f t="shared" si="65"/>
        <v>151.47545226445197</v>
      </c>
      <c r="G1037" s="42" t="str">
        <f t="shared" si="66"/>
        <v>2026-02</v>
      </c>
    </row>
    <row r="1038" spans="1:7" x14ac:dyDescent="0.25">
      <c r="A1038" s="31">
        <v>46073</v>
      </c>
      <c r="B1038" s="32">
        <v>68578.558349609404</v>
      </c>
      <c r="C1038" s="33">
        <f t="shared" si="67"/>
        <v>7.2319395813831289E-3</v>
      </c>
      <c r="D1038" s="32">
        <f>MAX($B$2:B1038)</f>
        <v>69181.34765625</v>
      </c>
      <c r="E1038" s="34">
        <f t="shared" si="64"/>
        <v>-8.7131767024219986E-3</v>
      </c>
      <c r="F1038" s="35">
        <f t="shared" si="65"/>
        <v>152.57091358329114</v>
      </c>
      <c r="G1038" s="36" t="str">
        <f t="shared" si="66"/>
        <v>2026-02</v>
      </c>
    </row>
    <row r="1039" spans="1:7" x14ac:dyDescent="0.25">
      <c r="A1039" s="37">
        <v>46076</v>
      </c>
      <c r="B1039" s="38">
        <v>67878.277587890596</v>
      </c>
      <c r="C1039" s="39">
        <f t="shared" si="67"/>
        <v>-1.0211366038767045E-2</v>
      </c>
      <c r="D1039" s="38">
        <f>MAX($B$2:B1039)</f>
        <v>69181.34765625</v>
      </c>
      <c r="E1039" s="40">
        <f t="shared" si="64"/>
        <v>-1.8835569304520239E-2</v>
      </c>
      <c r="F1039" s="41">
        <f t="shared" si="65"/>
        <v>151.01295613782307</v>
      </c>
      <c r="G1039" s="42" t="str">
        <f t="shared" si="66"/>
        <v>2026-02</v>
      </c>
    </row>
    <row r="1040" spans="1:7" x14ac:dyDescent="0.25">
      <c r="A1040" s="31">
        <v>46077</v>
      </c>
      <c r="B1040" s="32">
        <v>68371.649169921904</v>
      </c>
      <c r="C1040" s="33">
        <f t="shared" si="67"/>
        <v>7.2684752701992483E-3</v>
      </c>
      <c r="D1040" s="32">
        <f>MAX($B$2:B1040)</f>
        <v>69181.34765625</v>
      </c>
      <c r="E1040" s="34">
        <f t="shared" si="64"/>
        <v>-1.1703999904010942E-2</v>
      </c>
      <c r="F1040" s="35">
        <f t="shared" si="65"/>
        <v>152.11059007499051</v>
      </c>
      <c r="G1040" s="36" t="str">
        <f t="shared" si="66"/>
        <v>2026-02</v>
      </c>
    </row>
    <row r="1041" spans="1:7" x14ac:dyDescent="0.25">
      <c r="A1041" s="37">
        <v>46078</v>
      </c>
      <c r="B1041" s="38">
        <v>68948.590087890596</v>
      </c>
      <c r="C1041" s="39">
        <f t="shared" si="67"/>
        <v>8.4383063005375458E-3</v>
      </c>
      <c r="D1041" s="38">
        <f>MAX($B$2:B1041)</f>
        <v>69181.34765625</v>
      </c>
      <c r="E1041" s="40">
        <f t="shared" si="64"/>
        <v>-3.3644555396049602E-3</v>
      </c>
      <c r="F1041" s="41">
        <f t="shared" si="65"/>
        <v>153.3941458255988</v>
      </c>
      <c r="G1041" s="42" t="str">
        <f t="shared" si="66"/>
        <v>2026-02</v>
      </c>
    </row>
    <row r="1042" spans="1:7" x14ac:dyDescent="0.25">
      <c r="A1042" s="31">
        <v>46079</v>
      </c>
      <c r="B1042" s="32">
        <v>68565.618896484404</v>
      </c>
      <c r="C1042" s="33">
        <f t="shared" si="67"/>
        <v>-5.5544455792062575E-3</v>
      </c>
      <c r="D1042" s="32">
        <f>MAX($B$2:B1042)</f>
        <v>69181.34765625</v>
      </c>
      <c r="E1042" s="34">
        <f t="shared" si="64"/>
        <v>-8.9002134336128025E-3</v>
      </c>
      <c r="F1042" s="35">
        <f t="shared" si="65"/>
        <v>152.54212639044167</v>
      </c>
      <c r="G1042" s="36" t="str">
        <f t="shared" si="66"/>
        <v>2026-02</v>
      </c>
    </row>
    <row r="1043" spans="1:7" x14ac:dyDescent="0.25">
      <c r="A1043" s="37">
        <v>46080</v>
      </c>
      <c r="B1043" s="38">
        <v>68236.370849609404</v>
      </c>
      <c r="C1043" s="39">
        <f t="shared" si="67"/>
        <v>-4.8019408586112977E-3</v>
      </c>
      <c r="D1043" s="38">
        <f>MAX($B$2:B1043)</f>
        <v>69181.34765625</v>
      </c>
      <c r="E1043" s="40">
        <f t="shared" si="64"/>
        <v>-1.3659415993686919E-2</v>
      </c>
      <c r="F1043" s="41">
        <f t="shared" si="65"/>
        <v>151.80962812106796</v>
      </c>
      <c r="G1043" s="42" t="str">
        <f t="shared" si="66"/>
        <v>2026-02</v>
      </c>
    </row>
    <row r="1044" spans="1:7" x14ac:dyDescent="0.25">
      <c r="A1044" s="31">
        <v>46083</v>
      </c>
      <c r="B1044" s="32">
        <v>68275.1708984375</v>
      </c>
      <c r="C1044" s="33">
        <f t="shared" si="67"/>
        <v>5.6861243271000284E-4</v>
      </c>
      <c r="D1044" s="32">
        <f>MAX($B$2:B1044)</f>
        <v>69181.34765625</v>
      </c>
      <c r="E1044" s="34">
        <f t="shared" si="64"/>
        <v>-1.3098570474734506E-2</v>
      </c>
      <c r="F1044" s="35">
        <f t="shared" si="65"/>
        <v>151.89594896302268</v>
      </c>
      <c r="G1044" s="36" t="str">
        <f t="shared" si="66"/>
        <v>2026-03</v>
      </c>
    </row>
    <row r="1045" spans="1:7" x14ac:dyDescent="0.25">
      <c r="A1045" s="37">
        <v>46084</v>
      </c>
      <c r="B1045" s="38">
        <v>67673.370361328096</v>
      </c>
      <c r="C1045" s="39">
        <f t="shared" si="67"/>
        <v>-8.8143395203595931E-3</v>
      </c>
      <c r="D1045" s="38">
        <f>MAX($B$2:B1045)</f>
        <v>69181.34765625</v>
      </c>
      <c r="E1045" s="40">
        <f t="shared" si="64"/>
        <v>-2.1797454747698453E-2</v>
      </c>
      <c r="F1045" s="41">
        <f t="shared" si="65"/>
        <v>150.55708649709538</v>
      </c>
      <c r="G1045" s="42" t="str">
        <f t="shared" si="66"/>
        <v>2026-03</v>
      </c>
    </row>
    <row r="1046" spans="1:7" x14ac:dyDescent="0.25">
      <c r="A1046" s="31">
        <v>46085</v>
      </c>
      <c r="B1046" s="32">
        <v>68150.823974609404</v>
      </c>
      <c r="C1046" s="33">
        <f t="shared" si="67"/>
        <v>7.0552657674953778E-3</v>
      </c>
      <c r="D1046" s="32">
        <f>MAX($B$2:B1046)</f>
        <v>69181.34765625</v>
      </c>
      <c r="E1046" s="34">
        <f t="shared" si="64"/>
        <v>-1.4895975816503149E-2</v>
      </c>
      <c r="F1046" s="35">
        <f t="shared" si="65"/>
        <v>151.61930675551216</v>
      </c>
      <c r="G1046" s="36" t="str">
        <f t="shared" si="66"/>
        <v>2026-03</v>
      </c>
    </row>
    <row r="1047" spans="1:7" x14ac:dyDescent="0.25">
      <c r="A1047" s="37">
        <v>46086</v>
      </c>
      <c r="B1047" s="38">
        <v>67770.849609375</v>
      </c>
      <c r="C1047" s="39">
        <f t="shared" si="67"/>
        <v>-5.5754918733773584E-3</v>
      </c>
      <c r="D1047" s="38">
        <f>MAX($B$2:B1047)</f>
        <v>69181.34765625</v>
      </c>
      <c r="E1047" s="40">
        <f t="shared" si="64"/>
        <v>-2.038841529776958E-2</v>
      </c>
      <c r="F1047" s="41">
        <f t="shared" si="65"/>
        <v>150.77395454284971</v>
      </c>
      <c r="G1047" s="42" t="str">
        <f t="shared" si="66"/>
        <v>2026-03</v>
      </c>
    </row>
    <row r="1048" spans="1:7" x14ac:dyDescent="0.25">
      <c r="A1048" s="31">
        <v>46087</v>
      </c>
      <c r="B1048" s="32">
        <v>66882.568359375</v>
      </c>
      <c r="C1048" s="33">
        <f t="shared" si="67"/>
        <v>-1.3107128730419859E-2</v>
      </c>
      <c r="D1048" s="32">
        <f>MAX($B$2:B1048)</f>
        <v>69181.34765625</v>
      </c>
      <c r="E1048" s="34">
        <f t="shared" si="64"/>
        <v>-3.3228310444272213E-2</v>
      </c>
      <c r="F1048" s="35">
        <f t="shared" si="65"/>
        <v>148.79774091146209</v>
      </c>
      <c r="G1048" s="36" t="str">
        <f t="shared" si="66"/>
        <v>2026-03</v>
      </c>
    </row>
    <row r="1049" spans="1:7" x14ac:dyDescent="0.25">
      <c r="A1049" s="37">
        <v>46090</v>
      </c>
      <c r="B1049" s="38">
        <v>67468.45703125</v>
      </c>
      <c r="C1049" s="39">
        <f t="shared" si="67"/>
        <v>8.7599607229029708E-3</v>
      </c>
      <c r="D1049" s="38">
        <f>MAX($B$2:B1049)</f>
        <v>69181.34765625</v>
      </c>
      <c r="E1049" s="40">
        <f t="shared" si="64"/>
        <v>-2.4759428415749518E-2</v>
      </c>
      <c r="F1049" s="41">
        <f t="shared" si="65"/>
        <v>150.1012032775032</v>
      </c>
      <c r="G1049" s="42" t="str">
        <f t="shared" si="66"/>
        <v>2026-03</v>
      </c>
    </row>
    <row r="1050" spans="1:7" x14ac:dyDescent="0.25">
      <c r="A1050" s="31">
        <v>46091</v>
      </c>
      <c r="B1050" s="32">
        <v>67360.028076171904</v>
      </c>
      <c r="C1050" s="33">
        <f t="shared" si="67"/>
        <v>-1.6071058958392337E-3</v>
      </c>
      <c r="D1050" s="32">
        <f>MAX($B$2:B1050)</f>
        <v>69181.34765625</v>
      </c>
      <c r="E1050" s="34">
        <f t="shared" si="64"/>
        <v>-2.6326743288204169E-2</v>
      </c>
      <c r="F1050" s="35">
        <f t="shared" si="65"/>
        <v>149.85997474874338</v>
      </c>
      <c r="G1050" s="36" t="str">
        <f t="shared" si="66"/>
        <v>2026-03</v>
      </c>
    </row>
    <row r="1051" spans="1:7" x14ac:dyDescent="0.25">
      <c r="A1051" s="37">
        <v>46092</v>
      </c>
      <c r="B1051" s="38">
        <v>67275.482177734404</v>
      </c>
      <c r="C1051" s="39">
        <f t="shared" si="67"/>
        <v>-1.2551345486657706E-3</v>
      </c>
      <c r="D1051" s="38">
        <f>MAX($B$2:B1051)</f>
        <v>69181.34765625</v>
      </c>
      <c r="E1051" s="40">
        <f t="shared" si="64"/>
        <v>-2.7548834231814978E-2</v>
      </c>
      <c r="F1051" s="41">
        <f t="shared" si="65"/>
        <v>149.67188031697404</v>
      </c>
      <c r="G1051" s="42" t="str">
        <f t="shared" si="66"/>
        <v>2026-03</v>
      </c>
    </row>
    <row r="1052" spans="1:7" x14ac:dyDescent="0.25">
      <c r="A1052" s="31">
        <v>46093</v>
      </c>
      <c r="B1052" s="32">
        <v>66253.90625</v>
      </c>
      <c r="C1052" s="33">
        <f t="shared" si="67"/>
        <v>-1.518496627100363E-2</v>
      </c>
      <c r="D1052" s="32">
        <f>MAX($B$2:B1052)</f>
        <v>69181.34765625</v>
      </c>
      <c r="E1052" s="34">
        <f t="shared" si="64"/>
        <v>-4.2315472384203079E-2</v>
      </c>
      <c r="F1052" s="35">
        <f t="shared" si="65"/>
        <v>147.3991178626431</v>
      </c>
      <c r="G1052" s="36" t="str">
        <f t="shared" si="66"/>
        <v>2026-03</v>
      </c>
    </row>
    <row r="1053" spans="1:7" x14ac:dyDescent="0.25">
      <c r="A1053" s="37">
        <v>46094</v>
      </c>
      <c r="B1053" s="38">
        <v>65878.900146484404</v>
      </c>
      <c r="C1053" s="39">
        <f t="shared" si="67"/>
        <v>-5.6601357526084861E-3</v>
      </c>
      <c r="D1053" s="38">
        <f>MAX($B$2:B1053)</f>
        <v>69181.34765625</v>
      </c>
      <c r="E1053" s="40">
        <f t="shared" si="64"/>
        <v>-4.7736096818681184E-2</v>
      </c>
      <c r="F1053" s="41">
        <f t="shared" si="65"/>
        <v>146.5648188457258</v>
      </c>
      <c r="G1053" s="42" t="str">
        <f t="shared" si="66"/>
        <v>2026-03</v>
      </c>
    </row>
    <row r="1054" spans="1:7" x14ac:dyDescent="0.25">
      <c r="A1054" s="31">
        <v>46097</v>
      </c>
      <c r="B1054" s="32">
        <v>66549.3408203125</v>
      </c>
      <c r="C1054" s="33">
        <f t="shared" si="67"/>
        <v>1.0176865010456115E-2</v>
      </c>
      <c r="D1054" s="32">
        <f>MAX($B$2:B1054)</f>
        <v>69181.34765625</v>
      </c>
      <c r="E1054" s="34">
        <f t="shared" si="64"/>
        <v>-3.8045035621674828E-2</v>
      </c>
      <c r="F1054" s="35">
        <f t="shared" si="65"/>
        <v>148.05638922240072</v>
      </c>
      <c r="G1054" s="36" t="str">
        <f t="shared" si="66"/>
        <v>2026-03</v>
      </c>
    </row>
    <row r="1055" spans="1:7" x14ac:dyDescent="0.25">
      <c r="A1055" s="37">
        <v>46098</v>
      </c>
      <c r="B1055" s="38">
        <v>66724.401855468794</v>
      </c>
      <c r="C1055" s="39">
        <f t="shared" si="67"/>
        <v>2.630544991106154E-3</v>
      </c>
      <c r="D1055" s="38">
        <f>MAX($B$2:B1055)</f>
        <v>69181.34765625</v>
      </c>
      <c r="E1055" s="40">
        <f t="shared" si="64"/>
        <v>-3.5514569808459684E-2</v>
      </c>
      <c r="F1055" s="41">
        <f t="shared" si="65"/>
        <v>148.44585821547099</v>
      </c>
      <c r="G1055" s="42" t="str">
        <f t="shared" si="66"/>
        <v>2026-03</v>
      </c>
    </row>
    <row r="1056" spans="1:7" x14ac:dyDescent="0.25">
      <c r="A1056" s="31">
        <v>46099</v>
      </c>
      <c r="B1056" s="32">
        <v>65793.353271484404</v>
      </c>
      <c r="C1056" s="33">
        <f t="shared" si="67"/>
        <v>-1.395364451525738E-2</v>
      </c>
      <c r="D1056" s="32">
        <f>MAX($B$2:B1056)</f>
        <v>69181.34765625</v>
      </c>
      <c r="E1056" s="34">
        <f t="shared" si="64"/>
        <v>-4.8972656641497414E-2</v>
      </c>
      <c r="F1056" s="35">
        <f t="shared" si="65"/>
        <v>146.37449748016999</v>
      </c>
      <c r="G1056" s="36" t="str">
        <f t="shared" si="66"/>
        <v>2026-03</v>
      </c>
    </row>
    <row r="1057" spans="1:7" x14ac:dyDescent="0.25">
      <c r="A1057" s="37">
        <v>46100</v>
      </c>
      <c r="B1057" s="38">
        <v>65631.219482421904</v>
      </c>
      <c r="C1057" s="39">
        <f t="shared" si="67"/>
        <v>-2.4642882753442841E-3</v>
      </c>
      <c r="D1057" s="38">
        <f>MAX($B$2:B1057)</f>
        <v>69181.34765625</v>
      </c>
      <c r="E1057" s="40">
        <f t="shared" si="64"/>
        <v>-5.1316262173267568E-2</v>
      </c>
      <c r="F1057" s="41">
        <f t="shared" si="65"/>
        <v>146.01378852222021</v>
      </c>
      <c r="G1057" s="42" t="str">
        <f t="shared" si="66"/>
        <v>2026-03</v>
      </c>
    </row>
    <row r="1058" spans="1:7" x14ac:dyDescent="0.25">
      <c r="A1058" s="31">
        <v>46101</v>
      </c>
      <c r="B1058" s="32">
        <v>64690.344238281301</v>
      </c>
      <c r="C1058" s="33">
        <f t="shared" si="67"/>
        <v>-1.433578793081236E-2</v>
      </c>
      <c r="D1058" s="32">
        <f>MAX($B$2:B1058)</f>
        <v>69181.34765625</v>
      </c>
      <c r="E1058" s="34">
        <f t="shared" si="64"/>
        <v>-6.491639105216207E-2</v>
      </c>
      <c r="F1058" s="35">
        <f t="shared" si="65"/>
        <v>143.92056581499116</v>
      </c>
      <c r="G1058" s="36" t="str">
        <f t="shared" si="66"/>
        <v>2026-03</v>
      </c>
    </row>
    <row r="1059" spans="1:7" x14ac:dyDescent="0.25">
      <c r="A1059" s="37">
        <v>46104</v>
      </c>
      <c r="B1059" s="38">
        <v>65369.592285156301</v>
      </c>
      <c r="C1059" s="39">
        <f t="shared" si="67"/>
        <v>1.0499991225476402E-2</v>
      </c>
      <c r="D1059" s="38">
        <f>MAX($B$2:B1059)</f>
        <v>69181.34765625</v>
      </c>
      <c r="E1059" s="40">
        <f t="shared" si="64"/>
        <v>-5.5098021363122918E-2</v>
      </c>
      <c r="F1059" s="41">
        <f t="shared" si="65"/>
        <v>145.43173049321419</v>
      </c>
      <c r="G1059" s="42" t="str">
        <f t="shared" si="66"/>
        <v>2026-03</v>
      </c>
    </row>
    <row r="1060" spans="1:7" x14ac:dyDescent="0.25">
      <c r="A1060" s="31">
        <v>46105</v>
      </c>
      <c r="B1060" s="32">
        <v>65150.158691406301</v>
      </c>
      <c r="C1060" s="33">
        <f t="shared" si="67"/>
        <v>-3.3568144771773945E-3</v>
      </c>
      <c r="D1060" s="32">
        <f>MAX($B$2:B1060)</f>
        <v>69181.34765625</v>
      </c>
      <c r="E1060" s="34">
        <f t="shared" si="64"/>
        <v>-5.8269882004524876E-2</v>
      </c>
      <c r="F1060" s="35">
        <f t="shared" si="65"/>
        <v>144.94354315485359</v>
      </c>
      <c r="G1060" s="36" t="str">
        <f t="shared" si="66"/>
        <v>2026-03</v>
      </c>
    </row>
    <row r="1061" spans="1:7" x14ac:dyDescent="0.25">
      <c r="A1061" s="37">
        <v>46106</v>
      </c>
      <c r="B1061" s="38">
        <v>65513.220214843801</v>
      </c>
      <c r="C1061" s="39">
        <f t="shared" si="67"/>
        <v>5.5726882440485515E-3</v>
      </c>
      <c r="D1061" s="38">
        <f>MAX($B$2:B1061)</f>
        <v>69181.34765625</v>
      </c>
      <c r="E1061" s="40">
        <f t="shared" si="64"/>
        <v>-5.3021913646905006E-2</v>
      </c>
      <c r="F1061" s="41">
        <f t="shared" si="65"/>
        <v>145.7512683338434</v>
      </c>
      <c r="G1061" s="42" t="str">
        <f t="shared" si="66"/>
        <v>2026-03</v>
      </c>
    </row>
    <row r="1062" spans="1:7" x14ac:dyDescent="0.25">
      <c r="A1062" s="31">
        <v>46107</v>
      </c>
      <c r="B1062" s="32">
        <v>64343.2373046875</v>
      </c>
      <c r="C1062" s="33">
        <f t="shared" si="67"/>
        <v>-1.7858729983344812E-2</v>
      </c>
      <c r="D1062" s="32">
        <f>MAX($B$2:B1062)</f>
        <v>69181.34765625</v>
      </c>
      <c r="E1062" s="34">
        <f t="shared" si="64"/>
        <v>-6.9933739591229505E-2</v>
      </c>
      <c r="F1062" s="35">
        <f t="shared" si="65"/>
        <v>143.14833578793926</v>
      </c>
      <c r="G1062" s="36" t="str">
        <f t="shared" si="66"/>
        <v>2026-03</v>
      </c>
    </row>
    <row r="1063" spans="1:7" x14ac:dyDescent="0.25">
      <c r="A1063" s="37">
        <v>46108</v>
      </c>
      <c r="B1063" s="38">
        <v>63246.063232421897</v>
      </c>
      <c r="C1063" s="39">
        <f t="shared" si="67"/>
        <v>-1.7051894157424918E-2</v>
      </c>
      <c r="D1063" s="38">
        <f>MAX($B$2:B1063)</f>
        <v>69181.34765625</v>
      </c>
      <c r="E1063" s="40">
        <f t="shared" si="64"/>
        <v>-8.5793131023111813E-2</v>
      </c>
      <c r="F1063" s="41">
        <f t="shared" si="65"/>
        <v>140.7073855172718</v>
      </c>
      <c r="G1063" s="42" t="str">
        <f t="shared" si="66"/>
        <v>2026-03</v>
      </c>
    </row>
    <row r="1064" spans="1:7" x14ac:dyDescent="0.25">
      <c r="A1064" s="31">
        <v>46111</v>
      </c>
      <c r="B1064" s="32">
        <v>63034.606933593801</v>
      </c>
      <c r="C1064" s="33">
        <f t="shared" si="67"/>
        <v>-3.3433906874332786E-3</v>
      </c>
      <c r="D1064" s="32">
        <f>MAX($B$2:B1064)</f>
        <v>69181.34765625</v>
      </c>
      <c r="E1064" s="34">
        <f t="shared" si="64"/>
        <v>-8.8849681755236665E-2</v>
      </c>
      <c r="F1064" s="35">
        <f t="shared" si="65"/>
        <v>140.23694575488025</v>
      </c>
      <c r="G1064" s="36" t="str">
        <f t="shared" si="66"/>
        <v>2026-03</v>
      </c>
    </row>
    <row r="1065" spans="1:7" x14ac:dyDescent="0.25">
      <c r="A1065" s="37">
        <v>46112</v>
      </c>
      <c r="B1065" s="38">
        <v>64866.888427734397</v>
      </c>
      <c r="C1065" s="39">
        <f t="shared" si="67"/>
        <v>2.906786578475673E-2</v>
      </c>
      <c r="D1065" s="38">
        <f>MAX($B$2:B1065)</f>
        <v>69181.34765625</v>
      </c>
      <c r="E1065" s="40">
        <f t="shared" si="64"/>
        <v>-6.2364486594759572E-2</v>
      </c>
      <c r="F1065" s="41">
        <f t="shared" si="65"/>
        <v>144.31333447214732</v>
      </c>
      <c r="G1065" s="42" t="str">
        <f t="shared" si="66"/>
        <v>2026-03</v>
      </c>
    </row>
    <row r="1066" spans="1:7" x14ac:dyDescent="0.25">
      <c r="A1066" s="31">
        <v>46113</v>
      </c>
      <c r="B1066" s="32">
        <v>65355.627441406301</v>
      </c>
      <c r="C1066" s="33">
        <f t="shared" si="67"/>
        <v>7.534491410303934E-3</v>
      </c>
      <c r="D1066" s="32">
        <f>MAX($B$2:B1066)</f>
        <v>69181.34765625</v>
      </c>
      <c r="E1066" s="34">
        <f t="shared" si="64"/>
        <v>-5.5299879873011881E-2</v>
      </c>
      <c r="F1066" s="35">
        <f t="shared" si="65"/>
        <v>145.40066205112004</v>
      </c>
      <c r="G1066" s="36" t="str">
        <f t="shared" si="66"/>
        <v>2026-04</v>
      </c>
    </row>
    <row r="1067" spans="1:7" x14ac:dyDescent="0.25">
      <c r="A1067" s="37">
        <v>46114</v>
      </c>
      <c r="B1067" s="38">
        <v>65414.4775390625</v>
      </c>
      <c r="C1067" s="39">
        <f t="shared" si="67"/>
        <v>9.0045953133821577E-4</v>
      </c>
      <c r="D1067" s="38">
        <f>MAX($B$2:B1067)</f>
        <v>69181.34765625</v>
      </c>
      <c r="E1067" s="40">
        <f t="shared" si="64"/>
        <v>-5.4449215645587246E-2</v>
      </c>
      <c r="F1067" s="41">
        <f t="shared" si="65"/>
        <v>145.53158946312683</v>
      </c>
      <c r="G1067" s="42" t="str">
        <f t="shared" si="66"/>
        <v>2026-04</v>
      </c>
    </row>
    <row r="1068" spans="1:7" x14ac:dyDescent="0.25">
      <c r="A1068" s="31">
        <v>46118</v>
      </c>
      <c r="B1068" s="32">
        <v>65723.681640625</v>
      </c>
      <c r="C1068" s="33">
        <f t="shared" si="67"/>
        <v>4.7268450837638643E-3</v>
      </c>
      <c r="D1068" s="32">
        <f>MAX($B$2:B1068)</f>
        <v>69181.34765625</v>
      </c>
      <c r="E1068" s="34">
        <f t="shared" si="64"/>
        <v>-4.99797435691125E-2</v>
      </c>
      <c r="F1068" s="35">
        <f t="shared" si="65"/>
        <v>146.21949474131296</v>
      </c>
      <c r="G1068" s="36" t="str">
        <f t="shared" si="66"/>
        <v>2026-04</v>
      </c>
    </row>
    <row r="1069" spans="1:7" x14ac:dyDescent="0.25">
      <c r="A1069" s="37">
        <v>46119</v>
      </c>
      <c r="B1069" s="38">
        <v>65752.600097656294</v>
      </c>
      <c r="C1069" s="39">
        <f t="shared" si="67"/>
        <v>4.4000056462789594E-4</v>
      </c>
      <c r="D1069" s="38">
        <f>MAX($B$2:B1069)</f>
        <v>69181.34765625</v>
      </c>
      <c r="E1069" s="40">
        <f t="shared" si="64"/>
        <v>-4.9561734119875078E-2</v>
      </c>
      <c r="F1069" s="41">
        <f t="shared" si="65"/>
        <v>146.28383140155873</v>
      </c>
      <c r="G1069" s="42" t="str">
        <f t="shared" si="66"/>
        <v>2026-04</v>
      </c>
    </row>
    <row r="1070" spans="1:7" x14ac:dyDescent="0.25">
      <c r="A1070" s="31">
        <v>46120</v>
      </c>
      <c r="B1070" s="32">
        <v>67427.294921875</v>
      </c>
      <c r="C1070" s="33">
        <f t="shared" si="67"/>
        <v>2.5469636512190252E-2</v>
      </c>
      <c r="D1070" s="32">
        <f>MAX($B$2:B1070)</f>
        <v>69181.34765625</v>
      </c>
      <c r="E1070" s="34">
        <f t="shared" si="64"/>
        <v>-2.5354416960631898E-2</v>
      </c>
      <c r="F1070" s="35">
        <f t="shared" si="65"/>
        <v>150.00962741496696</v>
      </c>
      <c r="G1070" s="36" t="str">
        <f t="shared" si="66"/>
        <v>2026-04</v>
      </c>
    </row>
    <row r="1071" spans="1:7" x14ac:dyDescent="0.25">
      <c r="A1071" s="37">
        <v>46121</v>
      </c>
      <c r="B1071" s="38">
        <v>67816.2841796875</v>
      </c>
      <c r="C1071" s="39">
        <f t="shared" si="67"/>
        <v>5.7690176991855857E-3</v>
      </c>
      <c r="D1071" s="38">
        <f>MAX($B$2:B1071)</f>
        <v>69181.34765625</v>
      </c>
      <c r="E1071" s="40">
        <f t="shared" si="64"/>
        <v>-1.9731669341644831E-2</v>
      </c>
      <c r="F1071" s="41">
        <f t="shared" si="65"/>
        <v>150.87503561057213</v>
      </c>
      <c r="G1071" s="42" t="str">
        <f t="shared" si="66"/>
        <v>2026-04</v>
      </c>
    </row>
    <row r="1072" spans="1:7" x14ac:dyDescent="0.25">
      <c r="A1072" s="31">
        <v>46122</v>
      </c>
      <c r="B1072" s="32">
        <v>67771.405029296904</v>
      </c>
      <c r="C1072" s="33">
        <f t="shared" si="67"/>
        <v>-6.6177542655809773E-4</v>
      </c>
      <c r="D1072" s="32">
        <f>MAX($B$2:B1072)</f>
        <v>69181.34765625</v>
      </c>
      <c r="E1072" s="34">
        <f t="shared" si="64"/>
        <v>-2.0380386834307651E-2</v>
      </c>
      <c r="F1072" s="35">
        <f t="shared" si="65"/>
        <v>150.77519021952398</v>
      </c>
      <c r="G1072" s="36" t="str">
        <f t="shared" si="66"/>
        <v>2026-04</v>
      </c>
    </row>
    <row r="1073" spans="1:7" x14ac:dyDescent="0.25">
      <c r="A1073" s="37">
        <v>46125</v>
      </c>
      <c r="B1073" s="38">
        <v>68433.697509765596</v>
      </c>
      <c r="C1073" s="39">
        <f t="shared" si="67"/>
        <v>9.7724472464808532E-3</v>
      </c>
      <c r="D1073" s="38">
        <f>MAX($B$2:B1073)</f>
        <v>69181.34765625</v>
      </c>
      <c r="E1073" s="40">
        <f t="shared" si="64"/>
        <v>-1.0807105843027909E-2</v>
      </c>
      <c r="F1073" s="41">
        <f t="shared" si="65"/>
        <v>152.24863281202238</v>
      </c>
      <c r="G1073" s="42" t="str">
        <f t="shared" si="66"/>
        <v>2026-04</v>
      </c>
    </row>
    <row r="1074" spans="1:7" x14ac:dyDescent="0.25">
      <c r="A1074" s="31">
        <v>46126</v>
      </c>
      <c r="B1074" s="32">
        <v>69267.5537109375</v>
      </c>
      <c r="C1074" s="33">
        <f t="shared" si="67"/>
        <v>1.2184877209841183E-2</v>
      </c>
      <c r="D1074" s="32">
        <f>MAX($B$2:B1074)</f>
        <v>69267.5537109375</v>
      </c>
      <c r="E1074" s="34">
        <f t="shared" si="64"/>
        <v>0</v>
      </c>
      <c r="F1074" s="35">
        <f t="shared" si="65"/>
        <v>154.10376370820308</v>
      </c>
      <c r="G1074" s="36" t="str">
        <f t="shared" si="66"/>
        <v>2026-04</v>
      </c>
    </row>
    <row r="1075" spans="1:7" x14ac:dyDescent="0.25">
      <c r="A1075" s="37">
        <v>46127</v>
      </c>
      <c r="B1075" s="38">
        <v>69814.141845703096</v>
      </c>
      <c r="C1075" s="39">
        <f t="shared" si="67"/>
        <v>7.8909692270436871E-3</v>
      </c>
      <c r="D1075" s="38">
        <f>MAX($B$2:B1075)</f>
        <v>69814.141845703096</v>
      </c>
      <c r="E1075" s="40">
        <f t="shared" si="64"/>
        <v>0</v>
      </c>
      <c r="F1075" s="41">
        <f t="shared" si="65"/>
        <v>155.3197917653961</v>
      </c>
      <c r="G1075" s="42" t="str">
        <f t="shared" si="66"/>
        <v>2026-04</v>
      </c>
    </row>
    <row r="1076" spans="1:7" x14ac:dyDescent="0.25">
      <c r="A1076" s="31">
        <v>46128</v>
      </c>
      <c r="B1076" s="32">
        <v>69985.699462890596</v>
      </c>
      <c r="C1076" s="33">
        <f t="shared" si="67"/>
        <v>2.4573476469376132E-3</v>
      </c>
      <c r="D1076" s="32">
        <f>MAX($B$2:B1076)</f>
        <v>69985.699462890596</v>
      </c>
      <c r="E1076" s="34">
        <f t="shared" si="64"/>
        <v>0</v>
      </c>
      <c r="F1076" s="35">
        <f t="shared" si="65"/>
        <v>155.70146649021362</v>
      </c>
      <c r="G1076" s="36" t="str">
        <f t="shared" si="66"/>
        <v>2026-04</v>
      </c>
    </row>
    <row r="1077" spans="1:7" x14ac:dyDescent="0.25">
      <c r="A1077" s="37">
        <v>46129</v>
      </c>
      <c r="B1077" s="38">
        <v>70831.524658203096</v>
      </c>
      <c r="C1077" s="39">
        <f t="shared" si="67"/>
        <v>1.2085686101644066E-2</v>
      </c>
      <c r="D1077" s="38">
        <f>MAX($B$2:B1077)</f>
        <v>70831.524658203096</v>
      </c>
      <c r="E1077" s="40">
        <f t="shared" si="64"/>
        <v>0</v>
      </c>
      <c r="F1077" s="41">
        <f t="shared" si="65"/>
        <v>157.58322553977999</v>
      </c>
      <c r="G1077" s="42" t="str">
        <f t="shared" si="66"/>
        <v>2026-04</v>
      </c>
    </row>
    <row r="1078" spans="1:7" x14ac:dyDescent="0.25">
      <c r="A1078" s="31">
        <v>46132</v>
      </c>
      <c r="B1078" s="32">
        <v>70689.880371093794</v>
      </c>
      <c r="C1078" s="33">
        <f t="shared" si="67"/>
        <v>-1.9997351150183862E-3</v>
      </c>
      <c r="D1078" s="32">
        <f>MAX($B$2:B1078)</f>
        <v>70831.524658203096</v>
      </c>
      <c r="E1078" s="34">
        <f t="shared" si="64"/>
        <v>-1.9997351150183862E-3</v>
      </c>
      <c r="F1078" s="35">
        <f t="shared" si="65"/>
        <v>157.26810083013024</v>
      </c>
      <c r="G1078" s="36" t="str">
        <f t="shared" si="66"/>
        <v>2026-04</v>
      </c>
    </row>
    <row r="1079" spans="1:7" x14ac:dyDescent="0.25">
      <c r="A1079" s="37">
        <v>46133</v>
      </c>
      <c r="B1079" s="38">
        <v>70227.081298828096</v>
      </c>
      <c r="C1079" s="39">
        <f t="shared" si="67"/>
        <v>-6.5468928485404865E-3</v>
      </c>
      <c r="D1079" s="38">
        <f>MAX($B$2:B1079)</f>
        <v>70831.524658203096</v>
      </c>
      <c r="E1079" s="40">
        <f t="shared" si="64"/>
        <v>-8.5335359120354282E-3</v>
      </c>
      <c r="F1079" s="41">
        <f t="shared" si="65"/>
        <v>156.2384834255019</v>
      </c>
      <c r="G1079" s="42" t="str">
        <f t="shared" si="66"/>
        <v>2026-04</v>
      </c>
    </row>
    <row r="1080" spans="1:7" x14ac:dyDescent="0.25">
      <c r="A1080" s="31">
        <v>46134</v>
      </c>
      <c r="B1080" s="32">
        <v>70938.250732421904</v>
      </c>
      <c r="C1080" s="33">
        <f t="shared" si="67"/>
        <v>1.0126712095119839E-2</v>
      </c>
      <c r="D1080" s="32">
        <f>MAX($B$2:B1080)</f>
        <v>70938.250732421904</v>
      </c>
      <c r="E1080" s="34">
        <f t="shared" si="64"/>
        <v>0</v>
      </c>
      <c r="F1080" s="35">
        <f t="shared" si="65"/>
        <v>157.82066556533013</v>
      </c>
      <c r="G1080" s="36" t="str">
        <f t="shared" si="66"/>
        <v>2026-04</v>
      </c>
    </row>
    <row r="1081" spans="1:7" x14ac:dyDescent="0.25">
      <c r="A1081" s="37">
        <v>46135</v>
      </c>
      <c r="B1081" s="38">
        <v>70662.957763671904</v>
      </c>
      <c r="C1081" s="39">
        <f t="shared" si="67"/>
        <v>-3.8807408683984024E-3</v>
      </c>
      <c r="D1081" s="38">
        <f>MAX($B$2:B1081)</f>
        <v>70938.250732421904</v>
      </c>
      <c r="E1081" s="40">
        <f t="shared" si="64"/>
        <v>-3.8807408683984024E-3</v>
      </c>
      <c r="F1081" s="41">
        <f t="shared" si="65"/>
        <v>157.20820445859292</v>
      </c>
      <c r="G1081" s="42" t="str">
        <f t="shared" si="66"/>
        <v>2026-04</v>
      </c>
    </row>
    <row r="1082" spans="1:7" x14ac:dyDescent="0.25">
      <c r="A1082" s="31">
        <v>46136</v>
      </c>
      <c r="B1082" s="32">
        <v>71210.546875</v>
      </c>
      <c r="C1082" s="33">
        <f t="shared" si="67"/>
        <v>7.7493092372311612E-3</v>
      </c>
      <c r="D1082" s="32">
        <f>MAX($B$2:B1082)</f>
        <v>71210.546875</v>
      </c>
      <c r="E1082" s="34">
        <f t="shared" si="64"/>
        <v>0</v>
      </c>
      <c r="F1082" s="35">
        <f t="shared" si="65"/>
        <v>158.42645944957238</v>
      </c>
      <c r="G1082" s="36" t="str">
        <f t="shared" si="66"/>
        <v>2026-04</v>
      </c>
    </row>
    <row r="1083" spans="1:7" x14ac:dyDescent="0.25">
      <c r="A1083" s="37">
        <v>46139</v>
      </c>
      <c r="B1083" s="38">
        <v>71333.2275390625</v>
      </c>
      <c r="C1083" s="39">
        <f t="shared" si="67"/>
        <v>1.722787837563633E-3</v>
      </c>
      <c r="D1083" s="38">
        <f>MAX($B$2:B1083)</f>
        <v>71333.2275390625</v>
      </c>
      <c r="E1083" s="40">
        <f t="shared" si="64"/>
        <v>0</v>
      </c>
      <c r="F1083" s="41">
        <f t="shared" si="65"/>
        <v>158.69939462706037</v>
      </c>
      <c r="G1083" s="42" t="str">
        <f t="shared" si="66"/>
        <v>2026-04</v>
      </c>
    </row>
    <row r="1084" spans="1:7" x14ac:dyDescent="0.25">
      <c r="A1084" s="31">
        <v>46140</v>
      </c>
      <c r="B1084" s="32">
        <v>70986.120605468794</v>
      </c>
      <c r="C1084" s="33">
        <f t="shared" si="67"/>
        <v>-4.8659922671188127E-3</v>
      </c>
      <c r="D1084" s="32">
        <f>MAX($B$2:B1084)</f>
        <v>71333.2275390625</v>
      </c>
      <c r="E1084" s="34">
        <f t="shared" si="64"/>
        <v>-4.8659922671188127E-3</v>
      </c>
      <c r="F1084" s="35">
        <f t="shared" si="65"/>
        <v>157.92716460000867</v>
      </c>
      <c r="G1084" s="36" t="str">
        <f t="shared" si="66"/>
        <v>2026-04</v>
      </c>
    </row>
    <row r="1085" spans="1:7" x14ac:dyDescent="0.25">
      <c r="A1085" s="37">
        <v>46141</v>
      </c>
      <c r="B1085" s="38">
        <v>70975.152587890596</v>
      </c>
      <c r="C1085" s="39">
        <f t="shared" si="67"/>
        <v>-1.5450932498706216E-4</v>
      </c>
      <c r="D1085" s="38">
        <f>MAX($B$2:B1085)</f>
        <v>71333.2275390625</v>
      </c>
      <c r="E1085" s="40">
        <f t="shared" si="64"/>
        <v>-5.0197497509252287E-3</v>
      </c>
      <c r="F1085" s="41">
        <f t="shared" si="65"/>
        <v>157.9027633804092</v>
      </c>
      <c r="G1085" s="42" t="str">
        <f t="shared" si="66"/>
        <v>2026-04</v>
      </c>
    </row>
    <row r="1086" spans="1:7" x14ac:dyDescent="0.25">
      <c r="A1086" s="31">
        <v>46142</v>
      </c>
      <c r="B1086" s="32">
        <v>71681.329345703096</v>
      </c>
      <c r="C1086" s="33">
        <f t="shared" si="67"/>
        <v>9.9496335275648384E-3</v>
      </c>
      <c r="D1086" s="32">
        <f>MAX($B$2:B1086)</f>
        <v>71681.329345703096</v>
      </c>
      <c r="E1086" s="34">
        <f t="shared" si="64"/>
        <v>0</v>
      </c>
      <c r="F1086" s="35">
        <f t="shared" si="65"/>
        <v>159.47383800903404</v>
      </c>
      <c r="G1086" s="36" t="str">
        <f t="shared" si="66"/>
        <v>2026-04</v>
      </c>
    </row>
    <row r="1087" spans="1:7" x14ac:dyDescent="0.25">
      <c r="A1087" s="37">
        <v>46143</v>
      </c>
      <c r="B1087" s="38">
        <v>71879.821777343794</v>
      </c>
      <c r="C1087" s="39">
        <f t="shared" si="67"/>
        <v>2.7690952923515866E-3</v>
      </c>
      <c r="D1087" s="38">
        <f>MAX($B$2:B1087)</f>
        <v>71879.821777343794</v>
      </c>
      <c r="E1087" s="40">
        <f t="shared" si="64"/>
        <v>0</v>
      </c>
      <c r="F1087" s="41">
        <f t="shared" si="65"/>
        <v>159.91543626311812</v>
      </c>
      <c r="G1087" s="42" t="str">
        <f t="shared" si="66"/>
        <v>2026-05</v>
      </c>
    </row>
    <row r="1088" spans="1:7" x14ac:dyDescent="0.25">
      <c r="A1088" s="31">
        <v>46146</v>
      </c>
      <c r="B1088" s="32">
        <v>71616.497802734404</v>
      </c>
      <c r="C1088" s="33">
        <f t="shared" si="67"/>
        <v>-3.6633921467567054E-3</v>
      </c>
      <c r="D1088" s="32">
        <f>MAX($B$2:B1088)</f>
        <v>71879.821777343794</v>
      </c>
      <c r="E1088" s="34">
        <f t="shared" si="64"/>
        <v>-3.6633921467567054E-3</v>
      </c>
      <c r="F1088" s="35">
        <f t="shared" si="65"/>
        <v>159.32960330976664</v>
      </c>
      <c r="G1088" s="36" t="str">
        <f t="shared" si="66"/>
        <v>2026-05</v>
      </c>
    </row>
    <row r="1089" spans="1:7" x14ac:dyDescent="0.25">
      <c r="A1089" s="37">
        <v>46147</v>
      </c>
      <c r="B1089" s="38">
        <v>72191.021728515596</v>
      </c>
      <c r="C1089" s="39">
        <f t="shared" si="67"/>
        <v>8.022228723941538E-3</v>
      </c>
      <c r="D1089" s="38">
        <f>MAX($B$2:B1089)</f>
        <v>72191.021728515596</v>
      </c>
      <c r="E1089" s="40">
        <f t="shared" si="64"/>
        <v>0</v>
      </c>
      <c r="F1089" s="41">
        <f t="shared" si="65"/>
        <v>160.60778183001247</v>
      </c>
      <c r="G1089" s="42" t="str">
        <f t="shared" si="66"/>
        <v>2026-05</v>
      </c>
    </row>
    <row r="1090" spans="1:7" x14ac:dyDescent="0.25">
      <c r="A1090" s="31">
        <v>46148</v>
      </c>
      <c r="B1090" s="32">
        <v>73194.43359375</v>
      </c>
      <c r="C1090" s="33">
        <f t="shared" si="67"/>
        <v>1.3899399692774539E-2</v>
      </c>
      <c r="D1090" s="32">
        <f>MAX($B$2:B1090)</f>
        <v>73194.43359375</v>
      </c>
      <c r="E1090" s="34">
        <f t="shared" ref="E1090:E1130" si="68">B1090/D1090-1</f>
        <v>0</v>
      </c>
      <c r="F1090" s="35">
        <f t="shared" ref="F1090:F1130" si="69">B1090/$B$2*100</f>
        <v>162.84013358343771</v>
      </c>
      <c r="G1090" s="36" t="str">
        <f t="shared" ref="G1090:G1130" si="70">TEXT(A1090,"YYYY-MM")</f>
        <v>2026-05</v>
      </c>
    </row>
    <row r="1091" spans="1:7" x14ac:dyDescent="0.25">
      <c r="A1091" s="37">
        <v>46149</v>
      </c>
      <c r="B1091" s="38">
        <v>72970.013427734404</v>
      </c>
      <c r="C1091" s="39">
        <f t="shared" ref="C1091:C1130" si="71">B1091/B1090-1</f>
        <v>-3.0660824190701375E-3</v>
      </c>
      <c r="D1091" s="38">
        <f>MAX($B$2:B1091)</f>
        <v>73194.43359375</v>
      </c>
      <c r="E1091" s="40">
        <f t="shared" si="68"/>
        <v>-3.0660824190701375E-3</v>
      </c>
      <c r="F1091" s="41">
        <f t="shared" si="69"/>
        <v>162.34085231273852</v>
      </c>
      <c r="G1091" s="42" t="str">
        <f t="shared" si="70"/>
        <v>2026-05</v>
      </c>
    </row>
    <row r="1092" spans="1:7" x14ac:dyDescent="0.25">
      <c r="A1092" s="31">
        <v>46150</v>
      </c>
      <c r="B1092" s="32">
        <v>73572.4609375</v>
      </c>
      <c r="C1092" s="33">
        <f t="shared" si="71"/>
        <v>8.2560970111678067E-3</v>
      </c>
      <c r="D1092" s="32">
        <f>MAX($B$2:B1092)</f>
        <v>73572.4609375</v>
      </c>
      <c r="E1092" s="34">
        <f t="shared" si="68"/>
        <v>0</v>
      </c>
      <c r="F1092" s="35">
        <f t="shared" si="69"/>
        <v>163.68115413830816</v>
      </c>
      <c r="G1092" s="36" t="str">
        <f t="shared" si="70"/>
        <v>2026-05</v>
      </c>
    </row>
    <row r="1093" spans="1:7" x14ac:dyDescent="0.25">
      <c r="A1093" s="37">
        <v>46153</v>
      </c>
      <c r="B1093" s="38">
        <v>73740.026855468794</v>
      </c>
      <c r="C1093" s="39">
        <f t="shared" si="71"/>
        <v>2.277563042388131E-3</v>
      </c>
      <c r="D1093" s="38">
        <f>MAX($B$2:B1093)</f>
        <v>73740.026855468794</v>
      </c>
      <c r="E1093" s="40">
        <f t="shared" si="68"/>
        <v>0</v>
      </c>
      <c r="F1093" s="41">
        <f t="shared" si="69"/>
        <v>164.053948285709</v>
      </c>
      <c r="G1093" s="42" t="str">
        <f t="shared" si="70"/>
        <v>2026-05</v>
      </c>
    </row>
    <row r="1094" spans="1:7" x14ac:dyDescent="0.25">
      <c r="A1094" s="31">
        <v>46154</v>
      </c>
      <c r="B1094" s="32">
        <v>73628.314208984404</v>
      </c>
      <c r="C1094" s="33">
        <f t="shared" si="71"/>
        <v>-1.5149526145867842E-3</v>
      </c>
      <c r="D1094" s="32">
        <f>MAX($B$2:B1094)</f>
        <v>73740.026855468794</v>
      </c>
      <c r="E1094" s="34">
        <f t="shared" si="68"/>
        <v>-1.5149526145867842E-3</v>
      </c>
      <c r="F1094" s="35">
        <f t="shared" si="69"/>
        <v>163.80541432782027</v>
      </c>
      <c r="G1094" s="36" t="str">
        <f t="shared" si="70"/>
        <v>2026-05</v>
      </c>
    </row>
    <row r="1095" spans="1:7" x14ac:dyDescent="0.25">
      <c r="A1095" s="37">
        <v>46155</v>
      </c>
      <c r="B1095" s="38">
        <v>74040.252685546904</v>
      </c>
      <c r="C1095" s="39">
        <f t="shared" si="71"/>
        <v>5.59483781461112E-3</v>
      </c>
      <c r="D1095" s="38">
        <f>MAX($B$2:B1095)</f>
        <v>74040.252685546904</v>
      </c>
      <c r="E1095" s="40">
        <f t="shared" si="68"/>
        <v>0</v>
      </c>
      <c r="F1095" s="41">
        <f t="shared" si="69"/>
        <v>164.72187905413961</v>
      </c>
      <c r="G1095" s="42" t="str">
        <f t="shared" si="70"/>
        <v>2026-05</v>
      </c>
    </row>
    <row r="1096" spans="1:7" x14ac:dyDescent="0.25">
      <c r="A1096" s="31">
        <v>46156</v>
      </c>
      <c r="B1096" s="32">
        <v>74624.749755859404</v>
      </c>
      <c r="C1096" s="33">
        <f t="shared" si="71"/>
        <v>7.8943149045545002E-3</v>
      </c>
      <c r="D1096" s="32">
        <f>MAX($B$2:B1096)</f>
        <v>74624.749755859404</v>
      </c>
      <c r="E1096" s="34">
        <f t="shared" si="68"/>
        <v>0</v>
      </c>
      <c r="F1096" s="35">
        <f t="shared" si="69"/>
        <v>166.02224543906297</v>
      </c>
      <c r="G1096" s="36" t="str">
        <f t="shared" si="70"/>
        <v>2026-05</v>
      </c>
    </row>
    <row r="1097" spans="1:7" x14ac:dyDescent="0.25">
      <c r="A1097" s="37">
        <v>46157</v>
      </c>
      <c r="B1097" s="38">
        <v>73727.062988281294</v>
      </c>
      <c r="C1097" s="39">
        <f t="shared" si="71"/>
        <v>-1.2029343756795985E-2</v>
      </c>
      <c r="D1097" s="38">
        <f>MAX($B$2:B1097)</f>
        <v>74624.749755859404</v>
      </c>
      <c r="E1097" s="40">
        <f t="shared" si="68"/>
        <v>-1.2029343756795985E-2</v>
      </c>
      <c r="F1097" s="41">
        <f t="shared" si="69"/>
        <v>164.02510677740133</v>
      </c>
      <c r="G1097" s="42" t="str">
        <f t="shared" si="70"/>
        <v>2026-05</v>
      </c>
    </row>
    <row r="1098" spans="1:7" x14ac:dyDescent="0.25">
      <c r="A1098" s="31">
        <v>46160</v>
      </c>
      <c r="B1098" s="32">
        <v>73675.1953125</v>
      </c>
      <c r="C1098" s="33">
        <f t="shared" si="71"/>
        <v>-7.035093177323315E-4</v>
      </c>
      <c r="D1098" s="32">
        <f>MAX($B$2:B1098)</f>
        <v>74624.749755859404</v>
      </c>
      <c r="E1098" s="34">
        <f t="shared" si="68"/>
        <v>-1.2724390319109213E-2</v>
      </c>
      <c r="F1098" s="35">
        <f t="shared" si="69"/>
        <v>163.90971358644137</v>
      </c>
      <c r="G1098" s="36" t="str">
        <f t="shared" si="70"/>
        <v>2026-05</v>
      </c>
    </row>
    <row r="1099" spans="1:7" x14ac:dyDescent="0.25">
      <c r="A1099" s="37">
        <v>46161</v>
      </c>
      <c r="B1099" s="38">
        <v>73184.460449218794</v>
      </c>
      <c r="C1099" s="39">
        <f t="shared" si="71"/>
        <v>-6.6607880874928194E-3</v>
      </c>
      <c r="D1099" s="38">
        <f>MAX($B$2:B1099)</f>
        <v>74624.749755859404</v>
      </c>
      <c r="E1099" s="40">
        <f t="shared" si="68"/>
        <v>-1.9300423939143885E-2</v>
      </c>
      <c r="F1099" s="41">
        <f t="shared" si="69"/>
        <v>162.81794571876046</v>
      </c>
      <c r="G1099" s="42" t="str">
        <f t="shared" si="70"/>
        <v>2026-05</v>
      </c>
    </row>
    <row r="1100" spans="1:7" x14ac:dyDescent="0.25">
      <c r="A1100" s="31">
        <v>46162</v>
      </c>
      <c r="B1100" s="32">
        <v>73934.527587890596</v>
      </c>
      <c r="C1100" s="33">
        <f t="shared" si="71"/>
        <v>1.0248994582562565E-2</v>
      </c>
      <c r="D1100" s="32">
        <f>MAX($B$2:B1100)</f>
        <v>74624.749755859404</v>
      </c>
      <c r="E1100" s="34">
        <f t="shared" si="68"/>
        <v>-9.2492392969748538E-3</v>
      </c>
      <c r="F1100" s="35">
        <f t="shared" si="69"/>
        <v>164.48666596237598</v>
      </c>
      <c r="G1100" s="36" t="str">
        <f t="shared" si="70"/>
        <v>2026-05</v>
      </c>
    </row>
    <row r="1101" spans="1:7" x14ac:dyDescent="0.25">
      <c r="A1101" s="37">
        <v>46163</v>
      </c>
      <c r="B1101" s="38">
        <v>74081.146240234404</v>
      </c>
      <c r="C1101" s="39">
        <f t="shared" si="71"/>
        <v>1.9830877010678094E-3</v>
      </c>
      <c r="D1101" s="38">
        <f>MAX($B$2:B1101)</f>
        <v>74624.749755859404</v>
      </c>
      <c r="E1101" s="40">
        <f t="shared" si="68"/>
        <v>-7.2844936486010647E-3</v>
      </c>
      <c r="F1101" s="41">
        <f t="shared" si="69"/>
        <v>164.81285744663563</v>
      </c>
      <c r="G1101" s="42" t="str">
        <f t="shared" si="70"/>
        <v>2026-05</v>
      </c>
    </row>
    <row r="1102" spans="1:7" x14ac:dyDescent="0.25">
      <c r="A1102" s="31">
        <v>46164</v>
      </c>
      <c r="B1102" s="32">
        <v>74372.399902343794</v>
      </c>
      <c r="C1102" s="33">
        <f t="shared" si="71"/>
        <v>3.9315490768041528E-3</v>
      </c>
      <c r="D1102" s="32">
        <f>MAX($B$2:B1102)</f>
        <v>74624.749755859404</v>
      </c>
      <c r="E1102" s="34">
        <f t="shared" si="68"/>
        <v>-3.3815839160760142E-3</v>
      </c>
      <c r="F1102" s="35">
        <f t="shared" si="69"/>
        <v>165.46082728417539</v>
      </c>
      <c r="G1102" s="36" t="str">
        <f t="shared" si="70"/>
        <v>2026-05</v>
      </c>
    </row>
    <row r="1103" spans="1:7" x14ac:dyDescent="0.25">
      <c r="A1103" s="37">
        <v>46168</v>
      </c>
      <c r="B1103" s="38">
        <v>74866.131591796904</v>
      </c>
      <c r="C1103" s="39">
        <f t="shared" si="71"/>
        <v>6.63864135218728E-3</v>
      </c>
      <c r="D1103" s="38">
        <f>MAX($B$2:B1103)</f>
        <v>74866.131591796904</v>
      </c>
      <c r="E1103" s="40">
        <f t="shared" si="68"/>
        <v>0</v>
      </c>
      <c r="F1103" s="41">
        <f t="shared" si="69"/>
        <v>166.55926237435125</v>
      </c>
      <c r="G1103" s="42" t="str">
        <f t="shared" si="70"/>
        <v>2026-05</v>
      </c>
    </row>
    <row r="1104" spans="1:7" x14ac:dyDescent="0.25">
      <c r="A1104" s="31">
        <v>46169</v>
      </c>
      <c r="B1104" s="32">
        <v>74853.161621093794</v>
      </c>
      <c r="C1104" s="33">
        <f t="shared" si="71"/>
        <v>-1.7324216474590148E-4</v>
      </c>
      <c r="D1104" s="32">
        <f>MAX($B$2:B1104)</f>
        <v>74866.131591796904</v>
      </c>
      <c r="E1104" s="34">
        <f t="shared" si="68"/>
        <v>-1.7324216474590148E-4</v>
      </c>
      <c r="F1104" s="35">
        <f t="shared" si="69"/>
        <v>166.53040728717906</v>
      </c>
      <c r="G1104" s="36" t="str">
        <f t="shared" si="70"/>
        <v>2026-05</v>
      </c>
    </row>
    <row r="1105" spans="1:7" x14ac:dyDescent="0.25">
      <c r="A1105" s="37">
        <v>46170</v>
      </c>
      <c r="B1105" s="38">
        <v>75266.094970703096</v>
      </c>
      <c r="C1105" s="39">
        <f t="shared" si="71"/>
        <v>5.5165786009088169E-3</v>
      </c>
      <c r="D1105" s="38">
        <f>MAX($B$2:B1105)</f>
        <v>75266.094970703096</v>
      </c>
      <c r="E1105" s="40">
        <f t="shared" si="68"/>
        <v>0</v>
      </c>
      <c r="F1105" s="41">
        <f t="shared" si="69"/>
        <v>167.44908536842013</v>
      </c>
      <c r="G1105" s="42" t="str">
        <f t="shared" si="70"/>
        <v>2026-05</v>
      </c>
    </row>
    <row r="1106" spans="1:7" x14ac:dyDescent="0.25">
      <c r="A1106" s="31">
        <v>46171</v>
      </c>
      <c r="B1106" s="32">
        <v>75453.61328125</v>
      </c>
      <c r="C1106" s="33">
        <f t="shared" si="71"/>
        <v>2.4914048034496705E-3</v>
      </c>
      <c r="D1106" s="32">
        <f>MAX($B$2:B1106)</f>
        <v>75453.61328125</v>
      </c>
      <c r="E1106" s="34">
        <f t="shared" si="68"/>
        <v>0</v>
      </c>
      <c r="F1106" s="35">
        <f t="shared" si="69"/>
        <v>167.86626882404028</v>
      </c>
      <c r="G1106" s="36" t="str">
        <f t="shared" si="70"/>
        <v>2026-05</v>
      </c>
    </row>
    <row r="1107" spans="1:7" x14ac:dyDescent="0.25">
      <c r="A1107" s="37">
        <v>46174</v>
      </c>
      <c r="B1107" s="38">
        <v>75659.08203125</v>
      </c>
      <c r="C1107" s="39">
        <f t="shared" si="71"/>
        <v>2.7231134609038143E-3</v>
      </c>
      <c r="D1107" s="38">
        <f>MAX($B$2:B1107)</f>
        <v>75659.08203125</v>
      </c>
      <c r="E1107" s="40">
        <f t="shared" si="68"/>
        <v>0</v>
      </c>
      <c r="F1107" s="41">
        <f t="shared" si="69"/>
        <v>168.3233877203067</v>
      </c>
      <c r="G1107" s="42" t="str">
        <f t="shared" si="70"/>
        <v>2026-06</v>
      </c>
    </row>
    <row r="1108" spans="1:7" x14ac:dyDescent="0.25">
      <c r="A1108" s="31">
        <v>46175</v>
      </c>
      <c r="B1108" s="32">
        <v>75761.822509765596</v>
      </c>
      <c r="C1108" s="33">
        <f t="shared" si="71"/>
        <v>1.3579397972758311E-3</v>
      </c>
      <c r="D1108" s="32">
        <f>MAX($B$2:B1108)</f>
        <v>75761.822509765596</v>
      </c>
      <c r="E1108" s="34">
        <f t="shared" si="68"/>
        <v>0</v>
      </c>
      <c r="F1108" s="35">
        <f t="shared" si="69"/>
        <v>168.55196074730441</v>
      </c>
      <c r="G1108" s="36" t="str">
        <f t="shared" si="70"/>
        <v>2026-06</v>
      </c>
    </row>
    <row r="1109" spans="1:7" x14ac:dyDescent="0.25">
      <c r="A1109" s="37">
        <v>46176</v>
      </c>
      <c r="B1109" s="38">
        <v>75230.187988281294</v>
      </c>
      <c r="C1109" s="39">
        <f t="shared" si="71"/>
        <v>-7.0171823204988604E-3</v>
      </c>
      <c r="D1109" s="38">
        <f>MAX($B$2:B1109)</f>
        <v>75761.822509765596</v>
      </c>
      <c r="E1109" s="40">
        <f t="shared" si="68"/>
        <v>-7.0171823204988604E-3</v>
      </c>
      <c r="F1109" s="41">
        <f t="shared" si="69"/>
        <v>167.369200908263</v>
      </c>
      <c r="G1109" s="42" t="str">
        <f t="shared" si="70"/>
        <v>2026-06</v>
      </c>
    </row>
    <row r="1110" spans="1:7" x14ac:dyDescent="0.25">
      <c r="A1110" s="31">
        <v>46177</v>
      </c>
      <c r="B1110" s="32">
        <v>75514.459228515596</v>
      </c>
      <c r="C1110" s="33">
        <f t="shared" si="71"/>
        <v>3.7786857621382453E-3</v>
      </c>
      <c r="D1110" s="32">
        <f>MAX($B$2:B1110)</f>
        <v>75761.822509765596</v>
      </c>
      <c r="E1110" s="34">
        <f t="shared" si="68"/>
        <v>-3.265012285285418E-3</v>
      </c>
      <c r="F1110" s="35">
        <f t="shared" si="69"/>
        <v>168.0016365247555</v>
      </c>
      <c r="G1110" s="36" t="str">
        <f t="shared" si="70"/>
        <v>2026-06</v>
      </c>
    </row>
    <row r="1111" spans="1:7" x14ac:dyDescent="0.25">
      <c r="A1111" s="37">
        <v>46178</v>
      </c>
      <c r="B1111" s="38">
        <v>73565.478515625</v>
      </c>
      <c r="C1111" s="39">
        <f t="shared" si="71"/>
        <v>-2.580937124892535E-2</v>
      </c>
      <c r="D1111" s="38">
        <f>MAX($B$2:B1111)</f>
        <v>75761.822509765596</v>
      </c>
      <c r="E1111" s="40">
        <f t="shared" si="68"/>
        <v>-2.8990115620007528E-2</v>
      </c>
      <c r="F1111" s="41">
        <f t="shared" si="69"/>
        <v>163.66561991726107</v>
      </c>
      <c r="G1111" s="42" t="str">
        <f t="shared" si="70"/>
        <v>2026-06</v>
      </c>
    </row>
    <row r="1112" spans="1:7" x14ac:dyDescent="0.25">
      <c r="A1112" s="31">
        <v>46181</v>
      </c>
      <c r="B1112" s="32">
        <v>73732.043457031294</v>
      </c>
      <c r="C1112" s="33">
        <f t="shared" si="71"/>
        <v>2.2641726087722081E-3</v>
      </c>
      <c r="D1112" s="32">
        <f>MAX($B$2:B1112)</f>
        <v>75761.822509765596</v>
      </c>
      <c r="E1112" s="34">
        <f t="shared" si="68"/>
        <v>-2.6791581636947392E-2</v>
      </c>
      <c r="F1112" s="35">
        <f t="shared" si="69"/>
        <v>164.03618713087545</v>
      </c>
      <c r="G1112" s="36" t="str">
        <f t="shared" si="70"/>
        <v>2026-06</v>
      </c>
    </row>
    <row r="1113" spans="1:7" x14ac:dyDescent="0.25">
      <c r="A1113" s="37">
        <v>46182</v>
      </c>
      <c r="B1113" s="38">
        <v>73515.606689453096</v>
      </c>
      <c r="C1113" s="39">
        <f t="shared" si="71"/>
        <v>-2.9354505508087936E-3</v>
      </c>
      <c r="D1113" s="38">
        <f>MAX($B$2:B1113)</f>
        <v>75761.822509765596</v>
      </c>
      <c r="E1113" s="40">
        <f t="shared" si="68"/>
        <v>-2.964838682468296E-2</v>
      </c>
      <c r="F1113" s="41">
        <f t="shared" si="69"/>
        <v>163.55466701500956</v>
      </c>
      <c r="G1113" s="42" t="str">
        <f t="shared" si="70"/>
        <v>2026-06</v>
      </c>
    </row>
    <row r="1114" spans="1:7" x14ac:dyDescent="0.25">
      <c r="A1114" s="31">
        <v>46183</v>
      </c>
      <c r="B1114" s="32">
        <v>72356.591796875</v>
      </c>
      <c r="C1114" s="33">
        <f t="shared" si="71"/>
        <v>-1.5765562508026965E-2</v>
      </c>
      <c r="D1114" s="32">
        <f>MAX($B$2:B1114)</f>
        <v>75761.822509765596</v>
      </c>
      <c r="E1114" s="34">
        <f t="shared" si="68"/>
        <v>-4.4946525836963125E-2</v>
      </c>
      <c r="F1114" s="35">
        <f t="shared" si="69"/>
        <v>160.97613568870489</v>
      </c>
      <c r="G1114" s="36" t="str">
        <f t="shared" si="70"/>
        <v>2026-06</v>
      </c>
    </row>
    <row r="1115" spans="1:7" x14ac:dyDescent="0.25">
      <c r="A1115" s="37">
        <v>46184</v>
      </c>
      <c r="B1115" s="38">
        <v>73586.42578125</v>
      </c>
      <c r="C1115" s="39">
        <f t="shared" si="71"/>
        <v>1.6996847886747934E-2</v>
      </c>
      <c r="D1115" s="38">
        <f>MAX($B$2:B1115)</f>
        <v>75761.822509765596</v>
      </c>
      <c r="E1115" s="40">
        <f t="shared" si="68"/>
        <v>-2.8713627212903825E-2</v>
      </c>
      <c r="F1115" s="41">
        <f t="shared" si="69"/>
        <v>163.71222258040231</v>
      </c>
      <c r="G1115" s="42" t="str">
        <f t="shared" si="70"/>
        <v>2026-06</v>
      </c>
    </row>
    <row r="1116" spans="1:7" x14ac:dyDescent="0.25">
      <c r="A1116" s="31">
        <v>46185</v>
      </c>
      <c r="B1116" s="32">
        <v>73984.3994140625</v>
      </c>
      <c r="C1116" s="33">
        <f t="shared" si="71"/>
        <v>5.4082479015293838E-3</v>
      </c>
      <c r="D1116" s="32">
        <f>MAX($B$2:B1116)</f>
        <v>75761.822509765596</v>
      </c>
      <c r="E1116" s="34">
        <f t="shared" si="68"/>
        <v>-2.3460669725493877E-2</v>
      </c>
      <c r="F1116" s="35">
        <f t="shared" si="69"/>
        <v>164.59761886462749</v>
      </c>
      <c r="G1116" s="36" t="str">
        <f t="shared" si="70"/>
        <v>2026-06</v>
      </c>
    </row>
    <row r="1117" spans="1:7" x14ac:dyDescent="0.25">
      <c r="A1117" s="37">
        <v>46188</v>
      </c>
      <c r="B1117" s="38">
        <v>75289.0380859375</v>
      </c>
      <c r="C1117" s="39">
        <f t="shared" si="71"/>
        <v>1.7633969893753321E-2</v>
      </c>
      <c r="D1117" s="38">
        <f>MAX($B$2:B1117)</f>
        <v>75761.822509765596</v>
      </c>
      <c r="E1117" s="40">
        <f t="shared" si="68"/>
        <v>-6.24040457536712E-3</v>
      </c>
      <c r="F1117" s="41">
        <f t="shared" si="69"/>
        <v>167.50012832026982</v>
      </c>
      <c r="G1117" s="42" t="str">
        <f t="shared" si="70"/>
        <v>2026-06</v>
      </c>
    </row>
    <row r="1118" spans="1:7" x14ac:dyDescent="0.25">
      <c r="A1118" s="31">
        <v>46189</v>
      </c>
      <c r="B1118" s="32">
        <v>74840.197753906294</v>
      </c>
      <c r="C1118" s="33">
        <f t="shared" si="71"/>
        <v>-5.9615628442335478E-3</v>
      </c>
      <c r="D1118" s="32">
        <f>MAX($B$2:B1118)</f>
        <v>75761.822509765596</v>
      </c>
      <c r="E1118" s="34">
        <f t="shared" si="68"/>
        <v>-1.216476485555118E-2</v>
      </c>
      <c r="F1118" s="35">
        <f t="shared" si="69"/>
        <v>166.50156577887137</v>
      </c>
      <c r="G1118" s="36" t="str">
        <f t="shared" si="70"/>
        <v>2026-06</v>
      </c>
    </row>
    <row r="1119" spans="1:7" x14ac:dyDescent="0.25">
      <c r="A1119" s="37">
        <v>46190</v>
      </c>
      <c r="B1119" s="38">
        <v>73905.603027343794</v>
      </c>
      <c r="C1119" s="39">
        <f t="shared" si="71"/>
        <v>-1.2487870885051433E-2</v>
      </c>
      <c r="D1119" s="38">
        <f>MAX($B$2:B1119)</f>
        <v>75761.822509765596</v>
      </c>
      <c r="E1119" s="40">
        <f t="shared" si="68"/>
        <v>-2.4500723727739482E-2</v>
      </c>
      <c r="F1119" s="41">
        <f t="shared" si="69"/>
        <v>164.42231572326591</v>
      </c>
      <c r="G1119" s="42" t="str">
        <f t="shared" si="70"/>
        <v>2026-06</v>
      </c>
    </row>
    <row r="1120" spans="1:7" x14ac:dyDescent="0.25">
      <c r="A1120" s="31">
        <v>46191</v>
      </c>
      <c r="B1120" s="32">
        <v>74673.9990234375</v>
      </c>
      <c r="C1120" s="33">
        <f t="shared" si="71"/>
        <v>1.0396992441958908E-2</v>
      </c>
      <c r="D1120" s="32">
        <f>MAX($B$2:B1120)</f>
        <v>75761.822509765596</v>
      </c>
      <c r="E1120" s="34">
        <f t="shared" si="68"/>
        <v>-1.4358465125200448E-2</v>
      </c>
      <c r="F1120" s="35">
        <f t="shared" si="69"/>
        <v>166.13181329713007</v>
      </c>
      <c r="G1120" s="36" t="str">
        <f t="shared" si="70"/>
        <v>2026-06</v>
      </c>
    </row>
    <row r="1121" spans="1:7" x14ac:dyDescent="0.25">
      <c r="A1121" s="37">
        <v>46195</v>
      </c>
      <c r="B1121" s="38">
        <v>74439.001464843794</v>
      </c>
      <c r="C1121" s="39">
        <f t="shared" si="71"/>
        <v>-3.1469796939621597E-3</v>
      </c>
      <c r="D1121" s="38">
        <f>MAX($B$2:B1121)</f>
        <v>75761.822509765596</v>
      </c>
      <c r="E1121" s="40">
        <f t="shared" si="68"/>
        <v>-1.7460259020977142E-2</v>
      </c>
      <c r="F1121" s="41">
        <f t="shared" si="69"/>
        <v>165.6089998541629</v>
      </c>
      <c r="G1121" s="42" t="str">
        <f t="shared" si="70"/>
        <v>2026-06</v>
      </c>
    </row>
    <row r="1122" spans="1:7" x14ac:dyDescent="0.25">
      <c r="A1122" s="31">
        <v>46196</v>
      </c>
      <c r="B1122" s="32">
        <v>73358.001708984404</v>
      </c>
      <c r="C1122" s="33">
        <f t="shared" si="71"/>
        <v>-1.4521954010491722E-2</v>
      </c>
      <c r="D1122" s="32">
        <f>MAX($B$2:B1122)</f>
        <v>75761.822509765596</v>
      </c>
      <c r="E1122" s="34">
        <f t="shared" si="68"/>
        <v>-3.1728655952954932E-2</v>
      </c>
      <c r="F1122" s="35">
        <f t="shared" si="69"/>
        <v>163.20403357455723</v>
      </c>
      <c r="G1122" s="36" t="str">
        <f t="shared" si="70"/>
        <v>2026-06</v>
      </c>
    </row>
    <row r="1123" spans="1:7" x14ac:dyDescent="0.25">
      <c r="A1123" s="37">
        <v>46197</v>
      </c>
      <c r="B1123" s="38">
        <v>73323.9990234375</v>
      </c>
      <c r="C1123" s="39">
        <f t="shared" si="71"/>
        <v>-4.6351706364355927E-4</v>
      </c>
      <c r="D1123" s="38">
        <f>MAX($B$2:B1123)</f>
        <v>75761.822509765596</v>
      </c>
      <c r="E1123" s="40">
        <f t="shared" si="68"/>
        <v>-3.217746624315776E-2</v>
      </c>
      <c r="F1123" s="41">
        <f t="shared" si="69"/>
        <v>163.12838572013996</v>
      </c>
      <c r="G1123" s="42" t="str">
        <f t="shared" si="70"/>
        <v>2026-06</v>
      </c>
    </row>
    <row r="1124" spans="1:7" x14ac:dyDescent="0.25">
      <c r="A1124" s="31">
        <v>46198</v>
      </c>
      <c r="B1124" s="32">
        <v>73429.998779296904</v>
      </c>
      <c r="C1124" s="33">
        <f t="shared" si="71"/>
        <v>1.4456352254534899E-3</v>
      </c>
      <c r="D1124" s="32">
        <f>MAX($B$2:B1124)</f>
        <v>75761.822509765596</v>
      </c>
      <c r="E1124" s="34">
        <f t="shared" si="68"/>
        <v>-3.0778347896371239E-2</v>
      </c>
      <c r="F1124" s="35">
        <f t="shared" si="69"/>
        <v>163.36420986080839</v>
      </c>
      <c r="G1124" s="36" t="str">
        <f t="shared" si="70"/>
        <v>2026-06</v>
      </c>
    </row>
    <row r="1125" spans="1:7" x14ac:dyDescent="0.25">
      <c r="A1125" s="37">
        <v>46199</v>
      </c>
      <c r="B1125" s="38">
        <v>72898.9990234375</v>
      </c>
      <c r="C1125" s="39">
        <f t="shared" si="71"/>
        <v>-7.2313736168699849E-3</v>
      </c>
      <c r="D1125" s="38">
        <f>MAX($B$2:B1125)</f>
        <v>75761.822509765596</v>
      </c>
      <c r="E1125" s="40">
        <f t="shared" si="68"/>
        <v>-3.7787151780292572E-2</v>
      </c>
      <c r="F1125" s="41">
        <f t="shared" si="69"/>
        <v>162.1828622236801</v>
      </c>
      <c r="G1125" s="42" t="str">
        <f t="shared" si="70"/>
        <v>2026-06</v>
      </c>
    </row>
    <row r="1126" spans="1:7" x14ac:dyDescent="0.25">
      <c r="A1126" s="31">
        <v>46202</v>
      </c>
      <c r="B1126" s="32">
        <v>74100</v>
      </c>
      <c r="C1126" s="33">
        <f t="shared" si="71"/>
        <v>1.6474862380159383E-2</v>
      </c>
      <c r="D1126" s="32">
        <f>MAX($B$2:B1126)</f>
        <v>75761.822509765596</v>
      </c>
      <c r="E1126" s="34">
        <f t="shared" si="68"/>
        <v>-2.1934827525451728E-2</v>
      </c>
      <c r="F1126" s="35">
        <f t="shared" si="69"/>
        <v>164.85480255923557</v>
      </c>
      <c r="G1126" s="36" t="str">
        <f t="shared" si="70"/>
        <v>2026-06</v>
      </c>
    </row>
    <row r="1127" spans="1:7" x14ac:dyDescent="0.25">
      <c r="A1127" s="37">
        <v>46203</v>
      </c>
      <c r="B1127" s="38">
        <v>74677.001953125</v>
      </c>
      <c r="C1127" s="39">
        <f t="shared" si="71"/>
        <v>7.7868009868420351E-3</v>
      </c>
      <c r="D1127" s="38">
        <f>MAX($B$2:B1127)</f>
        <v>75761.822509765596</v>
      </c>
      <c r="E1127" s="40">
        <f t="shared" si="68"/>
        <v>-1.4318828675231043E-2</v>
      </c>
      <c r="F1127" s="41">
        <f t="shared" si="69"/>
        <v>166.13849409848947</v>
      </c>
      <c r="G1127" s="42" t="str">
        <f t="shared" si="70"/>
        <v>2026-06</v>
      </c>
    </row>
    <row r="1128" spans="1:7" x14ac:dyDescent="0.25">
      <c r="A1128" s="31">
        <v>46204</v>
      </c>
      <c r="B1128" s="32">
        <v>74576.0009765625</v>
      </c>
      <c r="C1128" s="33">
        <f t="shared" si="71"/>
        <v>-1.352504438058455E-3</v>
      </c>
      <c r="D1128" s="32">
        <f>MAX($B$2:B1128)</f>
        <v>75761.822509765596</v>
      </c>
      <c r="E1128" s="34">
        <f t="shared" si="68"/>
        <v>-1.5651966833958419E-2</v>
      </c>
      <c r="F1128" s="35">
        <f t="shared" si="69"/>
        <v>165.91379104788894</v>
      </c>
      <c r="G1128" s="36" t="str">
        <f t="shared" si="70"/>
        <v>2026-07</v>
      </c>
    </row>
    <row r="1129" spans="1:7" x14ac:dyDescent="0.25">
      <c r="A1129" s="37">
        <v>46205</v>
      </c>
      <c r="B1129" s="38">
        <v>74478.0029296875</v>
      </c>
      <c r="C1129" s="39">
        <f t="shared" si="71"/>
        <v>-1.3140694806872411E-3</v>
      </c>
      <c r="D1129" s="38">
        <f>MAX($B$2:B1129)</f>
        <v>75761.822509765596</v>
      </c>
      <c r="E1129" s="40">
        <f t="shared" si="68"/>
        <v>-1.6945468542716391E-2</v>
      </c>
      <c r="F1129" s="41">
        <f t="shared" si="69"/>
        <v>165.6957687986478</v>
      </c>
      <c r="G1129" s="42" t="str">
        <f t="shared" si="70"/>
        <v>2026-07</v>
      </c>
    </row>
    <row r="1130" spans="1:7" x14ac:dyDescent="0.25">
      <c r="A1130" s="31">
        <v>46209</v>
      </c>
      <c r="B1130" s="32">
        <v>75189.471435546904</v>
      </c>
      <c r="C1130" s="33">
        <f t="shared" si="71"/>
        <v>9.5527333960749861E-3</v>
      </c>
      <c r="D1130" s="32">
        <f>MAX($B$2:B1130)</f>
        <v>75761.822509765596</v>
      </c>
      <c r="E1130" s="34">
        <f t="shared" si="68"/>
        <v>-7.5546106899014864E-3</v>
      </c>
      <c r="F1130" s="35">
        <f t="shared" si="69"/>
        <v>167.27861630283897</v>
      </c>
      <c r="G1130" s="36" t="str">
        <f t="shared" si="70"/>
        <v>2026-07</v>
      </c>
    </row>
  </sheetData>
  <autoFilter ref="A1:G113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13" customWidth="1"/>
    <col min="4" max="5" width="12" customWidth="1"/>
  </cols>
  <sheetData>
    <row r="1" spans="1:5" x14ac:dyDescent="0.25">
      <c r="A1" s="6" t="s">
        <v>65</v>
      </c>
      <c r="B1" s="6" t="s">
        <v>66</v>
      </c>
      <c r="C1" s="6" t="s">
        <v>67</v>
      </c>
      <c r="D1" s="6" t="s">
        <v>68</v>
      </c>
      <c r="E1" s="6" t="s">
        <v>69</v>
      </c>
    </row>
    <row r="2" spans="1:5" x14ac:dyDescent="0.25">
      <c r="A2" s="36" t="s">
        <v>70</v>
      </c>
      <c r="B2" s="32">
        <f>LOOKUP(2,1/('Tech Portfolio'!$G$2:$G$1130=$A2),'Tech Portfolio'!$B$2:$B$1130)</f>
        <v>99638.180009999996</v>
      </c>
      <c r="C2" s="32">
        <f>LOOKUP(2,1/('S&amp;P 500'!$G$2:$G$1130=$A2),'S&amp;P 500'!$B$2:$B$1130)</f>
        <v>42332.888793945298</v>
      </c>
      <c r="D2" s="34"/>
      <c r="E2" s="34"/>
    </row>
    <row r="3" spans="1:5" x14ac:dyDescent="0.25">
      <c r="A3" s="42" t="s">
        <v>71</v>
      </c>
      <c r="B3" s="38">
        <f>LOOKUP(2,1/('Tech Portfolio'!$G$2:$G$1130=$A3),'Tech Portfolio'!$B$2:$B$1130)</f>
        <v>95788.258059999993</v>
      </c>
      <c r="C3" s="38">
        <f>LOOKUP(2,1/('S&amp;P 500'!$G$2:$G$1130=$A3),'S&amp;P 500'!$B$2:$B$1130)</f>
        <v>41083.349609375</v>
      </c>
      <c r="D3" s="40">
        <f t="shared" ref="D3:D34" si="0">B3/B2-1</f>
        <v>-3.8639023209914192E-2</v>
      </c>
      <c r="E3" s="40">
        <f t="shared" ref="E3:E34" si="1">C3/C2-1</f>
        <v>-2.9516983607058123E-2</v>
      </c>
    </row>
    <row r="4" spans="1:5" x14ac:dyDescent="0.25">
      <c r="A4" s="36" t="s">
        <v>72</v>
      </c>
      <c r="B4" s="32">
        <f>LOOKUP(2,1/('Tech Portfolio'!$G$2:$G$1130=$A4),'Tech Portfolio'!$B$2:$B$1130)</f>
        <v>101508.21580000001</v>
      </c>
      <c r="C4" s="32">
        <f>LOOKUP(2,1/('S&amp;P 500'!$G$2:$G$1130=$A4),'S&amp;P 500'!$B$2:$B$1130)</f>
        <v>42627.688598632798</v>
      </c>
      <c r="D4" s="34">
        <f t="shared" si="0"/>
        <v>5.9714602351544244E-2</v>
      </c>
      <c r="E4" s="34">
        <f t="shared" si="1"/>
        <v>3.7590386469008585E-2</v>
      </c>
    </row>
    <row r="5" spans="1:5" x14ac:dyDescent="0.25">
      <c r="A5" s="42" t="s">
        <v>73</v>
      </c>
      <c r="B5" s="38">
        <f>LOOKUP(2,1/('Tech Portfolio'!$G$2:$G$1130=$A5),'Tech Portfolio'!$B$2:$B$1130)</f>
        <v>88762.220799999996</v>
      </c>
      <c r="C5" s="38">
        <f>LOOKUP(2,1/('S&amp;P 500'!$G$2:$G$1130=$A5),'S&amp;P 500'!$B$2:$B$1130)</f>
        <v>38886.294555664099</v>
      </c>
      <c r="D5" s="40">
        <f t="shared" si="0"/>
        <v>-0.12556614161274626</v>
      </c>
      <c r="E5" s="40">
        <f t="shared" si="1"/>
        <v>-8.7769104212905846E-2</v>
      </c>
    </row>
    <row r="6" spans="1:5" x14ac:dyDescent="0.25">
      <c r="A6" s="36" t="s">
        <v>74</v>
      </c>
      <c r="B6" s="32">
        <f>LOOKUP(2,1/('Tech Portfolio'!$G$2:$G$1130=$A6),'Tech Portfolio'!$B$2:$B$1130)</f>
        <v>86699.615460000001</v>
      </c>
      <c r="C6" s="32">
        <f>LOOKUP(2,1/('S&amp;P 500'!$G$2:$G$1130=$A6),'S&amp;P 500'!$B$2:$B$1130)</f>
        <v>38974.075317382798</v>
      </c>
      <c r="D6" s="34">
        <f t="shared" si="0"/>
        <v>-2.3237423775679056E-2</v>
      </c>
      <c r="E6" s="34">
        <f t="shared" si="1"/>
        <v>2.2573701794355028E-3</v>
      </c>
    </row>
    <row r="7" spans="1:5" x14ac:dyDescent="0.25">
      <c r="A7" s="42" t="s">
        <v>75</v>
      </c>
      <c r="B7" s="38">
        <f>LOOKUP(2,1/('Tech Portfolio'!$G$2:$G$1130=$A7),'Tech Portfolio'!$B$2:$B$1130)</f>
        <v>78608.896110000001</v>
      </c>
      <c r="C7" s="38">
        <f>LOOKUP(2,1/('S&amp;P 500'!$G$2:$G$1130=$A7),'S&amp;P 500'!$B$2:$B$1130)</f>
        <v>35760.25390625</v>
      </c>
      <c r="D7" s="40">
        <f t="shared" si="0"/>
        <v>-9.3318976180843172E-2</v>
      </c>
      <c r="E7" s="40">
        <f t="shared" si="1"/>
        <v>-8.2460491620680032E-2</v>
      </c>
    </row>
    <row r="8" spans="1:5" x14ac:dyDescent="0.25">
      <c r="A8" s="36" t="s">
        <v>76</v>
      </c>
      <c r="B8" s="32">
        <f>LOOKUP(2,1/('Tech Portfolio'!$G$2:$G$1130=$A8),'Tech Portfolio'!$B$2:$B$1130)</f>
        <v>89558.257500000007</v>
      </c>
      <c r="C8" s="32">
        <f>LOOKUP(2,1/('S&amp;P 500'!$G$2:$G$1130=$A8),'S&amp;P 500'!$B$2:$B$1130)</f>
        <v>39053.329467773401</v>
      </c>
      <c r="D8" s="34">
        <f t="shared" si="0"/>
        <v>0.1392890872640955</v>
      </c>
      <c r="E8" s="34">
        <f t="shared" si="1"/>
        <v>9.2087588923630559E-2</v>
      </c>
    </row>
    <row r="9" spans="1:5" x14ac:dyDescent="0.25">
      <c r="A9" s="42" t="s">
        <v>77</v>
      </c>
      <c r="B9" s="38">
        <f>LOOKUP(2,1/('Tech Portfolio'!$G$2:$G$1130=$A9),'Tech Portfolio'!$B$2:$B$1130)</f>
        <v>84859.43965</v>
      </c>
      <c r="C9" s="38">
        <f>LOOKUP(2,1/('S&amp;P 500'!$G$2:$G$1130=$A9),'S&amp;P 500'!$B$2:$B$1130)</f>
        <v>37459.872436523401</v>
      </c>
      <c r="D9" s="40">
        <f t="shared" si="0"/>
        <v>-5.2466606443297592E-2</v>
      </c>
      <c r="E9" s="40">
        <f t="shared" si="1"/>
        <v>-4.0802078925560314E-2</v>
      </c>
    </row>
    <row r="10" spans="1:5" x14ac:dyDescent="0.25">
      <c r="A10" s="36" t="s">
        <v>78</v>
      </c>
      <c r="B10" s="32">
        <f>LOOKUP(2,1/('Tech Portfolio'!$G$2:$G$1130=$A10),'Tech Portfolio'!$B$2:$B$1130)</f>
        <v>76753.594110000005</v>
      </c>
      <c r="C10" s="32">
        <f>LOOKUP(2,1/('S&amp;P 500'!$G$2:$G$1130=$A10),'S&amp;P 500'!$B$2:$B$1130)</f>
        <v>33996.865844726599</v>
      </c>
      <c r="D10" s="34">
        <f t="shared" si="0"/>
        <v>-9.5520846866680831E-2</v>
      </c>
      <c r="E10" s="34">
        <f t="shared" si="1"/>
        <v>-9.2445765736787977E-2</v>
      </c>
    </row>
    <row r="11" spans="1:5" x14ac:dyDescent="0.25">
      <c r="A11" s="42" t="s">
        <v>79</v>
      </c>
      <c r="B11" s="38">
        <f>LOOKUP(2,1/('Tech Portfolio'!$G$2:$G$1130=$A11),'Tech Portfolio'!$B$2:$B$1130)</f>
        <v>78316.852679999996</v>
      </c>
      <c r="C11" s="38">
        <f>LOOKUP(2,1/('S&amp;P 500'!$G$2:$G$1130=$A11),'S&amp;P 500'!$B$2:$B$1130)</f>
        <v>36759.973144531301</v>
      </c>
      <c r="D11" s="40">
        <f t="shared" si="0"/>
        <v>2.036723606401547E-2</v>
      </c>
      <c r="E11" s="40">
        <f t="shared" si="1"/>
        <v>8.1275353805394968E-2</v>
      </c>
    </row>
    <row r="12" spans="1:5" x14ac:dyDescent="0.25">
      <c r="A12" s="36" t="s">
        <v>80</v>
      </c>
      <c r="B12" s="32">
        <f>LOOKUP(2,1/('Tech Portfolio'!$G$2:$G$1130=$A12),'Tech Portfolio'!$B$2:$B$1130)</f>
        <v>80808.672139999995</v>
      </c>
      <c r="C12" s="32">
        <f>LOOKUP(2,1/('S&amp;P 500'!$G$2:$G$1130=$A12),'S&amp;P 500'!$B$2:$B$1130)</f>
        <v>38803.518676757798</v>
      </c>
      <c r="D12" s="34">
        <f t="shared" si="0"/>
        <v>3.1817155244752815E-2</v>
      </c>
      <c r="E12" s="34">
        <f t="shared" si="1"/>
        <v>5.5591594808618972E-2</v>
      </c>
    </row>
    <row r="13" spans="1:5" x14ac:dyDescent="0.25">
      <c r="A13" s="42" t="s">
        <v>81</v>
      </c>
      <c r="B13" s="38">
        <f>LOOKUP(2,1/('Tech Portfolio'!$G$2:$G$1130=$A13),'Tech Portfolio'!$B$2:$B$1130)</f>
        <v>71924.264349999998</v>
      </c>
      <c r="C13" s="38">
        <f>LOOKUP(2,1/('S&amp;P 500'!$G$2:$G$1130=$A13),'S&amp;P 500'!$B$2:$B$1130)</f>
        <v>36567.343139648401</v>
      </c>
      <c r="D13" s="40">
        <f t="shared" si="0"/>
        <v>-0.109943741862357</v>
      </c>
      <c r="E13" s="40">
        <f t="shared" si="1"/>
        <v>-5.7628163974954183E-2</v>
      </c>
    </row>
    <row r="14" spans="1:5" x14ac:dyDescent="0.25">
      <c r="A14" s="36" t="s">
        <v>82</v>
      </c>
      <c r="B14" s="32">
        <f>LOOKUP(2,1/('Tech Portfolio'!$G$2:$G$1130=$A14),'Tech Portfolio'!$B$2:$B$1130)</f>
        <v>80362.071509999994</v>
      </c>
      <c r="C14" s="32">
        <f>LOOKUP(2,1/('S&amp;P 500'!$G$2:$G$1130=$A14),'S&amp;P 500'!$B$2:$B$1130)</f>
        <v>38866.961669921897</v>
      </c>
      <c r="D14" s="34">
        <f t="shared" si="0"/>
        <v>0.11731516806261211</v>
      </c>
      <c r="E14" s="34">
        <f t="shared" si="1"/>
        <v>6.2887219382917525E-2</v>
      </c>
    </row>
    <row r="15" spans="1:5" x14ac:dyDescent="0.25">
      <c r="A15" s="42" t="s">
        <v>83</v>
      </c>
      <c r="B15" s="38">
        <f>LOOKUP(2,1/('Tech Portfolio'!$G$2:$G$1130=$A15),'Tech Portfolio'!$B$2:$B$1130)</f>
        <v>80322.613070000007</v>
      </c>
      <c r="C15" s="38">
        <f>LOOKUP(2,1/('S&amp;P 500'!$G$2:$G$1130=$A15),'S&amp;P 500'!$B$2:$B$1130)</f>
        <v>37889.74609375</v>
      </c>
      <c r="D15" s="40">
        <f t="shared" si="0"/>
        <v>-4.9100824877412741E-4</v>
      </c>
      <c r="E15" s="40">
        <f t="shared" si="1"/>
        <v>-2.5142576990476173E-2</v>
      </c>
    </row>
    <row r="16" spans="1:5" x14ac:dyDescent="0.25">
      <c r="A16" s="36" t="s">
        <v>84</v>
      </c>
      <c r="B16" s="32">
        <f>LOOKUP(2,1/('Tech Portfolio'!$G$2:$G$1130=$A16),'Tech Portfolio'!$B$2:$B$1130)</f>
        <v>85735.978889999999</v>
      </c>
      <c r="C16" s="32">
        <f>LOOKUP(2,1/('S&amp;P 500'!$G$2:$G$1130=$A16),'S&amp;P 500'!$B$2:$B$1130)</f>
        <v>39294.619750976599</v>
      </c>
      <c r="D16" s="34">
        <f t="shared" si="0"/>
        <v>6.7395290231436089E-2</v>
      </c>
      <c r="E16" s="34">
        <f t="shared" si="1"/>
        <v>3.7077938019181911E-2</v>
      </c>
    </row>
    <row r="17" spans="1:5" x14ac:dyDescent="0.25">
      <c r="A17" s="42" t="s">
        <v>85</v>
      </c>
      <c r="B17" s="38">
        <f>LOOKUP(2,1/('Tech Portfolio'!$G$2:$G$1130=$A17),'Tech Portfolio'!$B$2:$B$1130)</f>
        <v>85269.303050000002</v>
      </c>
      <c r="C17" s="38">
        <f>LOOKUP(2,1/('S&amp;P 500'!$G$2:$G$1130=$A17),'S&amp;P 500'!$B$2:$B$1130)</f>
        <v>39922.3388671875</v>
      </c>
      <c r="D17" s="40">
        <f t="shared" si="0"/>
        <v>-5.4431738698492715E-3</v>
      </c>
      <c r="E17" s="40">
        <f t="shared" si="1"/>
        <v>1.5974683561998271E-2</v>
      </c>
    </row>
    <row r="18" spans="1:5" x14ac:dyDescent="0.25">
      <c r="A18" s="36" t="s">
        <v>86</v>
      </c>
      <c r="B18" s="32">
        <f>LOOKUP(2,1/('Tech Portfolio'!$G$2:$G$1130=$A18),'Tech Portfolio'!$B$2:$B$1130)</f>
        <v>90953.395269999994</v>
      </c>
      <c r="C18" s="32">
        <f>LOOKUP(2,1/('S&amp;P 500'!$G$2:$G$1130=$A18),'S&amp;P 500'!$B$2:$B$1130)</f>
        <v>40106.631469726599</v>
      </c>
      <c r="D18" s="34">
        <f t="shared" si="0"/>
        <v>6.6660474715818596E-2</v>
      </c>
      <c r="E18" s="34">
        <f t="shared" si="1"/>
        <v>4.6162776973612818E-3</v>
      </c>
    </row>
    <row r="19" spans="1:5" x14ac:dyDescent="0.25">
      <c r="A19" s="42" t="s">
        <v>87</v>
      </c>
      <c r="B19" s="38">
        <f>LOOKUP(2,1/('Tech Portfolio'!$G$2:$G$1130=$A19),'Tech Portfolio'!$B$2:$B$1130)</f>
        <v>98054.074210000006</v>
      </c>
      <c r="C19" s="38">
        <f>LOOKUP(2,1/('S&amp;P 500'!$G$2:$G$1130=$A19),'S&amp;P 500'!$B$2:$B$1130)</f>
        <v>42705.535888671897</v>
      </c>
      <c r="D19" s="40">
        <f t="shared" si="0"/>
        <v>7.8069421365978275E-2</v>
      </c>
      <c r="E19" s="40">
        <f t="shared" si="1"/>
        <v>6.4799867844972381E-2</v>
      </c>
    </row>
    <row r="20" spans="1:5" x14ac:dyDescent="0.25">
      <c r="A20" s="36" t="s">
        <v>88</v>
      </c>
      <c r="B20" s="32">
        <f>LOOKUP(2,1/('Tech Portfolio'!$G$2:$G$1130=$A20),'Tech Portfolio'!$B$2:$B$1130)</f>
        <v>100914.4709</v>
      </c>
      <c r="C20" s="32">
        <f>LOOKUP(2,1/('S&amp;P 500'!$G$2:$G$1130=$A20),'S&amp;P 500'!$B$2:$B$1130)</f>
        <v>44103.424072265603</v>
      </c>
      <c r="D20" s="34">
        <f t="shared" si="0"/>
        <v>2.9171625075710361E-2</v>
      </c>
      <c r="E20" s="34">
        <f t="shared" si="1"/>
        <v>3.2733184457345965E-2</v>
      </c>
    </row>
    <row r="21" spans="1:5" x14ac:dyDescent="0.25">
      <c r="A21" s="42" t="s">
        <v>89</v>
      </c>
      <c r="B21" s="38">
        <f>LOOKUP(2,1/('Tech Portfolio'!$G$2:$G$1130=$A21),'Tech Portfolio'!$B$2:$B$1130)</f>
        <v>98864.068870000003</v>
      </c>
      <c r="C21" s="38">
        <f>LOOKUP(2,1/('S&amp;P 500'!$G$2:$G$1130=$A21),'S&amp;P 500'!$B$2:$B$1130)</f>
        <v>43386.654663085901</v>
      </c>
      <c r="D21" s="40">
        <f t="shared" si="0"/>
        <v>-2.0318216126127386E-2</v>
      </c>
      <c r="E21" s="40">
        <f t="shared" si="1"/>
        <v>-1.6252012723666054E-2</v>
      </c>
    </row>
    <row r="22" spans="1:5" x14ac:dyDescent="0.25">
      <c r="A22" s="36" t="s">
        <v>90</v>
      </c>
      <c r="B22" s="32">
        <f>LOOKUP(2,1/('Tech Portfolio'!$G$2:$G$1130=$A22),'Tech Portfolio'!$B$2:$B$1130)</f>
        <v>93702.189060000004</v>
      </c>
      <c r="C22" s="32">
        <f>LOOKUP(2,1/('S&amp;P 500'!$G$2:$G$1130=$A22),'S&amp;P 500'!$B$2:$B$1130)</f>
        <v>41328.634643554702</v>
      </c>
      <c r="D22" s="34">
        <f t="shared" si="0"/>
        <v>-5.2211889203018225E-2</v>
      </c>
      <c r="E22" s="34">
        <f t="shared" si="1"/>
        <v>-4.7434402018604938E-2</v>
      </c>
    </row>
    <row r="23" spans="1:5" x14ac:dyDescent="0.25">
      <c r="A23" s="42" t="s">
        <v>91</v>
      </c>
      <c r="B23" s="38">
        <f>LOOKUP(2,1/('Tech Portfolio'!$G$2:$G$1130=$A23),'Tech Portfolio'!$B$2:$B$1130)</f>
        <v>91114.251560000004</v>
      </c>
      <c r="C23" s="38">
        <f>LOOKUP(2,1/('S&amp;P 500'!$G$2:$G$1130=$A23),'S&amp;P 500'!$B$2:$B$1130)</f>
        <v>40431.442260742202</v>
      </c>
      <c r="D23" s="40">
        <f t="shared" si="0"/>
        <v>-2.7618751770493555E-2</v>
      </c>
      <c r="E23" s="40">
        <f t="shared" si="1"/>
        <v>-2.1708735131234724E-2</v>
      </c>
    </row>
    <row r="24" spans="1:5" x14ac:dyDescent="0.25">
      <c r="A24" s="36" t="s">
        <v>92</v>
      </c>
      <c r="B24" s="32">
        <f>LOOKUP(2,1/('Tech Portfolio'!$G$2:$G$1130=$A24),'Tech Portfolio'!$B$2:$B$1130)</f>
        <v>101256.56020000001</v>
      </c>
      <c r="C24" s="32">
        <f>LOOKUP(2,1/('S&amp;P 500'!$G$2:$G$1130=$A24),'S&amp;P 500'!$B$2:$B$1130)</f>
        <v>44124.609375</v>
      </c>
      <c r="D24" s="34">
        <f t="shared" si="0"/>
        <v>0.11131418484320377</v>
      </c>
      <c r="E24" s="34">
        <f t="shared" si="1"/>
        <v>9.1343936989449315E-2</v>
      </c>
    </row>
    <row r="25" spans="1:5" x14ac:dyDescent="0.25">
      <c r="A25" s="42" t="s">
        <v>93</v>
      </c>
      <c r="B25" s="38">
        <f>LOOKUP(2,1/('Tech Portfolio'!$G$2:$G$1130=$A25),'Tech Portfolio'!$B$2:$B$1130)</f>
        <v>105316.5579</v>
      </c>
      <c r="C25" s="38">
        <f>LOOKUP(2,1/('S&amp;P 500'!$G$2:$G$1130=$A25),'S&amp;P 500'!$B$2:$B$1130)</f>
        <v>46139.132690429702</v>
      </c>
      <c r="D25" s="40">
        <f t="shared" si="0"/>
        <v>4.0096144802675093E-2</v>
      </c>
      <c r="E25" s="40">
        <f t="shared" si="1"/>
        <v>4.5655323502333145E-2</v>
      </c>
    </row>
    <row r="26" spans="1:5" x14ac:dyDescent="0.25">
      <c r="A26" s="36" t="s">
        <v>94</v>
      </c>
      <c r="B26" s="32">
        <f>LOOKUP(2,1/('Tech Portfolio'!$G$2:$G$1130=$A26),'Tech Portfolio'!$B$2:$B$1130)</f>
        <v>104705.1485</v>
      </c>
      <c r="C26" s="32">
        <f>LOOKUP(2,1/('S&amp;P 500'!$G$2:$G$1130=$A26),'S&amp;P 500'!$B$2:$B$1130)</f>
        <v>46873.959350585901</v>
      </c>
      <c r="D26" s="34">
        <f t="shared" si="0"/>
        <v>-5.8054441978682148E-3</v>
      </c>
      <c r="E26" s="34">
        <f t="shared" si="1"/>
        <v>1.5926321482601757E-2</v>
      </c>
    </row>
    <row r="27" spans="1:5" x14ac:dyDescent="0.25">
      <c r="A27" s="42" t="s">
        <v>95</v>
      </c>
      <c r="B27" s="38">
        <f>LOOKUP(2,1/('Tech Portfolio'!$G$2:$G$1130=$A27),'Tech Portfolio'!$B$2:$B$1130)</f>
        <v>111207.6122</v>
      </c>
      <c r="C27" s="38">
        <f>LOOKUP(2,1/('S&amp;P 500'!$G$2:$G$1130=$A27),'S&amp;P 500'!$B$2:$B$1130)</f>
        <v>49320.169067382798</v>
      </c>
      <c r="D27" s="40">
        <f t="shared" si="0"/>
        <v>6.2102616663592292E-2</v>
      </c>
      <c r="E27" s="40">
        <f t="shared" si="1"/>
        <v>5.2186965869490232E-2</v>
      </c>
    </row>
    <row r="28" spans="1:5" x14ac:dyDescent="0.25">
      <c r="A28" s="36" t="s">
        <v>96</v>
      </c>
      <c r="B28" s="32">
        <f>LOOKUP(2,1/('Tech Portfolio'!$G$2:$G$1130=$A28),'Tech Portfolio'!$B$2:$B$1130)</f>
        <v>114291.6571</v>
      </c>
      <c r="C28" s="32">
        <f>LOOKUP(2,1/('S&amp;P 500'!$G$2:$G$1130=$A28),'S&amp;P 500'!$B$2:$B$1130)</f>
        <v>50933.035278320298</v>
      </c>
      <c r="D28" s="34">
        <f t="shared" si="0"/>
        <v>2.7732318309771076E-2</v>
      </c>
      <c r="E28" s="34">
        <f t="shared" si="1"/>
        <v>3.2701960302162547E-2</v>
      </c>
    </row>
    <row r="29" spans="1:5" x14ac:dyDescent="0.25">
      <c r="A29" s="42" t="s">
        <v>97</v>
      </c>
      <c r="B29" s="38">
        <f>LOOKUP(2,1/('Tech Portfolio'!$G$2:$G$1130=$A29),'Tech Portfolio'!$B$2:$B$1130)</f>
        <v>110907.1189</v>
      </c>
      <c r="C29" s="38">
        <f>LOOKUP(2,1/('S&amp;P 500'!$G$2:$G$1130=$A29),'S&amp;P 500'!$B$2:$B$1130)</f>
        <v>48879.434204101599</v>
      </c>
      <c r="D29" s="40">
        <f t="shared" si="0"/>
        <v>-2.9613169376297321E-2</v>
      </c>
      <c r="E29" s="40">
        <f t="shared" si="1"/>
        <v>-4.031962876347206E-2</v>
      </c>
    </row>
    <row r="30" spans="1:5" x14ac:dyDescent="0.25">
      <c r="A30" s="36" t="s">
        <v>98</v>
      </c>
      <c r="B30" s="32">
        <f>LOOKUP(2,1/('Tech Portfolio'!$G$2:$G$1130=$A30),'Tech Portfolio'!$B$2:$B$1130)</f>
        <v>118609.9942</v>
      </c>
      <c r="C30" s="32">
        <f>LOOKUP(2,1/('S&amp;P 500'!$G$2:$G$1130=$A30),'S&amp;P 500'!$B$2:$B$1130)</f>
        <v>51351.745605468801</v>
      </c>
      <c r="D30" s="34">
        <f t="shared" si="0"/>
        <v>6.9453389253987696E-2</v>
      </c>
      <c r="E30" s="34">
        <f t="shared" si="1"/>
        <v>5.0579787626914507E-2</v>
      </c>
    </row>
    <row r="31" spans="1:5" x14ac:dyDescent="0.25">
      <c r="A31" s="42" t="s">
        <v>99</v>
      </c>
      <c r="B31" s="38">
        <f>LOOKUP(2,1/('Tech Portfolio'!$G$2:$G$1130=$A31),'Tech Portfolio'!$B$2:$B$1130)</f>
        <v>126850.1125</v>
      </c>
      <c r="C31" s="38">
        <f>LOOKUP(2,1/('S&amp;P 500'!$G$2:$G$1130=$A31),'S&amp;P 500'!$B$2:$B$1130)</f>
        <v>53163.433837890603</v>
      </c>
      <c r="D31" s="40">
        <f t="shared" si="0"/>
        <v>6.9472377564621768E-2</v>
      </c>
      <c r="E31" s="40">
        <f t="shared" si="1"/>
        <v>3.5279973661282105E-2</v>
      </c>
    </row>
    <row r="32" spans="1:5" x14ac:dyDescent="0.25">
      <c r="A32" s="36" t="s">
        <v>100</v>
      </c>
      <c r="B32" s="32">
        <f>LOOKUP(2,1/('Tech Portfolio'!$G$2:$G$1130=$A32),'Tech Portfolio'!$B$2:$B$1130)</f>
        <v>126246.5107</v>
      </c>
      <c r="C32" s="32">
        <f>LOOKUP(2,1/('S&amp;P 500'!$G$2:$G$1130=$A32),'S&amp;P 500'!$B$2:$B$1130)</f>
        <v>53807.196044921897</v>
      </c>
      <c r="D32" s="34">
        <f t="shared" si="0"/>
        <v>-4.7583860045847803E-3</v>
      </c>
      <c r="E32" s="34">
        <f t="shared" si="1"/>
        <v>1.2109116371118889E-2</v>
      </c>
    </row>
    <row r="33" spans="1:5" x14ac:dyDescent="0.25">
      <c r="A33" s="42" t="s">
        <v>101</v>
      </c>
      <c r="B33" s="38">
        <f>LOOKUP(2,1/('Tech Portfolio'!$G$2:$G$1130=$A33),'Tech Portfolio'!$B$2:$B$1130)</f>
        <v>126424.88310000001</v>
      </c>
      <c r="C33" s="38">
        <f>LOOKUP(2,1/('S&amp;P 500'!$G$2:$G$1130=$A33),'S&amp;P 500'!$B$2:$B$1130)</f>
        <v>55064.440917968801</v>
      </c>
      <c r="D33" s="40">
        <f t="shared" si="0"/>
        <v>1.4128897425440545E-3</v>
      </c>
      <c r="E33" s="40">
        <f t="shared" si="1"/>
        <v>2.3365738515667589E-2</v>
      </c>
    </row>
    <row r="34" spans="1:5" x14ac:dyDescent="0.25">
      <c r="A34" s="36" t="s">
        <v>102</v>
      </c>
      <c r="B34" s="32">
        <f>LOOKUP(2,1/('Tech Portfolio'!$G$2:$G$1130=$A34),'Tech Portfolio'!$B$2:$B$1130)</f>
        <v>131610.4485</v>
      </c>
      <c r="C34" s="32">
        <f>LOOKUP(2,1/('S&amp;P 500'!$G$2:$G$1130=$A34),'S&amp;P 500'!$B$2:$B$1130)</f>
        <v>56221.038818359397</v>
      </c>
      <c r="D34" s="34">
        <f t="shared" si="0"/>
        <v>4.1016968122472353E-2</v>
      </c>
      <c r="E34" s="34">
        <f t="shared" si="1"/>
        <v>2.1004442814803292E-2</v>
      </c>
    </row>
    <row r="35" spans="1:5" x14ac:dyDescent="0.25">
      <c r="A35" s="42" t="s">
        <v>103</v>
      </c>
      <c r="B35" s="38">
        <f>LOOKUP(2,1/('Tech Portfolio'!$G$2:$G$1130=$A35),'Tech Portfolio'!$B$2:$B$1130)</f>
        <v>130718.27099999999</v>
      </c>
      <c r="C35" s="38">
        <f>LOOKUP(2,1/('S&amp;P 500'!$G$2:$G$1130=$A35),'S&amp;P 500'!$B$2:$B$1130)</f>
        <v>55719.348144531301</v>
      </c>
      <c r="D35" s="40">
        <f t="shared" ref="D35:D56" si="2">B35/B34-1</f>
        <v>-6.7789260668008611E-3</v>
      </c>
      <c r="E35" s="40">
        <f t="shared" ref="E35:E56" si="3">C35/C34-1</f>
        <v>-8.9235397348130796E-3</v>
      </c>
    </row>
    <row r="36" spans="1:5" x14ac:dyDescent="0.25">
      <c r="A36" s="36" t="s">
        <v>104</v>
      </c>
      <c r="B36" s="32">
        <f>LOOKUP(2,1/('Tech Portfolio'!$G$2:$G$1130=$A36),'Tech Portfolio'!$B$2:$B$1130)</f>
        <v>141317.61850000001</v>
      </c>
      <c r="C36" s="32">
        <f>LOOKUP(2,1/('S&amp;P 500'!$G$2:$G$1130=$A36),'S&amp;P 500'!$B$2:$B$1130)</f>
        <v>59042.095947265603</v>
      </c>
      <c r="D36" s="34">
        <f t="shared" si="2"/>
        <v>8.1085432196391416E-2</v>
      </c>
      <c r="E36" s="34">
        <f t="shared" si="3"/>
        <v>5.9633644566612132E-2</v>
      </c>
    </row>
    <row r="37" spans="1:5" x14ac:dyDescent="0.25">
      <c r="A37" s="42" t="s">
        <v>105</v>
      </c>
      <c r="B37" s="38">
        <f>LOOKUP(2,1/('Tech Portfolio'!$G$2:$G$1130=$A37),'Tech Portfolio'!$B$2:$B$1130)</f>
        <v>144260.9847</v>
      </c>
      <c r="C37" s="38">
        <f>LOOKUP(2,1/('S&amp;P 500'!$G$2:$G$1130=$A37),'S&amp;P 500'!$B$2:$B$1130)</f>
        <v>57621.527099609397</v>
      </c>
      <c r="D37" s="40">
        <f t="shared" si="2"/>
        <v>2.0828020109891598E-2</v>
      </c>
      <c r="E37" s="40">
        <f t="shared" si="3"/>
        <v>-2.4060271317688509E-2</v>
      </c>
    </row>
    <row r="38" spans="1:5" x14ac:dyDescent="0.25">
      <c r="A38" s="36" t="s">
        <v>106</v>
      </c>
      <c r="B38" s="32">
        <f>LOOKUP(2,1/('Tech Portfolio'!$G$2:$G$1130=$A38),'Tech Portfolio'!$B$2:$B$1130)</f>
        <v>147175.73970000001</v>
      </c>
      <c r="C38" s="32">
        <f>LOOKUP(2,1/('S&amp;P 500'!$G$2:$G$1130=$A38),'S&amp;P 500'!$B$2:$B$1130)</f>
        <v>59169.030761718801</v>
      </c>
      <c r="D38" s="34">
        <f t="shared" si="2"/>
        <v>2.0204735230813897E-2</v>
      </c>
      <c r="E38" s="34">
        <f t="shared" si="3"/>
        <v>2.6856345883271349E-2</v>
      </c>
    </row>
    <row r="39" spans="1:5" x14ac:dyDescent="0.25">
      <c r="A39" s="42" t="s">
        <v>107</v>
      </c>
      <c r="B39" s="38">
        <f>LOOKUP(2,1/('Tech Portfolio'!$G$2:$G$1130=$A39),'Tech Portfolio'!$B$2:$B$1130)</f>
        <v>137781.13399999999</v>
      </c>
      <c r="C39" s="38">
        <f>LOOKUP(2,1/('S&amp;P 500'!$G$2:$G$1130=$A39),'S&amp;P 500'!$B$2:$B$1130)</f>
        <v>58417.901611328103</v>
      </c>
      <c r="D39" s="40">
        <f t="shared" si="2"/>
        <v>-6.3832569954462515E-2</v>
      </c>
      <c r="E39" s="40">
        <f t="shared" si="3"/>
        <v>-1.2694633336408523E-2</v>
      </c>
    </row>
    <row r="40" spans="1:5" x14ac:dyDescent="0.25">
      <c r="A40" s="36" t="s">
        <v>108</v>
      </c>
      <c r="B40" s="32">
        <f>LOOKUP(2,1/('Tech Portfolio'!$G$2:$G$1130=$A40),'Tech Portfolio'!$B$2:$B$1130)</f>
        <v>127255.98850000001</v>
      </c>
      <c r="C40" s="32">
        <f>LOOKUP(2,1/('S&amp;P 500'!$G$2:$G$1130=$A40),'S&amp;P 500'!$B$2:$B$1130)</f>
        <v>55162.896728515603</v>
      </c>
      <c r="D40" s="34">
        <f t="shared" si="2"/>
        <v>-7.639032423698866E-2</v>
      </c>
      <c r="E40" s="34">
        <f t="shared" si="3"/>
        <v>-5.5719305093651417E-2</v>
      </c>
    </row>
    <row r="41" spans="1:5" x14ac:dyDescent="0.25">
      <c r="A41" s="42" t="s">
        <v>109</v>
      </c>
      <c r="B41" s="38">
        <f>LOOKUP(2,1/('Tech Portfolio'!$G$2:$G$1130=$A41),'Tech Portfolio'!$B$2:$B$1130)</f>
        <v>128261.7242</v>
      </c>
      <c r="C41" s="38">
        <f>LOOKUP(2,1/('S&amp;P 500'!$G$2:$G$1130=$A41),'S&amp;P 500'!$B$2:$B$1130)</f>
        <v>54684.619140625</v>
      </c>
      <c r="D41" s="40">
        <f t="shared" si="2"/>
        <v>7.9032484982031193E-3</v>
      </c>
      <c r="E41" s="40">
        <f t="shared" si="3"/>
        <v>-8.6702768754955972E-3</v>
      </c>
    </row>
    <row r="42" spans="1:5" x14ac:dyDescent="0.25">
      <c r="A42" s="36" t="s">
        <v>110</v>
      </c>
      <c r="B42" s="32">
        <f>LOOKUP(2,1/('Tech Portfolio'!$G$2:$G$1130=$A42),'Tech Portfolio'!$B$2:$B$1130)</f>
        <v>142407.08900000001</v>
      </c>
      <c r="C42" s="32">
        <f>LOOKUP(2,1/('S&amp;P 500'!$G$2:$G$1130=$A42),'S&amp;P 500'!$B$2:$B$1130)</f>
        <v>58121.270751953103</v>
      </c>
      <c r="D42" s="34">
        <f t="shared" si="2"/>
        <v>0.11028516019278656</v>
      </c>
      <c r="E42" s="34">
        <f t="shared" si="3"/>
        <v>6.2844940045948539E-2</v>
      </c>
    </row>
    <row r="43" spans="1:5" x14ac:dyDescent="0.25">
      <c r="A43" s="42" t="s">
        <v>111</v>
      </c>
      <c r="B43" s="38">
        <f>LOOKUP(2,1/('Tech Portfolio'!$G$2:$G$1130=$A43),'Tech Portfolio'!$B$2:$B$1130)</f>
        <v>152753.4094</v>
      </c>
      <c r="C43" s="38">
        <f>LOOKUP(2,1/('S&amp;P 500'!$G$2:$G$1130=$A43),'S&amp;P 500'!$B$2:$B$1130)</f>
        <v>61107.904052734397</v>
      </c>
      <c r="D43" s="40">
        <f t="shared" si="2"/>
        <v>7.2653127541986384E-2</v>
      </c>
      <c r="E43" s="40">
        <f t="shared" si="3"/>
        <v>5.1386235402998803E-2</v>
      </c>
    </row>
    <row r="44" spans="1:5" x14ac:dyDescent="0.25">
      <c r="A44" s="36" t="s">
        <v>112</v>
      </c>
      <c r="B44" s="32">
        <f>LOOKUP(2,1/('Tech Portfolio'!$G$2:$G$1130=$A44),'Tech Portfolio'!$B$2:$B$1130)</f>
        <v>158312.7225</v>
      </c>
      <c r="C44" s="32">
        <f>LOOKUP(2,1/('S&amp;P 500'!$G$2:$G$1130=$A44),'S&amp;P 500'!$B$2:$B$1130)</f>
        <v>62515.313720703103</v>
      </c>
      <c r="D44" s="34">
        <f t="shared" si="2"/>
        <v>3.639403612552039E-2</v>
      </c>
      <c r="E44" s="34">
        <f t="shared" si="3"/>
        <v>2.3031548697107107E-2</v>
      </c>
    </row>
    <row r="45" spans="1:5" x14ac:dyDescent="0.25">
      <c r="A45" s="42" t="s">
        <v>113</v>
      </c>
      <c r="B45" s="38">
        <f>LOOKUP(2,1/('Tech Portfolio'!$G$2:$G$1130=$A45),'Tech Portfolio'!$B$2:$B$1130)</f>
        <v>161484.3333</v>
      </c>
      <c r="C45" s="38">
        <f>LOOKUP(2,1/('S&amp;P 500'!$G$2:$G$1130=$A45),'S&amp;P 500'!$B$2:$B$1130)</f>
        <v>63798.101806640603</v>
      </c>
      <c r="D45" s="40">
        <f t="shared" si="2"/>
        <v>2.0033833983241545E-2</v>
      </c>
      <c r="E45" s="40">
        <f t="shared" si="3"/>
        <v>2.0519581676716081E-2</v>
      </c>
    </row>
    <row r="46" spans="1:5" x14ac:dyDescent="0.25">
      <c r="A46" s="36" t="s">
        <v>114</v>
      </c>
      <c r="B46" s="32">
        <f>LOOKUP(2,1/('Tech Portfolio'!$G$2:$G$1130=$A46),'Tech Portfolio'!$B$2:$B$1130)</f>
        <v>179679.78690000001</v>
      </c>
      <c r="C46" s="32">
        <f>LOOKUP(2,1/('S&amp;P 500'!$G$2:$G$1130=$A46),'S&amp;P 500'!$B$2:$B$1130)</f>
        <v>66070.611572265596</v>
      </c>
      <c r="D46" s="34">
        <f t="shared" si="2"/>
        <v>0.11267627780459133</v>
      </c>
      <c r="E46" s="34">
        <f t="shared" si="3"/>
        <v>3.5620335108284662E-2</v>
      </c>
    </row>
    <row r="47" spans="1:5" x14ac:dyDescent="0.25">
      <c r="A47" s="42" t="s">
        <v>115</v>
      </c>
      <c r="B47" s="38">
        <f>LOOKUP(2,1/('Tech Portfolio'!$G$2:$G$1130=$A47),'Tech Portfolio'!$B$2:$B$1130)</f>
        <v>189290.1741</v>
      </c>
      <c r="C47" s="38">
        <f>LOOKUP(2,1/('S&amp;P 500'!$G$2:$G$1130=$A47),'S&amp;P 500'!$B$2:$B$1130)</f>
        <v>67645.562744140596</v>
      </c>
      <c r="D47" s="40">
        <f t="shared" si="2"/>
        <v>5.3486189881495116E-2</v>
      </c>
      <c r="E47" s="40">
        <f t="shared" si="3"/>
        <v>2.3837393576300991E-2</v>
      </c>
    </row>
    <row r="48" spans="1:5" x14ac:dyDescent="0.25">
      <c r="A48" s="36" t="s">
        <v>116</v>
      </c>
      <c r="B48" s="32">
        <f>LOOKUP(2,1/('Tech Portfolio'!$G$2:$G$1130=$A48),'Tech Portfolio'!$B$2:$B$1130)</f>
        <v>186086.29579999999</v>
      </c>
      <c r="C48" s="32">
        <f>LOOKUP(2,1/('S&amp;P 500'!$G$2:$G$1130=$A48),'S&amp;P 500'!$B$2:$B$1130)</f>
        <v>67777.471923828096</v>
      </c>
      <c r="D48" s="34">
        <f t="shared" si="2"/>
        <v>-1.6925750717031063E-2</v>
      </c>
      <c r="E48" s="34">
        <f t="shared" si="3"/>
        <v>1.9500049129079766E-3</v>
      </c>
    </row>
    <row r="49" spans="1:5" x14ac:dyDescent="0.25">
      <c r="A49" s="42" t="s">
        <v>117</v>
      </c>
      <c r="B49" s="38">
        <f>LOOKUP(2,1/('Tech Portfolio'!$G$2:$G$1130=$A49),'Tech Portfolio'!$B$2:$B$1130)</f>
        <v>187875.9613</v>
      </c>
      <c r="C49" s="38">
        <f>LOOKUP(2,1/('S&amp;P 500'!$G$2:$G$1130=$A49),'S&amp;P 500'!$B$2:$B$1130)</f>
        <v>67831.524658203096</v>
      </c>
      <c r="D49" s="40">
        <f t="shared" si="2"/>
        <v>9.6173954793719041E-3</v>
      </c>
      <c r="E49" s="40">
        <f t="shared" si="3"/>
        <v>7.975029584423865E-4</v>
      </c>
    </row>
    <row r="50" spans="1:5" x14ac:dyDescent="0.25">
      <c r="A50" s="36" t="s">
        <v>118</v>
      </c>
      <c r="B50" s="32">
        <f>LOOKUP(2,1/('Tech Portfolio'!$G$2:$G$1130=$A50),'Tech Portfolio'!$B$2:$B$1130)</f>
        <v>192047.34539999999</v>
      </c>
      <c r="C50" s="32">
        <f>LOOKUP(2,1/('S&amp;P 500'!$G$2:$G$1130=$A50),'S&amp;P 500'!$B$2:$B$1130)</f>
        <v>68831.207275390596</v>
      </c>
      <c r="D50" s="34">
        <f t="shared" si="2"/>
        <v>2.2202862309452787E-2</v>
      </c>
      <c r="E50" s="34">
        <f t="shared" si="3"/>
        <v>1.4737728839574471E-2</v>
      </c>
    </row>
    <row r="51" spans="1:5" x14ac:dyDescent="0.25">
      <c r="A51" s="42" t="s">
        <v>119</v>
      </c>
      <c r="B51" s="38">
        <f>LOOKUP(2,1/('Tech Portfolio'!$G$2:$G$1130=$A51),'Tech Portfolio'!$B$2:$B$1130)</f>
        <v>186959.1875</v>
      </c>
      <c r="C51" s="38">
        <f>LOOKUP(2,1/('S&amp;P 500'!$G$2:$G$1130=$A51),'S&amp;P 500'!$B$2:$B$1130)</f>
        <v>68236.370849609404</v>
      </c>
      <c r="D51" s="40">
        <f t="shared" si="2"/>
        <v>-2.6494289152512285E-2</v>
      </c>
      <c r="E51" s="40">
        <f t="shared" si="3"/>
        <v>-8.6419583402231881E-3</v>
      </c>
    </row>
    <row r="52" spans="1:5" x14ac:dyDescent="0.25">
      <c r="A52" s="36" t="s">
        <v>120</v>
      </c>
      <c r="B52" s="32">
        <f>LOOKUP(2,1/('Tech Portfolio'!$G$2:$G$1130=$A52),'Tech Portfolio'!$B$2:$B$1130)</f>
        <v>174201.7856</v>
      </c>
      <c r="C52" s="32">
        <f>LOOKUP(2,1/('S&amp;P 500'!$G$2:$G$1130=$A52),'S&amp;P 500'!$B$2:$B$1130)</f>
        <v>64866.888427734397</v>
      </c>
      <c r="D52" s="34">
        <f t="shared" si="2"/>
        <v>-6.823629301448475E-2</v>
      </c>
      <c r="E52" s="34">
        <f t="shared" si="3"/>
        <v>-4.9379566643443451E-2</v>
      </c>
    </row>
    <row r="53" spans="1:5" x14ac:dyDescent="0.25">
      <c r="A53" s="42" t="s">
        <v>121</v>
      </c>
      <c r="B53" s="38">
        <f>LOOKUP(2,1/('Tech Portfolio'!$G$2:$G$1130=$A53),'Tech Portfolio'!$B$2:$B$1130)</f>
        <v>201025.291</v>
      </c>
      <c r="C53" s="38">
        <f>LOOKUP(2,1/('S&amp;P 500'!$G$2:$G$1130=$A53),'S&amp;P 500'!$B$2:$B$1130)</f>
        <v>71681.329345703096</v>
      </c>
      <c r="D53" s="40">
        <f t="shared" si="2"/>
        <v>0.15397950892186496</v>
      </c>
      <c r="E53" s="40">
        <f t="shared" si="3"/>
        <v>0.10505268686597158</v>
      </c>
    </row>
    <row r="54" spans="1:5" x14ac:dyDescent="0.25">
      <c r="A54" s="36" t="s">
        <v>122</v>
      </c>
      <c r="B54" s="32">
        <f>LOOKUP(2,1/('Tech Portfolio'!$G$2:$G$1130=$A54),'Tech Portfolio'!$B$2:$B$1130)</f>
        <v>233110.20680000001</v>
      </c>
      <c r="C54" s="32">
        <f>LOOKUP(2,1/('S&amp;P 500'!$G$2:$G$1130=$A54),'S&amp;P 500'!$B$2:$B$1130)</f>
        <v>75453.61328125</v>
      </c>
      <c r="D54" s="34">
        <f t="shared" si="2"/>
        <v>0.15960636415643847</v>
      </c>
      <c r="E54" s="34">
        <f t="shared" si="3"/>
        <v>5.2625753037503165E-2</v>
      </c>
    </row>
    <row r="55" spans="1:5" x14ac:dyDescent="0.25">
      <c r="A55" s="42" t="s">
        <v>123</v>
      </c>
      <c r="B55" s="38">
        <f>LOOKUP(2,1/('Tech Portfolio'!$G$2:$G$1130=$A55),'Tech Portfolio'!$B$2:$B$1130)</f>
        <v>236009.40229999999</v>
      </c>
      <c r="C55" s="38">
        <f>LOOKUP(2,1/('S&amp;P 500'!$G$2:$G$1130=$A55),'S&amp;P 500'!$B$2:$B$1130)</f>
        <v>74677.001953125</v>
      </c>
      <c r="D55" s="40">
        <f t="shared" si="2"/>
        <v>1.2437016550233659E-2</v>
      </c>
      <c r="E55" s="40">
        <f t="shared" si="3"/>
        <v>-1.0292566443839024E-2</v>
      </c>
    </row>
    <row r="56" spans="1:5" x14ac:dyDescent="0.25">
      <c r="A56" s="36" t="s">
        <v>124</v>
      </c>
      <c r="B56" s="32">
        <f>LOOKUP(2,1/('Tech Portfolio'!$G$2:$G$1130=$A56),'Tech Portfolio'!$B$2:$B$1130)</f>
        <v>232446.0907</v>
      </c>
      <c r="C56" s="32">
        <f>LOOKUP(2,1/('S&amp;P 500'!$G$2:$G$1130=$A56),'S&amp;P 500'!$B$2:$B$1130)</f>
        <v>75189.471435546904</v>
      </c>
      <c r="D56" s="34">
        <f t="shared" si="2"/>
        <v>-1.509817645091327E-2</v>
      </c>
      <c r="E56" s="34">
        <f t="shared" si="3"/>
        <v>6.8624806703352359E-3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Charts</vt:lpstr>
      <vt:lpstr>Holdings</vt:lpstr>
      <vt:lpstr>Tech Portfolio</vt:lpstr>
      <vt:lpstr>S&amp;P 500</vt:lpstr>
      <vt:lpstr>Monthly 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Bo-sen Huang</cp:lastModifiedBy>
  <dcterms:created xsi:type="dcterms:W3CDTF">2026-07-13T12:55:05Z</dcterms:created>
  <dcterms:modified xsi:type="dcterms:W3CDTF">2026-07-14T10:00:30Z</dcterms:modified>
</cp:coreProperties>
</file>